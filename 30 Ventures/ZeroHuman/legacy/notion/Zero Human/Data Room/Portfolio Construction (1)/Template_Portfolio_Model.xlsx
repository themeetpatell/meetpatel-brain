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kristinmcdonald/Documents/Blog Posts/"/>
    </mc:Choice>
  </mc:AlternateContent>
  <xr:revisionPtr revIDLastSave="0" documentId="13_ncr:1_{6F1170ED-D286-2A4B-BF36-6CCCC399394E}" xr6:coauthVersionLast="45" xr6:coauthVersionMax="45" xr10:uidLastSave="{00000000-0000-0000-0000-000000000000}"/>
  <bookViews>
    <workbookView xWindow="0" yWindow="460" windowWidth="33600" windowHeight="18900" xr2:uid="{00000000-000D-0000-FFFF-FFFF00000000}"/>
  </bookViews>
  <sheets>
    <sheet name="Summary and Assumptions" sheetId="1" r:id="rId1"/>
    <sheet name="Portfolio" sheetId="2" r:id="rId2"/>
    <sheet name="Model"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U218" i="3" l="1"/>
  <c r="AT218" i="3"/>
  <c r="AS218" i="3"/>
  <c r="AR218" i="3"/>
  <c r="AQ218" i="3"/>
  <c r="AP218" i="3"/>
  <c r="AO218" i="3"/>
  <c r="AN218" i="3"/>
  <c r="AM218" i="3"/>
  <c r="AL218" i="3"/>
  <c r="AK218" i="3"/>
  <c r="AJ218" i="3"/>
  <c r="AI218" i="3"/>
  <c r="AH218" i="3"/>
  <c r="AG218" i="3"/>
  <c r="AF218" i="3"/>
  <c r="AE218" i="3"/>
  <c r="AD218" i="3"/>
  <c r="AC218" i="3"/>
  <c r="AB218" i="3"/>
  <c r="AA218" i="3"/>
  <c r="Z218" i="3"/>
  <c r="Y218" i="3"/>
  <c r="X218" i="3"/>
  <c r="W218" i="3"/>
  <c r="V218" i="3"/>
  <c r="U218" i="3"/>
  <c r="T218" i="3"/>
  <c r="S218" i="3"/>
  <c r="R218" i="3"/>
  <c r="Q218" i="3"/>
  <c r="P218" i="3"/>
  <c r="O218" i="3"/>
  <c r="N218" i="3"/>
  <c r="M218" i="3"/>
  <c r="L218" i="3"/>
  <c r="K218" i="3"/>
  <c r="J218" i="3"/>
  <c r="I218" i="3"/>
  <c r="H218" i="3"/>
  <c r="G218" i="3"/>
  <c r="F218" i="3"/>
  <c r="E218" i="3"/>
  <c r="D218" i="3"/>
  <c r="AU191" i="3"/>
  <c r="AT191" i="3"/>
  <c r="AS191" i="3"/>
  <c r="AR191" i="3"/>
  <c r="AQ191" i="3"/>
  <c r="AP191"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E191" i="3"/>
  <c r="D191" i="3"/>
  <c r="AU164" i="3"/>
  <c r="AT164" i="3"/>
  <c r="AS164" i="3"/>
  <c r="AR164" i="3"/>
  <c r="AQ164" i="3"/>
  <c r="AP164" i="3"/>
  <c r="AO164" i="3"/>
  <c r="AN164" i="3"/>
  <c r="AM164" i="3"/>
  <c r="AL164" i="3"/>
  <c r="AK164" i="3"/>
  <c r="AJ164" i="3"/>
  <c r="AI164" i="3"/>
  <c r="AH164" i="3"/>
  <c r="AG164" i="3"/>
  <c r="AF164" i="3"/>
  <c r="AE164" i="3"/>
  <c r="AD164" i="3"/>
  <c r="AC164" i="3"/>
  <c r="AB164" i="3"/>
  <c r="AA164" i="3"/>
  <c r="Z164" i="3"/>
  <c r="Y164" i="3"/>
  <c r="X164" i="3"/>
  <c r="W164" i="3"/>
  <c r="V164" i="3"/>
  <c r="U164" i="3"/>
  <c r="T164" i="3"/>
  <c r="S164" i="3"/>
  <c r="R164" i="3"/>
  <c r="Q164" i="3"/>
  <c r="P164" i="3"/>
  <c r="O164" i="3"/>
  <c r="N164" i="3"/>
  <c r="M164" i="3"/>
  <c r="L164" i="3"/>
  <c r="K164" i="3"/>
  <c r="J164" i="3"/>
  <c r="I164" i="3"/>
  <c r="H164" i="3"/>
  <c r="G164" i="3"/>
  <c r="F164" i="3"/>
  <c r="E164" i="3"/>
  <c r="D164" i="3"/>
  <c r="D122" i="3"/>
  <c r="L156" i="2"/>
  <c r="J156" i="2"/>
  <c r="I156" i="2"/>
  <c r="H156" i="2"/>
  <c r="G156" i="2"/>
  <c r="F156" i="2"/>
  <c r="L155" i="2"/>
  <c r="L154" i="2" s="1"/>
  <c r="J155" i="2"/>
  <c r="I155" i="2"/>
  <c r="H155" i="2"/>
  <c r="H154" i="2" s="1"/>
  <c r="G155" i="2"/>
  <c r="G154" i="2" s="1"/>
  <c r="F155" i="2"/>
  <c r="J154" i="2"/>
  <c r="I154" i="2"/>
  <c r="F154" i="2"/>
  <c r="L153" i="2"/>
  <c r="J153" i="2"/>
  <c r="I153" i="2"/>
  <c r="H153" i="2"/>
  <c r="G153" i="2"/>
  <c r="F153" i="2"/>
  <c r="L152" i="2"/>
  <c r="L151" i="2" s="1"/>
  <c r="J152" i="2"/>
  <c r="I152" i="2"/>
  <c r="H152" i="2"/>
  <c r="G152" i="2"/>
  <c r="G151" i="2" s="1"/>
  <c r="F152" i="2"/>
  <c r="I151" i="2"/>
  <c r="H151" i="2"/>
  <c r="F151" i="2"/>
  <c r="L150" i="2"/>
  <c r="J150" i="2"/>
  <c r="I150" i="2"/>
  <c r="H150" i="2"/>
  <c r="G150" i="2"/>
  <c r="F150" i="2"/>
  <c r="L149" i="2"/>
  <c r="L148" i="2" s="1"/>
  <c r="J149" i="2"/>
  <c r="I149" i="2"/>
  <c r="H149" i="2"/>
  <c r="G149" i="2"/>
  <c r="G148" i="2" s="1"/>
  <c r="F149" i="2"/>
  <c r="F148" i="2" s="1"/>
  <c r="J148" i="2"/>
  <c r="I148" i="2"/>
  <c r="H148" i="2"/>
  <c r="L147" i="2"/>
  <c r="J147" i="2"/>
  <c r="I147" i="2"/>
  <c r="H147" i="2"/>
  <c r="G147" i="2"/>
  <c r="F147" i="2"/>
  <c r="L146" i="2"/>
  <c r="L145" i="2" s="1"/>
  <c r="J146" i="2"/>
  <c r="I146" i="2"/>
  <c r="H146" i="2"/>
  <c r="H145" i="2" s="1"/>
  <c r="G146" i="2"/>
  <c r="G145" i="2" s="1"/>
  <c r="F146" i="2"/>
  <c r="J145" i="2"/>
  <c r="I145" i="2"/>
  <c r="F145" i="2"/>
  <c r="L144" i="2"/>
  <c r="J144" i="2"/>
  <c r="I144" i="2"/>
  <c r="H144" i="2"/>
  <c r="G144" i="2"/>
  <c r="F144" i="2"/>
  <c r="L143" i="2"/>
  <c r="L142" i="2" s="1"/>
  <c r="J143" i="2"/>
  <c r="I143" i="2"/>
  <c r="H143" i="2"/>
  <c r="H142" i="2" s="1"/>
  <c r="G143" i="2"/>
  <c r="F143" i="2"/>
  <c r="J142" i="2"/>
  <c r="I142" i="2"/>
  <c r="G142" i="2"/>
  <c r="F142" i="2"/>
  <c r="L141" i="2"/>
  <c r="J141" i="2"/>
  <c r="I141" i="2"/>
  <c r="H141" i="2"/>
  <c r="G141" i="2"/>
  <c r="F141" i="2"/>
  <c r="L140" i="2"/>
  <c r="L139" i="2" s="1"/>
  <c r="J140" i="2"/>
  <c r="I140" i="2"/>
  <c r="H140" i="2"/>
  <c r="H139" i="2" s="1"/>
  <c r="G140" i="2"/>
  <c r="F140" i="2"/>
  <c r="J139" i="2"/>
  <c r="I139" i="2"/>
  <c r="G139" i="2"/>
  <c r="F139" i="2"/>
  <c r="L138" i="2"/>
  <c r="J138" i="2"/>
  <c r="I138" i="2"/>
  <c r="H138" i="2"/>
  <c r="G138" i="2"/>
  <c r="F138" i="2"/>
  <c r="L137" i="2"/>
  <c r="L136" i="2" s="1"/>
  <c r="J137" i="2"/>
  <c r="I137" i="2"/>
  <c r="H137" i="2"/>
  <c r="H136" i="2" s="1"/>
  <c r="G137" i="2"/>
  <c r="G136" i="2" s="1"/>
  <c r="F137" i="2"/>
  <c r="J136" i="2"/>
  <c r="I136" i="2"/>
  <c r="F136" i="2"/>
  <c r="L135" i="2"/>
  <c r="J135" i="2"/>
  <c r="I135" i="2"/>
  <c r="H135" i="2"/>
  <c r="G135" i="2"/>
  <c r="F135" i="2"/>
  <c r="L134" i="2"/>
  <c r="L133" i="2" s="1"/>
  <c r="J134" i="2"/>
  <c r="I134" i="2"/>
  <c r="H134" i="2"/>
  <c r="H133" i="2" s="1"/>
  <c r="G134" i="2"/>
  <c r="G133" i="2" s="1"/>
  <c r="F134" i="2"/>
  <c r="J133" i="2"/>
  <c r="I133" i="2"/>
  <c r="F133" i="2"/>
  <c r="L132" i="2"/>
  <c r="J132" i="2"/>
  <c r="I132" i="2"/>
  <c r="H132" i="2"/>
  <c r="G132" i="2"/>
  <c r="F132" i="2"/>
  <c r="L131" i="2"/>
  <c r="L130" i="2" s="1"/>
  <c r="J131" i="2"/>
  <c r="I131" i="2"/>
  <c r="H131" i="2"/>
  <c r="H130" i="2" s="1"/>
  <c r="G131" i="2"/>
  <c r="F131" i="2"/>
  <c r="F130" i="2" s="1"/>
  <c r="J130" i="2"/>
  <c r="I130" i="2"/>
  <c r="G130" i="2"/>
  <c r="L129" i="2"/>
  <c r="J129" i="2"/>
  <c r="I129" i="2"/>
  <c r="H129" i="2"/>
  <c r="G129" i="2"/>
  <c r="F129" i="2"/>
  <c r="L128" i="2"/>
  <c r="L127" i="2" s="1"/>
  <c r="J128" i="2"/>
  <c r="I128" i="2"/>
  <c r="H128" i="2"/>
  <c r="H127" i="2" s="1"/>
  <c r="G128" i="2"/>
  <c r="G127" i="2" s="1"/>
  <c r="F128" i="2"/>
  <c r="F127" i="2" s="1"/>
  <c r="J127" i="2"/>
  <c r="I127" i="2"/>
  <c r="L126" i="2"/>
  <c r="J126" i="2"/>
  <c r="I126" i="2"/>
  <c r="H126" i="2"/>
  <c r="G126" i="2"/>
  <c r="F126" i="2"/>
  <c r="L125" i="2"/>
  <c r="L124" i="2" s="1"/>
  <c r="J125" i="2"/>
  <c r="I125" i="2"/>
  <c r="H125" i="2"/>
  <c r="G125" i="2"/>
  <c r="G124" i="2" s="1"/>
  <c r="F125" i="2"/>
  <c r="F124" i="2" s="1"/>
  <c r="J124" i="2"/>
  <c r="I124" i="2"/>
  <c r="H124" i="2"/>
  <c r="L123" i="2"/>
  <c r="J123" i="2"/>
  <c r="I123" i="2"/>
  <c r="H123" i="2"/>
  <c r="G123" i="2"/>
  <c r="F123" i="2"/>
  <c r="L122" i="2"/>
  <c r="L121" i="2" s="1"/>
  <c r="J122" i="2"/>
  <c r="I122" i="2"/>
  <c r="H122" i="2"/>
  <c r="H121" i="2" s="1"/>
  <c r="G122" i="2"/>
  <c r="F122" i="2"/>
  <c r="J121" i="2"/>
  <c r="I121" i="2"/>
  <c r="G121" i="2"/>
  <c r="F121" i="2"/>
  <c r="L120" i="2"/>
  <c r="J120" i="2"/>
  <c r="I120" i="2"/>
  <c r="H120" i="2"/>
  <c r="G120" i="2"/>
  <c r="F120" i="2"/>
  <c r="L119" i="2"/>
  <c r="L118" i="2" s="1"/>
  <c r="J119" i="2"/>
  <c r="I119" i="2"/>
  <c r="H119" i="2"/>
  <c r="G119" i="2"/>
  <c r="F119" i="2"/>
  <c r="J118" i="2"/>
  <c r="I118" i="2"/>
  <c r="H118" i="2"/>
  <c r="G118" i="2"/>
  <c r="F118" i="2"/>
  <c r="L117" i="2"/>
  <c r="J117" i="2"/>
  <c r="I117" i="2"/>
  <c r="H117" i="2"/>
  <c r="G117" i="2"/>
  <c r="F117" i="2"/>
  <c r="L116" i="2"/>
  <c r="L115" i="2" s="1"/>
  <c r="J116" i="2"/>
  <c r="I116" i="2"/>
  <c r="H116" i="2"/>
  <c r="G116" i="2"/>
  <c r="G115" i="2" s="1"/>
  <c r="F116" i="2"/>
  <c r="F115" i="2" s="1"/>
  <c r="J115" i="2"/>
  <c r="I115" i="2"/>
  <c r="H115" i="2"/>
  <c r="L114" i="2"/>
  <c r="F113" i="2"/>
  <c r="F112" i="2" s="1"/>
  <c r="J114" i="2"/>
  <c r="I114" i="2"/>
  <c r="H114" i="2"/>
  <c r="G114" i="2"/>
  <c r="F114" i="2"/>
  <c r="C199" i="3"/>
  <c r="C226" i="3" s="1"/>
  <c r="C198" i="3"/>
  <c r="C225" i="3" s="1"/>
  <c r="B194" i="3"/>
  <c r="B221" i="3" s="1"/>
  <c r="B191" i="3"/>
  <c r="B218" i="3" s="1"/>
  <c r="B190" i="3"/>
  <c r="B217" i="3" s="1"/>
  <c r="B189" i="3"/>
  <c r="B216" i="3" s="1"/>
  <c r="B186" i="3"/>
  <c r="B213" i="3" s="1"/>
  <c r="B185" i="3"/>
  <c r="B212" i="3" s="1"/>
  <c r="B184" i="3"/>
  <c r="B211" i="3" s="1"/>
  <c r="B183" i="3"/>
  <c r="B210" i="3" s="1"/>
  <c r="C170" i="3"/>
  <c r="C197" i="3" s="1"/>
  <c r="C224" i="3" s="1"/>
  <c r="C169" i="3"/>
  <c r="C196" i="3" s="1"/>
  <c r="C223" i="3" s="1"/>
  <c r="B168" i="3"/>
  <c r="B195" i="3" s="1"/>
  <c r="B222" i="3" s="1"/>
  <c r="D135" i="3"/>
  <c r="AU131" i="3"/>
  <c r="AS131" i="3"/>
  <c r="AT130" i="3"/>
  <c r="AT131" i="3" s="1"/>
  <c r="AS130" i="3"/>
  <c r="AR130" i="3"/>
  <c r="AQ130" i="3"/>
  <c r="AP130" i="3"/>
  <c r="AO130" i="3"/>
  <c r="AO131" i="3" s="1"/>
  <c r="AN130" i="3"/>
  <c r="AM130" i="3"/>
  <c r="AM131" i="3" s="1"/>
  <c r="AL130" i="3"/>
  <c r="AK130" i="3"/>
  <c r="AK131" i="3" s="1"/>
  <c r="AJ130" i="3"/>
  <c r="AJ131" i="3" s="1"/>
  <c r="AI130" i="3"/>
  <c r="AI131" i="3" s="1"/>
  <c r="AH130" i="3"/>
  <c r="AG130" i="3"/>
  <c r="AG131" i="3" s="1"/>
  <c r="AF130" i="3"/>
  <c r="AE130" i="3"/>
  <c r="AD130" i="3"/>
  <c r="AD131" i="3" s="1"/>
  <c r="AC130" i="3"/>
  <c r="AC131" i="3" s="1"/>
  <c r="AB130" i="3"/>
  <c r="AB131" i="3" s="1"/>
  <c r="AA130" i="3"/>
  <c r="AA131" i="3" s="1"/>
  <c r="Z130" i="3"/>
  <c r="Y130" i="3"/>
  <c r="Y131" i="3" s="1"/>
  <c r="X130" i="3"/>
  <c r="W130" i="3"/>
  <c r="V130" i="3"/>
  <c r="U130" i="3"/>
  <c r="U131" i="3" s="1"/>
  <c r="T130" i="3"/>
  <c r="T131" i="3" s="1"/>
  <c r="S130" i="3"/>
  <c r="S131" i="3" s="1"/>
  <c r="R130" i="3"/>
  <c r="Q130" i="3"/>
  <c r="Q131" i="3" s="1"/>
  <c r="Q138" i="3" s="1"/>
  <c r="P130" i="3"/>
  <c r="O130" i="3"/>
  <c r="O131" i="3" s="1"/>
  <c r="N130" i="3"/>
  <c r="N131" i="3" s="1"/>
  <c r="M130" i="3"/>
  <c r="M131" i="3" s="1"/>
  <c r="L130" i="3"/>
  <c r="L131" i="3" s="1"/>
  <c r="K130" i="3"/>
  <c r="K131" i="3" s="1"/>
  <c r="J130" i="3"/>
  <c r="I130" i="3"/>
  <c r="I131" i="3" s="1"/>
  <c r="H130" i="3"/>
  <c r="G130" i="3"/>
  <c r="G131" i="3" s="1"/>
  <c r="F130" i="3"/>
  <c r="E130" i="3"/>
  <c r="E131" i="3" s="1"/>
  <c r="D130" i="3"/>
  <c r="D131" i="3" s="1"/>
  <c r="AT129" i="3"/>
  <c r="AS129" i="3"/>
  <c r="AR129" i="3"/>
  <c r="AR131" i="3" s="1"/>
  <c r="AQ129" i="3"/>
  <c r="AQ131" i="3" s="1"/>
  <c r="AP129" i="3"/>
  <c r="AO129" i="3"/>
  <c r="AN129" i="3"/>
  <c r="AM129" i="3"/>
  <c r="AL129" i="3"/>
  <c r="AL131" i="3" s="1"/>
  <c r="AK129" i="3"/>
  <c r="AJ129" i="3"/>
  <c r="AI129" i="3"/>
  <c r="AH129" i="3"/>
  <c r="AG129" i="3"/>
  <c r="AF129" i="3"/>
  <c r="AE129" i="3"/>
  <c r="AE131" i="3" s="1"/>
  <c r="AD129" i="3"/>
  <c r="AC129" i="3"/>
  <c r="AB129" i="3"/>
  <c r="AA129" i="3"/>
  <c r="Z129" i="3"/>
  <c r="Y129" i="3"/>
  <c r="X129" i="3"/>
  <c r="W129" i="3"/>
  <c r="W131" i="3" s="1"/>
  <c r="V129" i="3"/>
  <c r="V131" i="3" s="1"/>
  <c r="U129" i="3"/>
  <c r="T129" i="3"/>
  <c r="S129" i="3"/>
  <c r="R129" i="3"/>
  <c r="Q129" i="3"/>
  <c r="P129" i="3"/>
  <c r="O129" i="3"/>
  <c r="N129" i="3"/>
  <c r="M129" i="3"/>
  <c r="L129" i="3"/>
  <c r="K129" i="3"/>
  <c r="J129" i="3"/>
  <c r="I129" i="3"/>
  <c r="H129" i="3"/>
  <c r="G129" i="3"/>
  <c r="F129" i="3"/>
  <c r="F131" i="3" s="1"/>
  <c r="E129" i="3"/>
  <c r="D129" i="3"/>
  <c r="AU119" i="3"/>
  <c r="AT119" i="3"/>
  <c r="AS119" i="3"/>
  <c r="AR119" i="3"/>
  <c r="AQ119" i="3"/>
  <c r="AP119" i="3"/>
  <c r="AO119" i="3"/>
  <c r="AN119" i="3"/>
  <c r="AM119" i="3"/>
  <c r="AL119" i="3"/>
  <c r="AK119" i="3"/>
  <c r="AJ119" i="3"/>
  <c r="AI119" i="3"/>
  <c r="AH119" i="3"/>
  <c r="AG119" i="3"/>
  <c r="AF119" i="3"/>
  <c r="AE119" i="3"/>
  <c r="AD119" i="3"/>
  <c r="AC119" i="3"/>
  <c r="AB119" i="3"/>
  <c r="AA119" i="3"/>
  <c r="Z119" i="3"/>
  <c r="Y119" i="3"/>
  <c r="X119" i="3"/>
  <c r="W119" i="3"/>
  <c r="V119" i="3"/>
  <c r="U119" i="3"/>
  <c r="T119" i="3"/>
  <c r="S119" i="3"/>
  <c r="R119" i="3"/>
  <c r="Q119" i="3"/>
  <c r="P119" i="3"/>
  <c r="O119" i="3"/>
  <c r="N119" i="3"/>
  <c r="M119" i="3"/>
  <c r="L119" i="3"/>
  <c r="K119" i="3"/>
  <c r="J119" i="3"/>
  <c r="I119" i="3"/>
  <c r="H119" i="3"/>
  <c r="G119" i="3"/>
  <c r="F119" i="3"/>
  <c r="E119" i="3"/>
  <c r="D119" i="3"/>
  <c r="C119" i="3"/>
  <c r="AU118" i="3"/>
  <c r="AT118" i="3"/>
  <c r="AS118" i="3"/>
  <c r="AR118" i="3"/>
  <c r="AQ118" i="3"/>
  <c r="AP118" i="3"/>
  <c r="AO118" i="3"/>
  <c r="AN118" i="3"/>
  <c r="AM118" i="3"/>
  <c r="AL118" i="3"/>
  <c r="AK118" i="3"/>
  <c r="AJ118" i="3"/>
  <c r="AI118" i="3"/>
  <c r="AH118" i="3"/>
  <c r="AG118" i="3"/>
  <c r="AF118" i="3"/>
  <c r="AE118" i="3"/>
  <c r="AD118" i="3"/>
  <c r="AC118" i="3"/>
  <c r="AB118" i="3"/>
  <c r="AA118" i="3"/>
  <c r="Z118" i="3"/>
  <c r="Y118" i="3"/>
  <c r="X118" i="3"/>
  <c r="W118" i="3"/>
  <c r="V118" i="3"/>
  <c r="U118" i="3"/>
  <c r="T118" i="3"/>
  <c r="S118" i="3"/>
  <c r="R118" i="3"/>
  <c r="Q118" i="3"/>
  <c r="P118" i="3"/>
  <c r="O118" i="3"/>
  <c r="N118" i="3"/>
  <c r="M118" i="3"/>
  <c r="L118" i="3"/>
  <c r="K118" i="3"/>
  <c r="J118" i="3"/>
  <c r="I118" i="3"/>
  <c r="H118" i="3"/>
  <c r="G118" i="3"/>
  <c r="F118" i="3"/>
  <c r="E118" i="3"/>
  <c r="D118" i="3"/>
  <c r="C118" i="3"/>
  <c r="AU117" i="3"/>
  <c r="AT117" i="3"/>
  <c r="AS117" i="3"/>
  <c r="AR117" i="3"/>
  <c r="AQ117" i="3"/>
  <c r="AP117" i="3"/>
  <c r="AO117" i="3"/>
  <c r="AN117" i="3"/>
  <c r="AM117" i="3"/>
  <c r="AL117" i="3"/>
  <c r="AK117" i="3"/>
  <c r="AJ117" i="3"/>
  <c r="AI117" i="3"/>
  <c r="AH117" i="3"/>
  <c r="AG117" i="3"/>
  <c r="AF117" i="3"/>
  <c r="AE117" i="3"/>
  <c r="AD117" i="3"/>
  <c r="AC117" i="3"/>
  <c r="AB117" i="3"/>
  <c r="AA117" i="3"/>
  <c r="Z117" i="3"/>
  <c r="Y117" i="3"/>
  <c r="X117" i="3"/>
  <c r="W117" i="3"/>
  <c r="V117" i="3"/>
  <c r="U117" i="3"/>
  <c r="T117" i="3"/>
  <c r="S117" i="3"/>
  <c r="R117" i="3"/>
  <c r="Q117" i="3"/>
  <c r="P117" i="3"/>
  <c r="O117" i="3"/>
  <c r="N117" i="3"/>
  <c r="M117" i="3"/>
  <c r="L117" i="3"/>
  <c r="K117" i="3"/>
  <c r="J117" i="3"/>
  <c r="I117" i="3"/>
  <c r="H117" i="3"/>
  <c r="G117" i="3"/>
  <c r="F117" i="3"/>
  <c r="E117" i="3"/>
  <c r="D117" i="3"/>
  <c r="C117" i="3"/>
  <c r="AU116" i="3"/>
  <c r="AT116" i="3"/>
  <c r="AS116" i="3"/>
  <c r="AR116" i="3"/>
  <c r="AQ116" i="3"/>
  <c r="AP116" i="3"/>
  <c r="AO116" i="3"/>
  <c r="AN116" i="3"/>
  <c r="AM116" i="3"/>
  <c r="AL116" i="3"/>
  <c r="AK116" i="3"/>
  <c r="AJ116" i="3"/>
  <c r="AI116" i="3"/>
  <c r="AH116" i="3"/>
  <c r="AG116" i="3"/>
  <c r="AF116" i="3"/>
  <c r="AE116" i="3"/>
  <c r="AD116" i="3"/>
  <c r="AC116" i="3"/>
  <c r="AB116" i="3"/>
  <c r="AA116" i="3"/>
  <c r="Z116" i="3"/>
  <c r="Y116" i="3"/>
  <c r="X116" i="3"/>
  <c r="W116" i="3"/>
  <c r="V116" i="3"/>
  <c r="U116" i="3"/>
  <c r="T116" i="3"/>
  <c r="S116" i="3"/>
  <c r="R116" i="3"/>
  <c r="Q116" i="3"/>
  <c r="P116" i="3"/>
  <c r="O116" i="3"/>
  <c r="N116" i="3"/>
  <c r="M116" i="3"/>
  <c r="L116" i="3"/>
  <c r="K116" i="3"/>
  <c r="J116" i="3"/>
  <c r="I116" i="3"/>
  <c r="H116" i="3"/>
  <c r="G116" i="3"/>
  <c r="F116" i="3"/>
  <c r="E116" i="3"/>
  <c r="D116" i="3"/>
  <c r="C116" i="3"/>
  <c r="AU115" i="3"/>
  <c r="AT115" i="3"/>
  <c r="AS115" i="3"/>
  <c r="AR115" i="3"/>
  <c r="AQ115" i="3"/>
  <c r="AP115" i="3"/>
  <c r="AO115" i="3"/>
  <c r="AN115" i="3"/>
  <c r="AM115" i="3"/>
  <c r="AL115" i="3"/>
  <c r="AK115" i="3"/>
  <c r="AJ115" i="3"/>
  <c r="AI115" i="3"/>
  <c r="AH115" i="3"/>
  <c r="AG115" i="3"/>
  <c r="AF115" i="3"/>
  <c r="AE115" i="3"/>
  <c r="AD115" i="3"/>
  <c r="AC115" i="3"/>
  <c r="AB115" i="3"/>
  <c r="AA115" i="3"/>
  <c r="Z115" i="3"/>
  <c r="Y115" i="3"/>
  <c r="X115" i="3"/>
  <c r="W115" i="3"/>
  <c r="V115" i="3"/>
  <c r="U115" i="3"/>
  <c r="T115" i="3"/>
  <c r="S115" i="3"/>
  <c r="R115" i="3"/>
  <c r="Q115" i="3"/>
  <c r="P115" i="3"/>
  <c r="O115" i="3"/>
  <c r="N115" i="3"/>
  <c r="M115" i="3"/>
  <c r="L115" i="3"/>
  <c r="K115" i="3"/>
  <c r="J115" i="3"/>
  <c r="I115" i="3"/>
  <c r="H115" i="3"/>
  <c r="G115" i="3"/>
  <c r="F115" i="3"/>
  <c r="E115" i="3"/>
  <c r="D115" i="3"/>
  <c r="C115" i="3"/>
  <c r="C5" i="3"/>
  <c r="C3" i="3"/>
  <c r="D4" i="3" s="1"/>
  <c r="B1" i="3"/>
  <c r="K480" i="2"/>
  <c r="X324" i="2"/>
  <c r="L173" i="2"/>
  <c r="L329" i="2" s="1"/>
  <c r="E173" i="2"/>
  <c r="E329" i="2" s="1"/>
  <c r="F9" i="2"/>
  <c r="H9" i="2" s="1"/>
  <c r="D7" i="2"/>
  <c r="C7" i="2"/>
  <c r="AH6" i="2"/>
  <c r="AE6" i="2"/>
  <c r="AD6" i="2"/>
  <c r="AB6" i="2"/>
  <c r="Q173" i="2" s="1"/>
  <c r="Z6" i="2"/>
  <c r="O173" i="2" s="1"/>
  <c r="V6" i="2"/>
  <c r="AG6" i="2" s="1"/>
  <c r="U6" i="2"/>
  <c r="AF6" i="2" s="1"/>
  <c r="T6" i="2"/>
  <c r="S6" i="2"/>
  <c r="R6" i="2"/>
  <c r="AC6" i="2" s="1"/>
  <c r="O6" i="2"/>
  <c r="C173" i="2" s="1"/>
  <c r="D4" i="2"/>
  <c r="H3" i="2"/>
  <c r="B1" i="2"/>
  <c r="G135" i="1"/>
  <c r="F135" i="1"/>
  <c r="E135" i="1"/>
  <c r="D135" i="1"/>
  <c r="C135" i="1"/>
  <c r="G134" i="1"/>
  <c r="C134" i="1" s="1"/>
  <c r="G133" i="1"/>
  <c r="C133" i="1" s="1"/>
  <c r="G132" i="1"/>
  <c r="C132" i="1"/>
  <c r="G131" i="1"/>
  <c r="C131" i="1"/>
  <c r="G130" i="1"/>
  <c r="C130" i="1" s="1"/>
  <c r="G129" i="1"/>
  <c r="C129" i="1" s="1"/>
  <c r="G128" i="1"/>
  <c r="C128" i="1"/>
  <c r="G127" i="1"/>
  <c r="C127" i="1"/>
  <c r="G126" i="1"/>
  <c r="C126" i="1" s="1"/>
  <c r="G125" i="1"/>
  <c r="C125" i="1" s="1"/>
  <c r="C124" i="1"/>
  <c r="L123" i="1"/>
  <c r="L122" i="1"/>
  <c r="L121" i="1"/>
  <c r="L120" i="1"/>
  <c r="L119" i="1"/>
  <c r="L118" i="1"/>
  <c r="C110" i="1"/>
  <c r="C111" i="1" s="1"/>
  <c r="C112" i="1" s="1"/>
  <c r="C113" i="1" s="1"/>
  <c r="C114" i="1" s="1"/>
  <c r="C115" i="1" s="1"/>
  <c r="C116" i="1" s="1"/>
  <c r="C117" i="1" s="1"/>
  <c r="C118" i="1" s="1"/>
  <c r="C119" i="1" s="1"/>
  <c r="C120" i="1" s="1"/>
  <c r="C109" i="1"/>
  <c r="O105" i="1"/>
  <c r="O106" i="1" s="1"/>
  <c r="O104" i="1"/>
  <c r="O103" i="1"/>
  <c r="O102" i="1"/>
  <c r="D13" i="1"/>
  <c r="C4" i="3" s="1"/>
  <c r="G9" i="1"/>
  <c r="O112" i="1" s="1"/>
  <c r="B1" i="1"/>
  <c r="J151" i="2" l="1"/>
  <c r="H173" i="2"/>
  <c r="H329" i="2" s="1"/>
  <c r="J9" i="2"/>
  <c r="I173" i="2"/>
  <c r="I329" i="2" s="1"/>
  <c r="D3" i="2"/>
  <c r="K147" i="2" s="1"/>
  <c r="J173" i="2"/>
  <c r="J329" i="2" s="1"/>
  <c r="B62" i="3"/>
  <c r="B9" i="3"/>
  <c r="C10" i="2"/>
  <c r="O114" i="1"/>
  <c r="C62" i="3"/>
  <c r="C9" i="3"/>
  <c r="O111" i="1"/>
  <c r="O113" i="1"/>
  <c r="Z7" i="2"/>
  <c r="G9" i="2"/>
  <c r="L9" i="2" s="1"/>
  <c r="F173" i="2"/>
  <c r="F329" i="2" s="1"/>
  <c r="AA7" i="2"/>
  <c r="G173" i="2"/>
  <c r="G329" i="2" s="1"/>
  <c r="I9" i="2"/>
  <c r="D237" i="3"/>
  <c r="E4" i="3"/>
  <c r="D157" i="3"/>
  <c r="E157" i="3"/>
  <c r="G138" i="3"/>
  <c r="G132" i="3"/>
  <c r="O132" i="3"/>
  <c r="O138" i="3"/>
  <c r="AM132" i="3"/>
  <c r="AM138" i="3"/>
  <c r="AQ138" i="3"/>
  <c r="AQ132" i="3"/>
  <c r="AU132" i="3"/>
  <c r="AR138" i="3"/>
  <c r="AR132" i="3"/>
  <c r="I132" i="3"/>
  <c r="Y132" i="3"/>
  <c r="AG132" i="3"/>
  <c r="AO132" i="3"/>
  <c r="F138" i="3"/>
  <c r="F132" i="3"/>
  <c r="V138" i="3"/>
  <c r="V132" i="3"/>
  <c r="AL138" i="3"/>
  <c r="AL132" i="3"/>
  <c r="K132" i="3"/>
  <c r="K138" i="3"/>
  <c r="S132" i="3"/>
  <c r="S138" i="3"/>
  <c r="AA132" i="3"/>
  <c r="AA138" i="3"/>
  <c r="AI132" i="3"/>
  <c r="AI138" i="3"/>
  <c r="W132" i="3"/>
  <c r="W138" i="3"/>
  <c r="AE138" i="3"/>
  <c r="AE132" i="3"/>
  <c r="D138" i="3"/>
  <c r="D132" i="3"/>
  <c r="L138" i="3"/>
  <c r="L132" i="3"/>
  <c r="T138" i="3"/>
  <c r="T132" i="3"/>
  <c r="AB138" i="3"/>
  <c r="AB132" i="3"/>
  <c r="AJ138" i="3"/>
  <c r="AJ132" i="3"/>
  <c r="E138" i="3"/>
  <c r="E132" i="3"/>
  <c r="M138" i="3"/>
  <c r="M132" i="3"/>
  <c r="U138" i="3"/>
  <c r="U132" i="3"/>
  <c r="AC138" i="3"/>
  <c r="AC132" i="3"/>
  <c r="AK138" i="3"/>
  <c r="AK132" i="3"/>
  <c r="N138" i="3"/>
  <c r="N132" i="3"/>
  <c r="AD138" i="3"/>
  <c r="AD132" i="3"/>
  <c r="AT138" i="3"/>
  <c r="AT132" i="3"/>
  <c r="Q132" i="3"/>
  <c r="AG138" i="3"/>
  <c r="AU138" i="3"/>
  <c r="I138" i="3"/>
  <c r="D168" i="3"/>
  <c r="Y138" i="3"/>
  <c r="H131" i="3"/>
  <c r="P131" i="3"/>
  <c r="X131" i="3"/>
  <c r="AF131" i="3"/>
  <c r="AN131" i="3"/>
  <c r="AO138" i="3"/>
  <c r="AS138" i="3"/>
  <c r="AS132" i="3"/>
  <c r="J131" i="3"/>
  <c r="R131" i="3"/>
  <c r="Z131" i="3"/>
  <c r="AH131" i="3"/>
  <c r="AP131" i="3"/>
  <c r="K156" i="2" l="1"/>
  <c r="K153" i="2"/>
  <c r="K150" i="2"/>
  <c r="K117" i="2"/>
  <c r="K144" i="2"/>
  <c r="K141" i="2"/>
  <c r="K138" i="2"/>
  <c r="K135" i="2"/>
  <c r="K132" i="2"/>
  <c r="K129" i="2"/>
  <c r="K126" i="2"/>
  <c r="K123" i="2"/>
  <c r="K120" i="2"/>
  <c r="AH132" i="3"/>
  <c r="AH138" i="3"/>
  <c r="AF138" i="3"/>
  <c r="AF132" i="3"/>
  <c r="H132" i="3"/>
  <c r="H138" i="3"/>
  <c r="Z132" i="3"/>
  <c r="Z138" i="3"/>
  <c r="X132" i="3"/>
  <c r="X138" i="3"/>
  <c r="R138" i="3"/>
  <c r="R132" i="3"/>
  <c r="P132" i="3"/>
  <c r="P138" i="3"/>
  <c r="E237" i="3"/>
  <c r="F4" i="3"/>
  <c r="J132" i="3"/>
  <c r="J138" i="3"/>
  <c r="D163" i="3"/>
  <c r="D184" i="3"/>
  <c r="E184" i="3"/>
  <c r="E163" i="3"/>
  <c r="D195" i="3"/>
  <c r="B63" i="3"/>
  <c r="B10" i="3"/>
  <c r="Z10" i="2"/>
  <c r="F12" i="2"/>
  <c r="H12" i="2" s="1"/>
  <c r="D10" i="2"/>
  <c r="C13" i="2"/>
  <c r="J12" i="2"/>
  <c r="AP138" i="3"/>
  <c r="AP132" i="3"/>
  <c r="AN132" i="3"/>
  <c r="AN138" i="3"/>
  <c r="F8" i="2"/>
  <c r="AB7" i="2" l="1"/>
  <c r="R7" i="2"/>
  <c r="Q7" i="2"/>
  <c r="F7" i="2"/>
  <c r="P7" i="2"/>
  <c r="O7" i="2"/>
  <c r="AC7" i="2"/>
  <c r="G8" i="2"/>
  <c r="H8" i="2"/>
  <c r="F237" i="3"/>
  <c r="G4" i="3"/>
  <c r="F157" i="3"/>
  <c r="F11" i="2"/>
  <c r="B64" i="3"/>
  <c r="B11" i="3"/>
  <c r="Z13" i="2"/>
  <c r="F15" i="2"/>
  <c r="H15" i="2" s="1"/>
  <c r="D13" i="2"/>
  <c r="C16" i="2"/>
  <c r="I12" i="2"/>
  <c r="C63" i="3"/>
  <c r="C10" i="3"/>
  <c r="AA10" i="2"/>
  <c r="D211" i="3"/>
  <c r="D190" i="3"/>
  <c r="D222" i="3"/>
  <c r="G12" i="2"/>
  <c r="L12" i="2" s="1"/>
  <c r="E211" i="3"/>
  <c r="E190" i="3"/>
  <c r="J15" i="2" l="1"/>
  <c r="AB10" i="2"/>
  <c r="R10" i="2"/>
  <c r="Q10" i="2"/>
  <c r="F10" i="2"/>
  <c r="P10" i="2"/>
  <c r="O10" i="2"/>
  <c r="AC10" i="2"/>
  <c r="G11" i="2"/>
  <c r="H11" i="2"/>
  <c r="B65" i="3"/>
  <c r="B12" i="3"/>
  <c r="H18" i="2"/>
  <c r="Z16" i="2"/>
  <c r="F18" i="2"/>
  <c r="G18" i="2" s="1"/>
  <c r="D16" i="2"/>
  <c r="C19" i="2"/>
  <c r="I15" i="2"/>
  <c r="S7" i="2"/>
  <c r="G7" i="2"/>
  <c r="AD7" i="2"/>
  <c r="C64" i="3"/>
  <c r="C11" i="3"/>
  <c r="AA13" i="2"/>
  <c r="C330" i="2"/>
  <c r="C174" i="2"/>
  <c r="O174" i="2" s="1"/>
  <c r="D330" i="2"/>
  <c r="D174" i="2"/>
  <c r="P174" i="2" s="1"/>
  <c r="E330" i="2"/>
  <c r="E174" i="2"/>
  <c r="Q174" i="2" s="1"/>
  <c r="G15" i="2"/>
  <c r="L15" i="2" s="1"/>
  <c r="F174" i="2"/>
  <c r="R174" i="2" s="1"/>
  <c r="F330" i="2"/>
  <c r="D217" i="3"/>
  <c r="D238" i="3"/>
  <c r="F14" i="2"/>
  <c r="F17" i="2" s="1"/>
  <c r="F184" i="3"/>
  <c r="F163" i="3"/>
  <c r="E217" i="3"/>
  <c r="E238" i="3"/>
  <c r="G237" i="3"/>
  <c r="H4" i="3"/>
  <c r="G3" i="3"/>
  <c r="G157" i="3"/>
  <c r="H7" i="2"/>
  <c r="AE7" i="2"/>
  <c r="T7" i="2"/>
  <c r="I8" i="2"/>
  <c r="AB16" i="2" l="1"/>
  <c r="R16" i="2"/>
  <c r="Q16" i="2"/>
  <c r="F16" i="2"/>
  <c r="P16" i="2"/>
  <c r="O16" i="2"/>
  <c r="AC16" i="2"/>
  <c r="C333" i="2"/>
  <c r="C177" i="2"/>
  <c r="O177" i="2" s="1"/>
  <c r="G17" i="2"/>
  <c r="D177" i="2"/>
  <c r="P177" i="2" s="1"/>
  <c r="D333" i="2"/>
  <c r="G174" i="2"/>
  <c r="S174" i="2" s="1"/>
  <c r="G330" i="2"/>
  <c r="B66" i="3"/>
  <c r="B13" i="3"/>
  <c r="H21" i="2"/>
  <c r="F20" i="2"/>
  <c r="G20" i="2" s="1"/>
  <c r="Z19" i="2"/>
  <c r="F21" i="2"/>
  <c r="G21" i="2" s="1"/>
  <c r="D19" i="2"/>
  <c r="C22" i="2"/>
  <c r="J21" i="2"/>
  <c r="I18" i="2"/>
  <c r="L18" i="2" s="1"/>
  <c r="C65" i="3"/>
  <c r="C12" i="3"/>
  <c r="AA16" i="2"/>
  <c r="E333" i="2"/>
  <c r="E177" i="2"/>
  <c r="Q177" i="2" s="1"/>
  <c r="F177" i="2"/>
  <c r="R177" i="2" s="1"/>
  <c r="F333" i="2"/>
  <c r="F211" i="3"/>
  <c r="F190" i="3"/>
  <c r="AF7" i="2"/>
  <c r="U7" i="2"/>
  <c r="I7" i="2"/>
  <c r="J8" i="2"/>
  <c r="H237" i="3"/>
  <c r="I4" i="3"/>
  <c r="H157" i="3"/>
  <c r="H17" i="2"/>
  <c r="J18" i="2"/>
  <c r="H10" i="2"/>
  <c r="AE10" i="2"/>
  <c r="T10" i="2"/>
  <c r="I11" i="2"/>
  <c r="G184" i="3"/>
  <c r="G163" i="3"/>
  <c r="AB13" i="2"/>
  <c r="R13" i="2"/>
  <c r="Q13" i="2"/>
  <c r="F13" i="2"/>
  <c r="P13" i="2"/>
  <c r="O13" i="2"/>
  <c r="AC13" i="2"/>
  <c r="G14" i="2"/>
  <c r="H14" i="2"/>
  <c r="H330" i="2"/>
  <c r="H174" i="2"/>
  <c r="T174" i="2" s="1"/>
  <c r="S10" i="2"/>
  <c r="G10" i="2"/>
  <c r="AD10" i="2"/>
  <c r="H20" i="2" l="1"/>
  <c r="AB19" i="2"/>
  <c r="R19" i="2"/>
  <c r="Q19" i="2"/>
  <c r="F19" i="2"/>
  <c r="P19" i="2"/>
  <c r="O19" i="2"/>
  <c r="AC19" i="2"/>
  <c r="E336" i="2"/>
  <c r="E180" i="2"/>
  <c r="Q180" i="2" s="1"/>
  <c r="E339" i="2"/>
  <c r="E183" i="2"/>
  <c r="Q183" i="2" s="1"/>
  <c r="I330" i="2"/>
  <c r="I174" i="2"/>
  <c r="U174" i="2" s="1"/>
  <c r="S19" i="2"/>
  <c r="G19" i="2"/>
  <c r="AD19" i="2"/>
  <c r="F183" i="2"/>
  <c r="R183" i="2" s="1"/>
  <c r="F339" i="2"/>
  <c r="AF10" i="2"/>
  <c r="U10" i="2"/>
  <c r="I10" i="2"/>
  <c r="J11" i="2"/>
  <c r="H333" i="2"/>
  <c r="H177" i="2"/>
  <c r="T177" i="2" s="1"/>
  <c r="I237" i="3"/>
  <c r="J4" i="3"/>
  <c r="I157" i="3"/>
  <c r="H13" i="2"/>
  <c r="AE13" i="2"/>
  <c r="T13" i="2"/>
  <c r="I14" i="2"/>
  <c r="B67" i="3"/>
  <c r="B14" i="3"/>
  <c r="H24" i="2"/>
  <c r="F23" i="2"/>
  <c r="H23" i="2" s="1"/>
  <c r="Z22" i="2"/>
  <c r="F24" i="2"/>
  <c r="I24" i="2" s="1"/>
  <c r="D22" i="2"/>
  <c r="C25" i="2"/>
  <c r="I21" i="2"/>
  <c r="L21" i="2" s="1"/>
  <c r="S13" i="2"/>
  <c r="G13" i="2"/>
  <c r="AD13" i="2"/>
  <c r="F238" i="3"/>
  <c r="F217" i="3"/>
  <c r="C66" i="3"/>
  <c r="C13" i="3"/>
  <c r="AA19" i="2"/>
  <c r="F180" i="2"/>
  <c r="R180" i="2" s="1"/>
  <c r="F336" i="2"/>
  <c r="G211" i="3"/>
  <c r="G190" i="3"/>
  <c r="H19" i="2"/>
  <c r="AE19" i="2"/>
  <c r="T19" i="2"/>
  <c r="H184" i="3"/>
  <c r="H163" i="3"/>
  <c r="C336" i="2"/>
  <c r="C180" i="2"/>
  <c r="O180" i="2" s="1"/>
  <c r="S16" i="2"/>
  <c r="G16" i="2"/>
  <c r="AD16" i="2"/>
  <c r="C339" i="2"/>
  <c r="C183" i="2"/>
  <c r="O183" i="2" s="1"/>
  <c r="G177" i="2"/>
  <c r="S177" i="2" s="1"/>
  <c r="G333" i="2"/>
  <c r="D336" i="2"/>
  <c r="D180" i="2"/>
  <c r="P180" i="2" s="1"/>
  <c r="H16" i="2"/>
  <c r="AE16" i="2"/>
  <c r="T16" i="2"/>
  <c r="I17" i="2"/>
  <c r="AG7" i="2"/>
  <c r="V7" i="2"/>
  <c r="K9" i="2"/>
  <c r="X7" i="2" s="1"/>
  <c r="J7" i="2"/>
  <c r="G9" i="3" s="1"/>
  <c r="L8" i="2"/>
  <c r="I20" i="2"/>
  <c r="D339" i="2"/>
  <c r="D183" i="2"/>
  <c r="P183" i="2" s="1"/>
  <c r="H22" i="2" l="1"/>
  <c r="AE22" i="2"/>
  <c r="T22" i="2"/>
  <c r="I23" i="2"/>
  <c r="AF16" i="2"/>
  <c r="U16" i="2"/>
  <c r="I16" i="2"/>
  <c r="J17" i="2"/>
  <c r="H211" i="3"/>
  <c r="H190" i="3"/>
  <c r="D342" i="2"/>
  <c r="D186" i="2"/>
  <c r="P186" i="2" s="1"/>
  <c r="J24" i="2"/>
  <c r="AF19" i="2"/>
  <c r="U19" i="2"/>
  <c r="I19" i="2"/>
  <c r="J20" i="2"/>
  <c r="H339" i="2"/>
  <c r="H183" i="2"/>
  <c r="T183" i="2" s="1"/>
  <c r="F9" i="3"/>
  <c r="G238" i="3"/>
  <c r="G217" i="3"/>
  <c r="G24" i="2"/>
  <c r="L24" i="2" s="1"/>
  <c r="I177" i="2"/>
  <c r="U177" i="2" s="1"/>
  <c r="I333" i="2"/>
  <c r="H342" i="2"/>
  <c r="H186" i="2"/>
  <c r="T186" i="2" s="1"/>
  <c r="AB22" i="2"/>
  <c r="R22" i="2"/>
  <c r="Q22" i="2"/>
  <c r="F22" i="2"/>
  <c r="P22" i="2"/>
  <c r="O22" i="2"/>
  <c r="AC22" i="2"/>
  <c r="AF13" i="2"/>
  <c r="U13" i="2"/>
  <c r="I13" i="2"/>
  <c r="J14" i="2"/>
  <c r="I9" i="3"/>
  <c r="E342" i="2"/>
  <c r="E186" i="2"/>
  <c r="Q186" i="2" s="1"/>
  <c r="H180" i="2"/>
  <c r="T180" i="2" s="1"/>
  <c r="H336" i="2"/>
  <c r="I184" i="3"/>
  <c r="I163" i="3"/>
  <c r="F186" i="2"/>
  <c r="R186" i="2" s="1"/>
  <c r="F342" i="2"/>
  <c r="AH7" i="2"/>
  <c r="W7" i="2"/>
  <c r="L7" i="2"/>
  <c r="G180" i="2"/>
  <c r="S180" i="2" s="1"/>
  <c r="G336" i="2"/>
  <c r="G23" i="2"/>
  <c r="J237" i="3"/>
  <c r="K4" i="3"/>
  <c r="J157" i="3"/>
  <c r="J9" i="3"/>
  <c r="B68" i="3"/>
  <c r="B15" i="3"/>
  <c r="I27" i="2"/>
  <c r="F26" i="2"/>
  <c r="G26" i="2" s="1"/>
  <c r="G27" i="2"/>
  <c r="Z25" i="2"/>
  <c r="F27" i="2"/>
  <c r="H27" i="2" s="1"/>
  <c r="D25" i="2"/>
  <c r="C28" i="2"/>
  <c r="D9" i="3"/>
  <c r="G339" i="2"/>
  <c r="G183" i="2"/>
  <c r="S183" i="2" s="1"/>
  <c r="J330" i="2"/>
  <c r="J174" i="2"/>
  <c r="V174" i="2" s="1"/>
  <c r="C67" i="3"/>
  <c r="C14" i="3"/>
  <c r="AA22" i="2"/>
  <c r="H9" i="3"/>
  <c r="AG10" i="2"/>
  <c r="V10" i="2"/>
  <c r="K12" i="2"/>
  <c r="X10" i="2" s="1"/>
  <c r="J10" i="2"/>
  <c r="L11" i="2"/>
  <c r="G342" i="2"/>
  <c r="G186" i="2"/>
  <c r="S186" i="2" s="1"/>
  <c r="C186" i="2"/>
  <c r="O186" i="2" s="1"/>
  <c r="C342" i="2"/>
  <c r="E9" i="3"/>
  <c r="H26" i="2" l="1"/>
  <c r="I26" i="2" s="1"/>
  <c r="AF25" i="2" s="1"/>
  <c r="I10" i="3"/>
  <c r="E10" i="3"/>
  <c r="D10" i="3"/>
  <c r="F10" i="3"/>
  <c r="S25" i="2"/>
  <c r="G25" i="2"/>
  <c r="AD25" i="2"/>
  <c r="J177" i="2"/>
  <c r="V177" i="2" s="1"/>
  <c r="J333" i="2"/>
  <c r="G10" i="3"/>
  <c r="B69" i="3"/>
  <c r="B16" i="3"/>
  <c r="I30" i="2"/>
  <c r="H30" i="2"/>
  <c r="F29" i="2"/>
  <c r="G30" i="2"/>
  <c r="L30" i="2" s="1"/>
  <c r="Z28" i="2"/>
  <c r="F30" i="2"/>
  <c r="D28" i="2"/>
  <c r="C31" i="2"/>
  <c r="J30" i="2"/>
  <c r="AG13" i="2"/>
  <c r="V13" i="2"/>
  <c r="K15" i="2"/>
  <c r="X13" i="2" s="1"/>
  <c r="J13" i="2"/>
  <c r="G11" i="3" s="1"/>
  <c r="L14" i="2"/>
  <c r="E345" i="2"/>
  <c r="E189" i="2"/>
  <c r="Q189" i="2" s="1"/>
  <c r="H238" i="3"/>
  <c r="H217" i="3"/>
  <c r="AF22" i="2"/>
  <c r="U22" i="2"/>
  <c r="I22" i="2"/>
  <c r="J23" i="2"/>
  <c r="L330" i="2"/>
  <c r="L174" i="2"/>
  <c r="W174" i="2" s="1"/>
  <c r="K174" i="2"/>
  <c r="C68" i="3"/>
  <c r="C15" i="3"/>
  <c r="AA25" i="2"/>
  <c r="J10" i="3"/>
  <c r="F189" i="2"/>
  <c r="R189" i="2" s="1"/>
  <c r="F345" i="2"/>
  <c r="AG16" i="2"/>
  <c r="V16" i="2"/>
  <c r="K18" i="2"/>
  <c r="X16" i="2" s="1"/>
  <c r="J16" i="2"/>
  <c r="I12" i="3" s="1"/>
  <c r="L17" i="2"/>
  <c r="H189" i="2"/>
  <c r="T189" i="2" s="1"/>
  <c r="H345" i="2"/>
  <c r="I180" i="2"/>
  <c r="U180" i="2" s="1"/>
  <c r="I336" i="2"/>
  <c r="J11" i="3"/>
  <c r="J27" i="2"/>
  <c r="I339" i="2"/>
  <c r="I183" i="2"/>
  <c r="U183" i="2" s="1"/>
  <c r="AG19" i="2"/>
  <c r="V19" i="2"/>
  <c r="K21" i="2"/>
  <c r="X19" i="2" s="1"/>
  <c r="J19" i="2"/>
  <c r="L20" i="2"/>
  <c r="H10" i="3"/>
  <c r="I25" i="2"/>
  <c r="J184" i="3"/>
  <c r="J163" i="3"/>
  <c r="AH10" i="2"/>
  <c r="W10" i="2"/>
  <c r="L10" i="2"/>
  <c r="AB25" i="2"/>
  <c r="R25" i="2"/>
  <c r="Q25" i="2"/>
  <c r="F25" i="2"/>
  <c r="P25" i="2"/>
  <c r="O25" i="2"/>
  <c r="AC25" i="2"/>
  <c r="K237" i="3"/>
  <c r="L4" i="3"/>
  <c r="K3" i="3"/>
  <c r="K157" i="3"/>
  <c r="K9" i="3"/>
  <c r="K10" i="3"/>
  <c r="C345" i="2"/>
  <c r="C189" i="2"/>
  <c r="O189" i="2" s="1"/>
  <c r="L27" i="2"/>
  <c r="S22" i="2"/>
  <c r="G22" i="2"/>
  <c r="AD22" i="2"/>
  <c r="K62" i="3"/>
  <c r="J62" i="3"/>
  <c r="I62" i="3"/>
  <c r="H62" i="3"/>
  <c r="G62" i="3"/>
  <c r="F62" i="3"/>
  <c r="E62" i="3"/>
  <c r="L62" i="3"/>
  <c r="D62" i="3"/>
  <c r="I211" i="3"/>
  <c r="I190" i="3"/>
  <c r="D345" i="2"/>
  <c r="D189" i="2"/>
  <c r="P189" i="2" s="1"/>
  <c r="I186" i="2"/>
  <c r="U186" i="2" s="1"/>
  <c r="I342" i="2"/>
  <c r="D11" i="3" l="1"/>
  <c r="T25" i="2"/>
  <c r="H192" i="2" s="1"/>
  <c r="T192" i="2" s="1"/>
  <c r="AE25" i="2"/>
  <c r="U25" i="2"/>
  <c r="I348" i="2" s="1"/>
  <c r="H25" i="2"/>
  <c r="J26" i="2"/>
  <c r="V25" i="2" s="1"/>
  <c r="E12" i="3"/>
  <c r="I11" i="3"/>
  <c r="K11" i="3"/>
  <c r="D12" i="3"/>
  <c r="J12" i="3"/>
  <c r="K12" i="3"/>
  <c r="H11" i="3"/>
  <c r="F12" i="3"/>
  <c r="H12" i="3"/>
  <c r="J186" i="2"/>
  <c r="V186" i="2" s="1"/>
  <c r="J342" i="2"/>
  <c r="I345" i="2"/>
  <c r="I189" i="2"/>
  <c r="U189" i="2" s="1"/>
  <c r="C348" i="2"/>
  <c r="C192" i="2"/>
  <c r="O192" i="2" s="1"/>
  <c r="E63" i="3"/>
  <c r="L63" i="3"/>
  <c r="D63" i="3"/>
  <c r="K63" i="3"/>
  <c r="J63" i="3"/>
  <c r="I63" i="3"/>
  <c r="H63" i="3"/>
  <c r="G63" i="3"/>
  <c r="F63" i="3"/>
  <c r="J336" i="2"/>
  <c r="J180" i="2"/>
  <c r="V180" i="2" s="1"/>
  <c r="D348" i="2"/>
  <c r="D192" i="2"/>
  <c r="P192" i="2" s="1"/>
  <c r="L333" i="2"/>
  <c r="L177" i="2"/>
  <c r="W177" i="2" s="1"/>
  <c r="K177" i="2"/>
  <c r="AB28" i="2"/>
  <c r="R28" i="2"/>
  <c r="Q28" i="2"/>
  <c r="F28" i="2"/>
  <c r="P28" i="2"/>
  <c r="O28" i="2"/>
  <c r="AC28" i="2"/>
  <c r="AH16" i="2"/>
  <c r="W16" i="2"/>
  <c r="L16" i="2"/>
  <c r="G192" i="2"/>
  <c r="S192" i="2" s="1"/>
  <c r="G348" i="2"/>
  <c r="G345" i="2"/>
  <c r="G189" i="2"/>
  <c r="S189" i="2" s="1"/>
  <c r="K163" i="3"/>
  <c r="K184" i="3"/>
  <c r="E348" i="2"/>
  <c r="E192" i="2"/>
  <c r="Q192" i="2" s="1"/>
  <c r="G29" i="2"/>
  <c r="I238" i="3"/>
  <c r="I217" i="3"/>
  <c r="F348" i="2"/>
  <c r="F192" i="2"/>
  <c r="R192" i="2" s="1"/>
  <c r="B70" i="3"/>
  <c r="B17" i="3"/>
  <c r="F32" i="2"/>
  <c r="H32" i="2" s="1"/>
  <c r="Z31" i="2"/>
  <c r="F33" i="2"/>
  <c r="I33" i="2" s="1"/>
  <c r="D31" i="2"/>
  <c r="C34" i="2"/>
  <c r="J33" i="2"/>
  <c r="G12" i="3"/>
  <c r="J211" i="3"/>
  <c r="J190" i="3"/>
  <c r="AH19" i="2"/>
  <c r="W19" i="2"/>
  <c r="L19" i="2"/>
  <c r="L237" i="3"/>
  <c r="M4" i="3"/>
  <c r="L157" i="3"/>
  <c r="L9" i="3"/>
  <c r="L10" i="3"/>
  <c r="L12" i="3"/>
  <c r="L11" i="3"/>
  <c r="L13" i="3"/>
  <c r="J13" i="3"/>
  <c r="E13" i="3"/>
  <c r="I13" i="3"/>
  <c r="F13" i="3"/>
  <c r="K13" i="3"/>
  <c r="G13" i="3"/>
  <c r="H13" i="3"/>
  <c r="D13" i="3"/>
  <c r="J339" i="2"/>
  <c r="J183" i="2"/>
  <c r="V183" i="2" s="1"/>
  <c r="AG22" i="2"/>
  <c r="V22" i="2"/>
  <c r="K24" i="2"/>
  <c r="X22" i="2" s="1"/>
  <c r="J22" i="2"/>
  <c r="F14" i="3" s="1"/>
  <c r="L23" i="2"/>
  <c r="AH13" i="2"/>
  <c r="W13" i="2"/>
  <c r="L13" i="2"/>
  <c r="C69" i="3"/>
  <c r="C16" i="3"/>
  <c r="AA28" i="2"/>
  <c r="AG25" i="2"/>
  <c r="K27" i="2"/>
  <c r="X25" i="2" s="1"/>
  <c r="J25" i="2"/>
  <c r="E15" i="3" s="1"/>
  <c r="L26" i="2"/>
  <c r="F11" i="3"/>
  <c r="E11" i="3"/>
  <c r="H29" i="2"/>
  <c r="H348" i="2" l="1"/>
  <c r="I192" i="2"/>
  <c r="U192" i="2" s="1"/>
  <c r="G14" i="3"/>
  <c r="G32" i="2"/>
  <c r="S31" i="2" s="1"/>
  <c r="L14" i="3"/>
  <c r="K14" i="3"/>
  <c r="K66" i="3"/>
  <c r="J66" i="3"/>
  <c r="I66" i="3"/>
  <c r="H66" i="3"/>
  <c r="G66" i="3"/>
  <c r="F66" i="3"/>
  <c r="M66" i="3"/>
  <c r="E66" i="3"/>
  <c r="L66" i="3"/>
  <c r="D66" i="3"/>
  <c r="H31" i="2"/>
  <c r="T31" i="2"/>
  <c r="K211" i="3"/>
  <c r="K190" i="3"/>
  <c r="F15" i="3"/>
  <c r="D15" i="3"/>
  <c r="E351" i="2"/>
  <c r="E195" i="2"/>
  <c r="Q195" i="2" s="1"/>
  <c r="K186" i="2"/>
  <c r="L342" i="2"/>
  <c r="L186" i="2"/>
  <c r="W186" i="2" s="1"/>
  <c r="I15" i="3"/>
  <c r="L15" i="3"/>
  <c r="F351" i="2"/>
  <c r="F195" i="2"/>
  <c r="R195" i="2" s="1"/>
  <c r="AH22" i="2"/>
  <c r="W22" i="2"/>
  <c r="L22" i="2"/>
  <c r="I32" i="2"/>
  <c r="G33" i="2"/>
  <c r="E14" i="3"/>
  <c r="AH25" i="2"/>
  <c r="W25" i="2"/>
  <c r="L25" i="2"/>
  <c r="AB31" i="2"/>
  <c r="R31" i="2"/>
  <c r="Q31" i="2"/>
  <c r="F31" i="2"/>
  <c r="P31" i="2"/>
  <c r="O31" i="2"/>
  <c r="AC31" i="2"/>
  <c r="S28" i="2"/>
  <c r="G28" i="2"/>
  <c r="AD28" i="2"/>
  <c r="K15" i="3"/>
  <c r="I14" i="3"/>
  <c r="J14" i="3"/>
  <c r="L336" i="2"/>
  <c r="L180" i="2"/>
  <c r="W180" i="2" s="1"/>
  <c r="K180" i="2"/>
  <c r="H28" i="2"/>
  <c r="AE28" i="2"/>
  <c r="T28" i="2"/>
  <c r="I29" i="2"/>
  <c r="L163" i="3"/>
  <c r="L184" i="3"/>
  <c r="J238" i="3"/>
  <c r="J217" i="3"/>
  <c r="H33" i="2"/>
  <c r="L33" i="2" s="1"/>
  <c r="H15" i="3"/>
  <c r="J345" i="2"/>
  <c r="J189" i="2"/>
  <c r="V189" i="2" s="1"/>
  <c r="M237" i="3"/>
  <c r="N4" i="3"/>
  <c r="M157" i="3"/>
  <c r="M9" i="3"/>
  <c r="M10" i="3"/>
  <c r="M11" i="3"/>
  <c r="M12" i="3"/>
  <c r="M13" i="3"/>
  <c r="M62" i="3"/>
  <c r="M14" i="3"/>
  <c r="G31" i="2"/>
  <c r="AD31" i="2"/>
  <c r="C351" i="2"/>
  <c r="C195" i="2"/>
  <c r="O195" i="2" s="1"/>
  <c r="M63" i="3"/>
  <c r="J192" i="2"/>
  <c r="V192" i="2" s="1"/>
  <c r="J348" i="2"/>
  <c r="H14" i="3"/>
  <c r="B71" i="3"/>
  <c r="B18" i="3"/>
  <c r="I36" i="2"/>
  <c r="F35" i="2"/>
  <c r="G35" i="2" s="1"/>
  <c r="G36" i="2"/>
  <c r="Z34" i="2"/>
  <c r="F36" i="2"/>
  <c r="H36" i="2" s="1"/>
  <c r="D34" i="2"/>
  <c r="C37" i="2"/>
  <c r="J36" i="2"/>
  <c r="G15" i="3"/>
  <c r="J15" i="3"/>
  <c r="I65" i="3"/>
  <c r="H65" i="3"/>
  <c r="G65" i="3"/>
  <c r="N65" i="3"/>
  <c r="F65" i="3"/>
  <c r="M65" i="3"/>
  <c r="E65" i="3"/>
  <c r="L65" i="3"/>
  <c r="D65" i="3"/>
  <c r="K65" i="3"/>
  <c r="J65" i="3"/>
  <c r="D351" i="2"/>
  <c r="D195" i="2"/>
  <c r="P195" i="2" s="1"/>
  <c r="G64" i="3"/>
  <c r="N64" i="3"/>
  <c r="F64" i="3"/>
  <c r="M64" i="3"/>
  <c r="E64" i="3"/>
  <c r="L64" i="3"/>
  <c r="D64" i="3"/>
  <c r="K64" i="3"/>
  <c r="J64" i="3"/>
  <c r="I64" i="3"/>
  <c r="H64" i="3"/>
  <c r="D14" i="3"/>
  <c r="C70" i="3"/>
  <c r="C17" i="3"/>
  <c r="AA31" i="2"/>
  <c r="M15" i="3"/>
  <c r="L183" i="2"/>
  <c r="W183" i="2" s="1"/>
  <c r="L339" i="2"/>
  <c r="K183" i="2"/>
  <c r="H35" i="2" l="1"/>
  <c r="I35" i="2" s="1"/>
  <c r="I34" i="2" s="1"/>
  <c r="N237" i="3"/>
  <c r="O4" i="3"/>
  <c r="N157" i="3"/>
  <c r="N9" i="3"/>
  <c r="N10" i="3"/>
  <c r="N12" i="3"/>
  <c r="N11" i="3"/>
  <c r="N13" i="3"/>
  <c r="N62" i="3"/>
  <c r="N14" i="3"/>
  <c r="N63" i="3"/>
  <c r="N15" i="3"/>
  <c r="L36" i="2"/>
  <c r="S34" i="2"/>
  <c r="G34" i="2"/>
  <c r="AD34" i="2"/>
  <c r="E354" i="2"/>
  <c r="E198" i="2"/>
  <c r="Q198" i="2" s="1"/>
  <c r="G198" i="2"/>
  <c r="S198" i="2" s="1"/>
  <c r="G354" i="2"/>
  <c r="L211" i="3"/>
  <c r="L190" i="3"/>
  <c r="F354" i="2"/>
  <c r="F198" i="2"/>
  <c r="R198" i="2" s="1"/>
  <c r="C71" i="3"/>
  <c r="C18" i="3"/>
  <c r="AA34" i="2"/>
  <c r="AF31" i="2"/>
  <c r="U31" i="2"/>
  <c r="I31" i="2"/>
  <c r="J32" i="2"/>
  <c r="B72" i="3"/>
  <c r="B19" i="3"/>
  <c r="I39" i="2"/>
  <c r="L39" i="2" s="1"/>
  <c r="H39" i="2"/>
  <c r="F38" i="2"/>
  <c r="G38" i="2" s="1"/>
  <c r="G39" i="2"/>
  <c r="Z37" i="2"/>
  <c r="F39" i="2"/>
  <c r="D37" i="2"/>
  <c r="C40" i="2"/>
  <c r="J39" i="2"/>
  <c r="M163" i="3"/>
  <c r="M184" i="3"/>
  <c r="AF28" i="2"/>
  <c r="U28" i="2"/>
  <c r="I28" i="2"/>
  <c r="J29" i="2"/>
  <c r="G195" i="2"/>
  <c r="S195" i="2" s="1"/>
  <c r="G351" i="2"/>
  <c r="M67" i="3"/>
  <c r="E67" i="3"/>
  <c r="L67" i="3"/>
  <c r="D67" i="3"/>
  <c r="K67" i="3"/>
  <c r="J67" i="3"/>
  <c r="I67" i="3"/>
  <c r="H67" i="3"/>
  <c r="O67" i="3"/>
  <c r="G67" i="3"/>
  <c r="N67" i="3"/>
  <c r="F67" i="3"/>
  <c r="K238" i="3"/>
  <c r="K217" i="3"/>
  <c r="O68" i="3"/>
  <c r="G68" i="3"/>
  <c r="N68" i="3"/>
  <c r="F68" i="3"/>
  <c r="M68" i="3"/>
  <c r="E68" i="3"/>
  <c r="L68" i="3"/>
  <c r="D68" i="3"/>
  <c r="K68" i="3"/>
  <c r="J68" i="3"/>
  <c r="I68" i="3"/>
  <c r="H68" i="3"/>
  <c r="L345" i="2"/>
  <c r="K189" i="2"/>
  <c r="L189" i="2"/>
  <c r="W189" i="2" s="1"/>
  <c r="H354" i="2"/>
  <c r="H198" i="2"/>
  <c r="T198" i="2" s="1"/>
  <c r="N66" i="3"/>
  <c r="H195" i="2"/>
  <c r="T195" i="2" s="1"/>
  <c r="H351" i="2"/>
  <c r="AF34" i="2"/>
  <c r="U34" i="2"/>
  <c r="C354" i="2"/>
  <c r="C198" i="2"/>
  <c r="O198" i="2" s="1"/>
  <c r="L192" i="2"/>
  <c r="W192" i="2" s="1"/>
  <c r="K192" i="2"/>
  <c r="L348" i="2"/>
  <c r="AE31" i="2"/>
  <c r="J35" i="2"/>
  <c r="AB34" i="2"/>
  <c r="R34" i="2"/>
  <c r="Q34" i="2"/>
  <c r="F34" i="2"/>
  <c r="P34" i="2"/>
  <c r="O34" i="2"/>
  <c r="AC34" i="2"/>
  <c r="D354" i="2"/>
  <c r="D198" i="2"/>
  <c r="P198" i="2" s="1"/>
  <c r="T34" i="2" l="1"/>
  <c r="H201" i="2" s="1"/>
  <c r="T201" i="2" s="1"/>
  <c r="AE34" i="2"/>
  <c r="H34" i="2"/>
  <c r="D201" i="2"/>
  <c r="P201" i="2" s="1"/>
  <c r="D357" i="2"/>
  <c r="L217" i="3"/>
  <c r="L238" i="3"/>
  <c r="E357" i="2"/>
  <c r="E201" i="2"/>
  <c r="Q201" i="2" s="1"/>
  <c r="M211" i="3"/>
  <c r="M190" i="3"/>
  <c r="AG31" i="2"/>
  <c r="V31" i="2"/>
  <c r="K33" i="2"/>
  <c r="X31" i="2" s="1"/>
  <c r="J31" i="2"/>
  <c r="K17" i="3" s="1"/>
  <c r="L32" i="2"/>
  <c r="N184" i="3"/>
  <c r="N163" i="3"/>
  <c r="F357" i="2"/>
  <c r="F201" i="2"/>
  <c r="R201" i="2" s="1"/>
  <c r="AB37" i="2"/>
  <c r="R37" i="2"/>
  <c r="Q37" i="2"/>
  <c r="F37" i="2"/>
  <c r="P37" i="2"/>
  <c r="O37" i="2"/>
  <c r="AC37" i="2"/>
  <c r="O237" i="3"/>
  <c r="P4" i="3"/>
  <c r="O3" i="3"/>
  <c r="O157" i="3"/>
  <c r="O9" i="3"/>
  <c r="O10" i="3"/>
  <c r="O12" i="3"/>
  <c r="O11" i="3"/>
  <c r="O13" i="3"/>
  <c r="O62" i="3"/>
  <c r="O14" i="3"/>
  <c r="O15" i="3"/>
  <c r="O63" i="3"/>
  <c r="O64" i="3"/>
  <c r="O66" i="3"/>
  <c r="O65" i="3"/>
  <c r="I354" i="2"/>
  <c r="I198" i="2"/>
  <c r="U198" i="2" s="1"/>
  <c r="AG34" i="2"/>
  <c r="V34" i="2"/>
  <c r="K36" i="2"/>
  <c r="X34" i="2" s="1"/>
  <c r="J34" i="2"/>
  <c r="L35" i="2"/>
  <c r="S37" i="2"/>
  <c r="G37" i="2"/>
  <c r="AD37" i="2"/>
  <c r="I17" i="3"/>
  <c r="AG28" i="2"/>
  <c r="V28" i="2"/>
  <c r="K30" i="2"/>
  <c r="X28" i="2" s="1"/>
  <c r="J28" i="2"/>
  <c r="E16" i="3" s="1"/>
  <c r="L29" i="2"/>
  <c r="B73" i="3"/>
  <c r="B20" i="3"/>
  <c r="I42" i="2"/>
  <c r="H42" i="2"/>
  <c r="F41" i="2"/>
  <c r="G42" i="2"/>
  <c r="Z40" i="2"/>
  <c r="F42" i="2"/>
  <c r="J42" i="2" s="1"/>
  <c r="D40" i="2"/>
  <c r="C43" i="2"/>
  <c r="L42" i="2"/>
  <c r="E17" i="3"/>
  <c r="C357" i="2"/>
  <c r="C201" i="2"/>
  <c r="O201" i="2" s="1"/>
  <c r="C72" i="3"/>
  <c r="C19" i="3"/>
  <c r="AA37" i="2"/>
  <c r="O17" i="3"/>
  <c r="I201" i="2"/>
  <c r="U201" i="2" s="1"/>
  <c r="I357" i="2"/>
  <c r="I195" i="2"/>
  <c r="U195" i="2" s="1"/>
  <c r="I351" i="2"/>
  <c r="H38" i="2"/>
  <c r="G201" i="2"/>
  <c r="S201" i="2" s="1"/>
  <c r="G357" i="2"/>
  <c r="N17" i="3" l="1"/>
  <c r="L17" i="3"/>
  <c r="G17" i="3"/>
  <c r="I18" i="3"/>
  <c r="H357" i="2"/>
  <c r="H16" i="3"/>
  <c r="D16" i="3"/>
  <c r="F16" i="3"/>
  <c r="L16" i="3"/>
  <c r="N16" i="3"/>
  <c r="M16" i="3"/>
  <c r="I16" i="3"/>
  <c r="K16" i="3"/>
  <c r="F17" i="3"/>
  <c r="AH34" i="2"/>
  <c r="W34" i="2"/>
  <c r="L34" i="2"/>
  <c r="F360" i="2"/>
  <c r="F204" i="2"/>
  <c r="R204" i="2" s="1"/>
  <c r="E18" i="3"/>
  <c r="M18" i="3"/>
  <c r="O18" i="3"/>
  <c r="J195" i="2"/>
  <c r="V195" i="2" s="1"/>
  <c r="J351" i="2"/>
  <c r="P237" i="3"/>
  <c r="Q4" i="3"/>
  <c r="P157" i="3"/>
  <c r="P9" i="3"/>
  <c r="P10" i="3"/>
  <c r="P11" i="3"/>
  <c r="P12" i="3"/>
  <c r="P13" i="3"/>
  <c r="P62" i="3"/>
  <c r="P14" i="3"/>
  <c r="P15" i="3"/>
  <c r="P63" i="3"/>
  <c r="P65" i="3"/>
  <c r="P64" i="3"/>
  <c r="P66" i="3"/>
  <c r="P16" i="3"/>
  <c r="P68" i="3"/>
  <c r="P17" i="3"/>
  <c r="P67" i="3"/>
  <c r="F18" i="3"/>
  <c r="J354" i="2"/>
  <c r="J198" i="2"/>
  <c r="V198" i="2" s="1"/>
  <c r="H18" i="3"/>
  <c r="P18" i="3"/>
  <c r="N18" i="3"/>
  <c r="AB40" i="2"/>
  <c r="R40" i="2"/>
  <c r="Q40" i="2"/>
  <c r="F40" i="2"/>
  <c r="P40" i="2"/>
  <c r="O40" i="2"/>
  <c r="AC40" i="2"/>
  <c r="J201" i="2"/>
  <c r="V201" i="2" s="1"/>
  <c r="J357" i="2"/>
  <c r="H37" i="2"/>
  <c r="AE37" i="2"/>
  <c r="T37" i="2"/>
  <c r="I38" i="2"/>
  <c r="O16" i="3"/>
  <c r="C360" i="2"/>
  <c r="C204" i="2"/>
  <c r="O204" i="2" s="1"/>
  <c r="J18" i="3"/>
  <c r="K18" i="3"/>
  <c r="G41" i="2"/>
  <c r="D360" i="2"/>
  <c r="D204" i="2"/>
  <c r="P204" i="2" s="1"/>
  <c r="N211" i="3"/>
  <c r="N190" i="3"/>
  <c r="M217" i="3"/>
  <c r="M238" i="3"/>
  <c r="J17" i="3"/>
  <c r="H17" i="3"/>
  <c r="B74" i="3"/>
  <c r="B21" i="3"/>
  <c r="J45" i="2"/>
  <c r="I45" i="2"/>
  <c r="H45" i="2"/>
  <c r="F44" i="2"/>
  <c r="H44" i="2" s="1"/>
  <c r="Z43" i="2"/>
  <c r="D43" i="2"/>
  <c r="C46" i="2"/>
  <c r="F45" i="2"/>
  <c r="G45" i="2" s="1"/>
  <c r="L45" i="2" s="1"/>
  <c r="C73" i="3"/>
  <c r="C20" i="3"/>
  <c r="AA40" i="2"/>
  <c r="G16" i="3"/>
  <c r="H41" i="2"/>
  <c r="J16" i="3"/>
  <c r="AH28" i="2"/>
  <c r="W28" i="2"/>
  <c r="L28" i="2"/>
  <c r="M17" i="3"/>
  <c r="L18" i="3"/>
  <c r="D18" i="3"/>
  <c r="D17" i="3"/>
  <c r="G204" i="2"/>
  <c r="S204" i="2" s="1"/>
  <c r="G360" i="2"/>
  <c r="O184" i="3"/>
  <c r="O163" i="3"/>
  <c r="E360" i="2"/>
  <c r="E204" i="2"/>
  <c r="Q204" i="2" s="1"/>
  <c r="AH31" i="2"/>
  <c r="W31" i="2"/>
  <c r="L31" i="2"/>
  <c r="G18" i="3"/>
  <c r="T43" i="2" l="1"/>
  <c r="H43" i="2"/>
  <c r="AE43" i="2"/>
  <c r="I44" i="2"/>
  <c r="C363" i="2"/>
  <c r="C207" i="2"/>
  <c r="O207" i="2" s="1"/>
  <c r="L357" i="2"/>
  <c r="L201" i="2"/>
  <c r="W201" i="2" s="1"/>
  <c r="K201" i="2"/>
  <c r="D363" i="2"/>
  <c r="D207" i="2"/>
  <c r="P207" i="2" s="1"/>
  <c r="H204" i="2"/>
  <c r="T204" i="2" s="1"/>
  <c r="H360" i="2"/>
  <c r="O211" i="3"/>
  <c r="O190" i="3"/>
  <c r="B75" i="3"/>
  <c r="B22" i="3"/>
  <c r="H48" i="2"/>
  <c r="F47" i="2"/>
  <c r="H47" i="2" s="1"/>
  <c r="G48" i="2"/>
  <c r="Z46" i="2"/>
  <c r="C49" i="2"/>
  <c r="F48" i="2"/>
  <c r="J48" i="2" s="1"/>
  <c r="D46" i="2"/>
  <c r="K70" i="3"/>
  <c r="J70" i="3"/>
  <c r="Q70" i="3"/>
  <c r="I70" i="3"/>
  <c r="P70" i="3"/>
  <c r="H70" i="3"/>
  <c r="O70" i="3"/>
  <c r="G70" i="3"/>
  <c r="N70" i="3"/>
  <c r="F70" i="3"/>
  <c r="M70" i="3"/>
  <c r="E70" i="3"/>
  <c r="L70" i="3"/>
  <c r="D70" i="3"/>
  <c r="C74" i="3"/>
  <c r="C21" i="3"/>
  <c r="AA43" i="2"/>
  <c r="G44" i="2"/>
  <c r="E363" i="2"/>
  <c r="E207" i="2"/>
  <c r="Q207" i="2" s="1"/>
  <c r="F363" i="2"/>
  <c r="F207" i="2"/>
  <c r="R207" i="2" s="1"/>
  <c r="P184" i="3"/>
  <c r="P163" i="3"/>
  <c r="Q69" i="3"/>
  <c r="I69" i="3"/>
  <c r="P69" i="3"/>
  <c r="H69" i="3"/>
  <c r="O69" i="3"/>
  <c r="G69" i="3"/>
  <c r="N69" i="3"/>
  <c r="F69" i="3"/>
  <c r="M69" i="3"/>
  <c r="E69" i="3"/>
  <c r="L69" i="3"/>
  <c r="D69" i="3"/>
  <c r="K69" i="3"/>
  <c r="J69" i="3"/>
  <c r="N238" i="3"/>
  <c r="N217" i="3"/>
  <c r="Q237" i="3"/>
  <c r="R4" i="3"/>
  <c r="Q157" i="3"/>
  <c r="Q9" i="3"/>
  <c r="Q10" i="3"/>
  <c r="Q12" i="3"/>
  <c r="Q11" i="3"/>
  <c r="Q13" i="3"/>
  <c r="Q62" i="3"/>
  <c r="Q14" i="3"/>
  <c r="Q15" i="3"/>
  <c r="Q63" i="3"/>
  <c r="Q66" i="3"/>
  <c r="Q65" i="3"/>
  <c r="Q64" i="3"/>
  <c r="Q16" i="3"/>
  <c r="Q67" i="3"/>
  <c r="Q68" i="3"/>
  <c r="Q17" i="3"/>
  <c r="Q18" i="3"/>
  <c r="AC43" i="2"/>
  <c r="AB43" i="2"/>
  <c r="R43" i="2"/>
  <c r="Q43" i="2"/>
  <c r="F43" i="2"/>
  <c r="P43" i="2"/>
  <c r="O43" i="2"/>
  <c r="AF37" i="2"/>
  <c r="U37" i="2"/>
  <c r="I37" i="2"/>
  <c r="J38" i="2"/>
  <c r="L354" i="2"/>
  <c r="L198" i="2"/>
  <c r="W198" i="2" s="1"/>
  <c r="K198" i="2"/>
  <c r="L351" i="2"/>
  <c r="L195" i="2"/>
  <c r="W195" i="2" s="1"/>
  <c r="K195" i="2"/>
  <c r="H40" i="2"/>
  <c r="AE40" i="2"/>
  <c r="T40" i="2"/>
  <c r="I41" i="2"/>
  <c r="S40" i="2"/>
  <c r="G40" i="2"/>
  <c r="AD40" i="2"/>
  <c r="M71" i="3"/>
  <c r="E71" i="3"/>
  <c r="L71" i="3"/>
  <c r="D71" i="3"/>
  <c r="K71" i="3"/>
  <c r="J71" i="3"/>
  <c r="Q71" i="3"/>
  <c r="I71" i="3"/>
  <c r="P71" i="3"/>
  <c r="H71" i="3"/>
  <c r="O71" i="3"/>
  <c r="G71" i="3"/>
  <c r="N71" i="3"/>
  <c r="F71" i="3"/>
  <c r="G47" i="2" l="1"/>
  <c r="S46" i="2" s="1"/>
  <c r="T46" i="2"/>
  <c r="H46" i="2"/>
  <c r="AE46" i="2"/>
  <c r="I47" i="2"/>
  <c r="D366" i="2"/>
  <c r="D210" i="2"/>
  <c r="P210" i="2" s="1"/>
  <c r="R237" i="3"/>
  <c r="S4" i="3"/>
  <c r="R157" i="3"/>
  <c r="R9" i="3"/>
  <c r="R10" i="3"/>
  <c r="R11" i="3"/>
  <c r="R12" i="3"/>
  <c r="R13" i="3"/>
  <c r="R62" i="3"/>
  <c r="R14" i="3"/>
  <c r="R15" i="3"/>
  <c r="R63" i="3"/>
  <c r="R65" i="3"/>
  <c r="R16" i="3"/>
  <c r="R66" i="3"/>
  <c r="R64" i="3"/>
  <c r="R17" i="3"/>
  <c r="R67" i="3"/>
  <c r="R68" i="3"/>
  <c r="R18" i="3"/>
  <c r="P211" i="3"/>
  <c r="P190" i="3"/>
  <c r="O238" i="3"/>
  <c r="O217" i="3"/>
  <c r="C75" i="3"/>
  <c r="C22" i="3"/>
  <c r="AA46" i="2"/>
  <c r="AD46" i="2"/>
  <c r="AF40" i="2"/>
  <c r="U40" i="2"/>
  <c r="I40" i="2"/>
  <c r="J41" i="2"/>
  <c r="E366" i="2"/>
  <c r="E210" i="2"/>
  <c r="Q210" i="2" s="1"/>
  <c r="I48" i="2"/>
  <c r="F366" i="2"/>
  <c r="F210" i="2"/>
  <c r="R210" i="2" s="1"/>
  <c r="L48" i="2"/>
  <c r="AG37" i="2"/>
  <c r="V37" i="2"/>
  <c r="K39" i="2"/>
  <c r="X37" i="2" s="1"/>
  <c r="J37" i="2"/>
  <c r="K19" i="3" s="1"/>
  <c r="L38" i="2"/>
  <c r="R71" i="3"/>
  <c r="R69" i="3"/>
  <c r="B76" i="3"/>
  <c r="B23" i="3"/>
  <c r="I51" i="2"/>
  <c r="F50" i="2"/>
  <c r="G51" i="2"/>
  <c r="Z49" i="2"/>
  <c r="C52" i="2"/>
  <c r="F51" i="2"/>
  <c r="J51" i="2" s="1"/>
  <c r="D49" i="2"/>
  <c r="U43" i="2"/>
  <c r="AF43" i="2"/>
  <c r="I43" i="2"/>
  <c r="J44" i="2"/>
  <c r="G207" i="2"/>
  <c r="S207" i="2" s="1"/>
  <c r="G363" i="2"/>
  <c r="I204" i="2"/>
  <c r="U204" i="2" s="1"/>
  <c r="I360" i="2"/>
  <c r="R70" i="3"/>
  <c r="S43" i="2"/>
  <c r="G43" i="2"/>
  <c r="AD43" i="2"/>
  <c r="H363" i="2"/>
  <c r="H207" i="2"/>
  <c r="T207" i="2" s="1"/>
  <c r="C210" i="2"/>
  <c r="O210" i="2" s="1"/>
  <c r="C366" i="2"/>
  <c r="Q184" i="3"/>
  <c r="Q163" i="3"/>
  <c r="AC46" i="2"/>
  <c r="AB46" i="2"/>
  <c r="R46" i="2"/>
  <c r="Q46" i="2"/>
  <c r="F46" i="2"/>
  <c r="O46" i="2"/>
  <c r="P46" i="2"/>
  <c r="H366" i="2"/>
  <c r="H210" i="2"/>
  <c r="T210" i="2" s="1"/>
  <c r="G46" i="2" l="1"/>
  <c r="P19" i="3"/>
  <c r="L19" i="3"/>
  <c r="J19" i="3"/>
  <c r="G19" i="3"/>
  <c r="H19" i="3"/>
  <c r="N19" i="3"/>
  <c r="D19" i="3"/>
  <c r="I19" i="3"/>
  <c r="O19" i="3"/>
  <c r="F19" i="3"/>
  <c r="G210" i="2"/>
  <c r="S210" i="2" s="1"/>
  <c r="G366" i="2"/>
  <c r="AC49" i="2"/>
  <c r="AB49" i="2"/>
  <c r="R49" i="2"/>
  <c r="Q49" i="2"/>
  <c r="F49" i="2"/>
  <c r="P49" i="2"/>
  <c r="O49" i="2"/>
  <c r="P238" i="3"/>
  <c r="P217" i="3"/>
  <c r="C76" i="3"/>
  <c r="C23" i="3"/>
  <c r="AA49" i="2"/>
  <c r="E369" i="2"/>
  <c r="E213" i="2"/>
  <c r="Q213" i="2" s="1"/>
  <c r="H51" i="2"/>
  <c r="L51" i="2" s="1"/>
  <c r="Q19" i="3"/>
  <c r="AH37" i="2"/>
  <c r="W37" i="2"/>
  <c r="L37" i="2"/>
  <c r="AG40" i="2"/>
  <c r="V40" i="2"/>
  <c r="K42" i="2"/>
  <c r="X40" i="2" s="1"/>
  <c r="J40" i="2"/>
  <c r="D20" i="3" s="1"/>
  <c r="L41" i="2"/>
  <c r="C369" i="2"/>
  <c r="C213" i="2"/>
  <c r="O213" i="2" s="1"/>
  <c r="F369" i="2"/>
  <c r="F213" i="2"/>
  <c r="R213" i="2" s="1"/>
  <c r="V43" i="2"/>
  <c r="AG43" i="2"/>
  <c r="K45" i="2"/>
  <c r="X43" i="2" s="1"/>
  <c r="J43" i="2"/>
  <c r="F21" i="3" s="1"/>
  <c r="L44" i="2"/>
  <c r="B77" i="3"/>
  <c r="B24" i="3"/>
  <c r="J54" i="2"/>
  <c r="I54" i="2"/>
  <c r="F53" i="2"/>
  <c r="H53" i="2" s="1"/>
  <c r="I53" i="2" s="1"/>
  <c r="G54" i="2"/>
  <c r="Z52" i="2"/>
  <c r="C55" i="2"/>
  <c r="D52" i="2"/>
  <c r="F54" i="2"/>
  <c r="H54" i="2" s="1"/>
  <c r="G50" i="2"/>
  <c r="G369" i="2"/>
  <c r="G213" i="2"/>
  <c r="S213" i="2" s="1"/>
  <c r="I46" i="2"/>
  <c r="AF46" i="2"/>
  <c r="U46" i="2"/>
  <c r="J47" i="2"/>
  <c r="I363" i="2"/>
  <c r="I207" i="2"/>
  <c r="U207" i="2" s="1"/>
  <c r="R19" i="3"/>
  <c r="H50" i="2"/>
  <c r="M19" i="3"/>
  <c r="J360" i="2"/>
  <c r="J204" i="2"/>
  <c r="V204" i="2" s="1"/>
  <c r="R184" i="3"/>
  <c r="R163" i="3"/>
  <c r="H213" i="2"/>
  <c r="T213" i="2" s="1"/>
  <c r="H369" i="2"/>
  <c r="I210" i="2"/>
  <c r="U210" i="2" s="1"/>
  <c r="I366" i="2"/>
  <c r="D369" i="2"/>
  <c r="D213" i="2"/>
  <c r="P213" i="2" s="1"/>
  <c r="Q211" i="3"/>
  <c r="Q190" i="3"/>
  <c r="E19" i="3"/>
  <c r="S237" i="3"/>
  <c r="T4" i="3"/>
  <c r="S3" i="3"/>
  <c r="S157" i="3"/>
  <c r="S9" i="3"/>
  <c r="S10" i="3"/>
  <c r="S11" i="3"/>
  <c r="S12" i="3"/>
  <c r="S13" i="3"/>
  <c r="S62" i="3"/>
  <c r="S14" i="3"/>
  <c r="S15" i="3"/>
  <c r="S63" i="3"/>
  <c r="S65" i="3"/>
  <c r="S16" i="3"/>
  <c r="S66" i="3"/>
  <c r="S64" i="3"/>
  <c r="S68" i="3"/>
  <c r="S17" i="3"/>
  <c r="S67" i="3"/>
  <c r="S18" i="3"/>
  <c r="S19" i="3"/>
  <c r="S70" i="3"/>
  <c r="S69" i="3"/>
  <c r="S71" i="3"/>
  <c r="Q21" i="3" l="1"/>
  <c r="G21" i="3"/>
  <c r="S20" i="3"/>
  <c r="O20" i="3"/>
  <c r="M21" i="3"/>
  <c r="D21" i="3"/>
  <c r="K21" i="3"/>
  <c r="I21" i="3"/>
  <c r="G53" i="2"/>
  <c r="S52" i="2" s="1"/>
  <c r="N21" i="3"/>
  <c r="P21" i="3"/>
  <c r="H21" i="3"/>
  <c r="S21" i="3"/>
  <c r="E21" i="3"/>
  <c r="S163" i="3"/>
  <c r="S184" i="3"/>
  <c r="Q238" i="3"/>
  <c r="Q217" i="3"/>
  <c r="R211" i="3"/>
  <c r="R190" i="3"/>
  <c r="I52" i="2"/>
  <c r="AF52" i="2"/>
  <c r="U52" i="2"/>
  <c r="T52" i="2"/>
  <c r="H52" i="2"/>
  <c r="AE52" i="2"/>
  <c r="J210" i="2"/>
  <c r="V210" i="2" s="1"/>
  <c r="J366" i="2"/>
  <c r="AH40" i="2"/>
  <c r="W40" i="2"/>
  <c r="L40" i="2"/>
  <c r="C216" i="2"/>
  <c r="O216" i="2" s="1"/>
  <c r="C372" i="2"/>
  <c r="T237" i="3"/>
  <c r="U4" i="3"/>
  <c r="T157" i="3"/>
  <c r="T9" i="3"/>
  <c r="T10" i="3"/>
  <c r="T12" i="3"/>
  <c r="T11" i="3"/>
  <c r="T13" i="3"/>
  <c r="T14" i="3"/>
  <c r="T62" i="3"/>
  <c r="T15" i="3"/>
  <c r="T63" i="3"/>
  <c r="T64" i="3"/>
  <c r="T65" i="3"/>
  <c r="T16" i="3"/>
  <c r="T66" i="3"/>
  <c r="T67" i="3"/>
  <c r="T68" i="3"/>
  <c r="T17" i="3"/>
  <c r="T18" i="3"/>
  <c r="T19" i="3"/>
  <c r="T69" i="3"/>
  <c r="T70" i="3"/>
  <c r="T71" i="3"/>
  <c r="T20" i="3"/>
  <c r="T21" i="3"/>
  <c r="K48" i="2"/>
  <c r="X46" i="2" s="1"/>
  <c r="J46" i="2"/>
  <c r="G22" i="3" s="1"/>
  <c r="V46" i="2"/>
  <c r="AG46" i="2"/>
  <c r="L47" i="2"/>
  <c r="B78" i="3"/>
  <c r="B25" i="3"/>
  <c r="J57" i="2"/>
  <c r="H57" i="2"/>
  <c r="F56" i="2"/>
  <c r="H56" i="2" s="1"/>
  <c r="Z55" i="2"/>
  <c r="C58" i="2"/>
  <c r="D55" i="2"/>
  <c r="F57" i="2"/>
  <c r="I57" i="2" s="1"/>
  <c r="P20" i="3"/>
  <c r="J20" i="3"/>
  <c r="G20" i="3"/>
  <c r="H20" i="3"/>
  <c r="E20" i="3"/>
  <c r="K20" i="3"/>
  <c r="N20" i="3"/>
  <c r="R20" i="3"/>
  <c r="I20" i="3"/>
  <c r="D216" i="2"/>
  <c r="P216" i="2" s="1"/>
  <c r="D372" i="2"/>
  <c r="R21" i="3"/>
  <c r="I369" i="2"/>
  <c r="I213" i="2"/>
  <c r="U213" i="2" s="1"/>
  <c r="J53" i="2"/>
  <c r="J363" i="2"/>
  <c r="J207" i="2"/>
  <c r="V207" i="2" s="1"/>
  <c r="E216" i="2"/>
  <c r="Q216" i="2" s="1"/>
  <c r="E372" i="2"/>
  <c r="O21" i="3"/>
  <c r="T49" i="2"/>
  <c r="H49" i="2"/>
  <c r="AE49" i="2"/>
  <c r="I50" i="2"/>
  <c r="S49" i="2"/>
  <c r="G49" i="2"/>
  <c r="AD49" i="2"/>
  <c r="AC52" i="2"/>
  <c r="AB52" i="2"/>
  <c r="R52" i="2"/>
  <c r="Q52" i="2"/>
  <c r="F52" i="2"/>
  <c r="O52" i="2"/>
  <c r="P52" i="2"/>
  <c r="AH43" i="2"/>
  <c r="W43" i="2"/>
  <c r="L43" i="2"/>
  <c r="F372" i="2"/>
  <c r="F216" i="2"/>
  <c r="R216" i="2" s="1"/>
  <c r="L21" i="3"/>
  <c r="F20" i="3"/>
  <c r="Q20" i="3"/>
  <c r="L54" i="2"/>
  <c r="M20" i="3"/>
  <c r="O72" i="3"/>
  <c r="G72" i="3"/>
  <c r="N72" i="3"/>
  <c r="F72" i="3"/>
  <c r="U72" i="3"/>
  <c r="M72" i="3"/>
  <c r="E72" i="3"/>
  <c r="T72" i="3"/>
  <c r="L72" i="3"/>
  <c r="D72" i="3"/>
  <c r="S72" i="3"/>
  <c r="K72" i="3"/>
  <c r="R72" i="3"/>
  <c r="J72" i="3"/>
  <c r="Q72" i="3"/>
  <c r="I72" i="3"/>
  <c r="P72" i="3"/>
  <c r="H72" i="3"/>
  <c r="J21" i="3"/>
  <c r="C77" i="3"/>
  <c r="C24" i="3"/>
  <c r="AA52" i="2"/>
  <c r="G52" i="2"/>
  <c r="AD52" i="2"/>
  <c r="L360" i="2"/>
  <c r="L204" i="2"/>
  <c r="W204" i="2" s="1"/>
  <c r="K204" i="2"/>
  <c r="L20" i="3"/>
  <c r="O22" i="3" l="1"/>
  <c r="T22" i="3"/>
  <c r="Q22" i="3"/>
  <c r="F22" i="3"/>
  <c r="I22" i="3"/>
  <c r="L22" i="3"/>
  <c r="E22" i="3"/>
  <c r="N22" i="3"/>
  <c r="D22" i="3"/>
  <c r="R22" i="3"/>
  <c r="P22" i="3"/>
  <c r="S22" i="3"/>
  <c r="M22" i="3"/>
  <c r="J22" i="3"/>
  <c r="T55" i="2"/>
  <c r="H55" i="2"/>
  <c r="AE55" i="2"/>
  <c r="I56" i="2"/>
  <c r="T163" i="3"/>
  <c r="T184" i="3"/>
  <c r="L207" i="2"/>
  <c r="W207" i="2" s="1"/>
  <c r="K207" i="2"/>
  <c r="L363" i="2"/>
  <c r="D375" i="2"/>
  <c r="D219" i="2"/>
  <c r="P219" i="2" s="1"/>
  <c r="C375" i="2"/>
  <c r="C219" i="2"/>
  <c r="O219" i="2" s="1"/>
  <c r="G372" i="2"/>
  <c r="G216" i="2"/>
  <c r="S216" i="2" s="1"/>
  <c r="B79" i="3"/>
  <c r="B26" i="3"/>
  <c r="J60" i="2"/>
  <c r="H60" i="2"/>
  <c r="F59" i="2"/>
  <c r="H59" i="2" s="1"/>
  <c r="G60" i="2"/>
  <c r="Z58" i="2"/>
  <c r="C61" i="2"/>
  <c r="F60" i="2"/>
  <c r="I60" i="2" s="1"/>
  <c r="L60" i="2" s="1"/>
  <c r="D58" i="2"/>
  <c r="U237" i="3"/>
  <c r="V4" i="3"/>
  <c r="U157" i="3"/>
  <c r="U9" i="3"/>
  <c r="U10" i="3"/>
  <c r="U11" i="3"/>
  <c r="U12" i="3"/>
  <c r="U13" i="3"/>
  <c r="U62" i="3"/>
  <c r="U14" i="3"/>
  <c r="U63" i="3"/>
  <c r="U15" i="3"/>
  <c r="U64" i="3"/>
  <c r="U66" i="3"/>
  <c r="U65" i="3"/>
  <c r="U16" i="3"/>
  <c r="U17" i="3"/>
  <c r="U67" i="3"/>
  <c r="U68" i="3"/>
  <c r="U18" i="3"/>
  <c r="U19" i="3"/>
  <c r="U69" i="3"/>
  <c r="U70" i="3"/>
  <c r="U20" i="3"/>
  <c r="U71" i="3"/>
  <c r="U21" i="3"/>
  <c r="U22" i="3"/>
  <c r="H22" i="3"/>
  <c r="R238" i="3"/>
  <c r="R217" i="3"/>
  <c r="I49" i="2"/>
  <c r="U49" i="2"/>
  <c r="AF49" i="2"/>
  <c r="J50" i="2"/>
  <c r="F375" i="2"/>
  <c r="F219" i="2"/>
  <c r="R219" i="2" s="1"/>
  <c r="G375" i="2"/>
  <c r="G219" i="2"/>
  <c r="S219" i="2" s="1"/>
  <c r="E375" i="2"/>
  <c r="E219" i="2"/>
  <c r="Q219" i="2" s="1"/>
  <c r="G57" i="2"/>
  <c r="L57" i="2" s="1"/>
  <c r="AC55" i="2"/>
  <c r="AB55" i="2"/>
  <c r="R55" i="2"/>
  <c r="Q55" i="2"/>
  <c r="F55" i="2"/>
  <c r="O55" i="2"/>
  <c r="P55" i="2"/>
  <c r="AH46" i="2"/>
  <c r="L46" i="2"/>
  <c r="W46" i="2"/>
  <c r="S211" i="3"/>
  <c r="S190" i="3"/>
  <c r="Q74" i="3"/>
  <c r="I74" i="3"/>
  <c r="U74" i="3"/>
  <c r="M74" i="3"/>
  <c r="E74" i="3"/>
  <c r="P74" i="3"/>
  <c r="F74" i="3"/>
  <c r="O74" i="3"/>
  <c r="D74" i="3"/>
  <c r="N74" i="3"/>
  <c r="L74" i="3"/>
  <c r="V74" i="3"/>
  <c r="K74" i="3"/>
  <c r="T74" i="3"/>
  <c r="J74" i="3"/>
  <c r="S74" i="3"/>
  <c r="H74" i="3"/>
  <c r="R74" i="3"/>
  <c r="G74" i="3"/>
  <c r="H216" i="2"/>
  <c r="T216" i="2" s="1"/>
  <c r="H372" i="2"/>
  <c r="AG52" i="2"/>
  <c r="J52" i="2"/>
  <c r="G24" i="3" s="1"/>
  <c r="K54" i="2"/>
  <c r="X52" i="2" s="1"/>
  <c r="V52" i="2"/>
  <c r="L53" i="2"/>
  <c r="C78" i="3"/>
  <c r="C25" i="3"/>
  <c r="AA55" i="2"/>
  <c r="I219" i="2"/>
  <c r="U219" i="2" s="1"/>
  <c r="I375" i="2"/>
  <c r="G56" i="2"/>
  <c r="J369" i="2"/>
  <c r="J213" i="2"/>
  <c r="V213" i="2" s="1"/>
  <c r="H219" i="2"/>
  <c r="T219" i="2" s="1"/>
  <c r="H375" i="2"/>
  <c r="K22" i="3"/>
  <c r="K210" i="2"/>
  <c r="L366" i="2"/>
  <c r="L210" i="2"/>
  <c r="W210" i="2" s="1"/>
  <c r="O73" i="3"/>
  <c r="S73" i="3"/>
  <c r="K73" i="3"/>
  <c r="T73" i="3"/>
  <c r="I73" i="3"/>
  <c r="R73" i="3"/>
  <c r="H73" i="3"/>
  <c r="Q73" i="3"/>
  <c r="G73" i="3"/>
  <c r="P73" i="3"/>
  <c r="F73" i="3"/>
  <c r="N73" i="3"/>
  <c r="E73" i="3"/>
  <c r="M73" i="3"/>
  <c r="D73" i="3"/>
  <c r="V73" i="3"/>
  <c r="L73" i="3"/>
  <c r="U73" i="3"/>
  <c r="J73" i="3"/>
  <c r="E378" i="2" l="1"/>
  <c r="E222" i="2"/>
  <c r="Q222" i="2" s="1"/>
  <c r="K24" i="3"/>
  <c r="O24" i="3"/>
  <c r="U163" i="3"/>
  <c r="U184" i="3"/>
  <c r="T58" i="2"/>
  <c r="H58" i="2"/>
  <c r="AE58" i="2"/>
  <c r="F378" i="2"/>
  <c r="F222" i="2"/>
  <c r="R222" i="2" s="1"/>
  <c r="S24" i="3"/>
  <c r="F24" i="3"/>
  <c r="V237" i="3"/>
  <c r="W4" i="3"/>
  <c r="V157" i="3"/>
  <c r="V9" i="3"/>
  <c r="V10" i="3"/>
  <c r="V12" i="3"/>
  <c r="V11" i="3"/>
  <c r="V13" i="3"/>
  <c r="V62" i="3"/>
  <c r="V14" i="3"/>
  <c r="V15" i="3"/>
  <c r="V63" i="3"/>
  <c r="V66" i="3"/>
  <c r="V65" i="3"/>
  <c r="V16" i="3"/>
  <c r="V64" i="3"/>
  <c r="V68" i="3"/>
  <c r="V67" i="3"/>
  <c r="V17" i="3"/>
  <c r="V18" i="3"/>
  <c r="V19" i="3"/>
  <c r="V20" i="3"/>
  <c r="V69" i="3"/>
  <c r="V71" i="3"/>
  <c r="V70" i="3"/>
  <c r="V21" i="3"/>
  <c r="V22" i="3"/>
  <c r="V72" i="3"/>
  <c r="B80" i="3"/>
  <c r="B27" i="3"/>
  <c r="H63" i="2"/>
  <c r="F62" i="2"/>
  <c r="G63" i="2"/>
  <c r="Z61" i="2"/>
  <c r="C64" i="2"/>
  <c r="F63" i="2"/>
  <c r="J63" i="2" s="1"/>
  <c r="D61" i="2"/>
  <c r="H222" i="2"/>
  <c r="T222" i="2" s="1"/>
  <c r="H378" i="2"/>
  <c r="S238" i="3"/>
  <c r="S217" i="3"/>
  <c r="L369" i="2"/>
  <c r="K213" i="2"/>
  <c r="L213" i="2"/>
  <c r="W213" i="2" s="1"/>
  <c r="V49" i="2"/>
  <c r="AG49" i="2"/>
  <c r="K51" i="2"/>
  <c r="X49" i="2" s="1"/>
  <c r="J49" i="2"/>
  <c r="M23" i="3" s="1"/>
  <c r="L50" i="2"/>
  <c r="I24" i="3"/>
  <c r="N24" i="3"/>
  <c r="T211" i="3"/>
  <c r="T190" i="3"/>
  <c r="S55" i="2"/>
  <c r="G55" i="2"/>
  <c r="AD55" i="2"/>
  <c r="J24" i="3"/>
  <c r="E24" i="3"/>
  <c r="V24" i="3"/>
  <c r="I372" i="2"/>
  <c r="I216" i="2"/>
  <c r="U216" i="2" s="1"/>
  <c r="R24" i="3"/>
  <c r="M24" i="3"/>
  <c r="C79" i="3"/>
  <c r="C26" i="3"/>
  <c r="AA58" i="2"/>
  <c r="AC58" i="2"/>
  <c r="AB58" i="2"/>
  <c r="R58" i="2"/>
  <c r="Q58" i="2"/>
  <c r="F58" i="2"/>
  <c r="O58" i="2"/>
  <c r="P58" i="2"/>
  <c r="D378" i="2"/>
  <c r="D222" i="2"/>
  <c r="P222" i="2" s="1"/>
  <c r="U24" i="3"/>
  <c r="I59" i="2"/>
  <c r="D24" i="3"/>
  <c r="H24" i="3"/>
  <c r="J219" i="2"/>
  <c r="V219" i="2" s="1"/>
  <c r="J375" i="2"/>
  <c r="C378" i="2"/>
  <c r="C222" i="2"/>
  <c r="O222" i="2" s="1"/>
  <c r="Q24" i="3"/>
  <c r="L24" i="3"/>
  <c r="P24" i="3"/>
  <c r="G59" i="2"/>
  <c r="I55" i="2"/>
  <c r="AF55" i="2"/>
  <c r="U55" i="2"/>
  <c r="J56" i="2"/>
  <c r="S75" i="3"/>
  <c r="K75" i="3"/>
  <c r="R75" i="3"/>
  <c r="J75" i="3"/>
  <c r="P75" i="3"/>
  <c r="H75" i="3"/>
  <c r="W75" i="3"/>
  <c r="O75" i="3"/>
  <c r="G75" i="3"/>
  <c r="U75" i="3"/>
  <c r="E75" i="3"/>
  <c r="T75" i="3"/>
  <c r="D75" i="3"/>
  <c r="Q75" i="3"/>
  <c r="N75" i="3"/>
  <c r="M75" i="3"/>
  <c r="L75" i="3"/>
  <c r="I75" i="3"/>
  <c r="V75" i="3"/>
  <c r="F75" i="3"/>
  <c r="AH52" i="2"/>
  <c r="W52" i="2"/>
  <c r="L52" i="2"/>
  <c r="T24" i="3"/>
  <c r="D23" i="3" l="1"/>
  <c r="U23" i="3"/>
  <c r="I23" i="3"/>
  <c r="J23" i="3"/>
  <c r="L23" i="3"/>
  <c r="G23" i="3"/>
  <c r="F23" i="3"/>
  <c r="N23" i="3"/>
  <c r="E23" i="3"/>
  <c r="V23" i="3"/>
  <c r="AG55" i="2"/>
  <c r="J55" i="2"/>
  <c r="F25" i="3" s="1"/>
  <c r="K57" i="2"/>
  <c r="X55" i="2" s="1"/>
  <c r="V55" i="2"/>
  <c r="L56" i="2"/>
  <c r="T217" i="3"/>
  <c r="T238" i="3"/>
  <c r="J216" i="2"/>
  <c r="V216" i="2" s="1"/>
  <c r="J372" i="2"/>
  <c r="R23" i="3"/>
  <c r="D225" i="2"/>
  <c r="P225" i="2" s="1"/>
  <c r="D381" i="2"/>
  <c r="C80" i="3"/>
  <c r="C27" i="3"/>
  <c r="AA61" i="2"/>
  <c r="AC61" i="2"/>
  <c r="AB61" i="2"/>
  <c r="R61" i="2"/>
  <c r="Q61" i="2"/>
  <c r="F61" i="2"/>
  <c r="O61" i="2"/>
  <c r="P61" i="2"/>
  <c r="C381" i="2"/>
  <c r="C225" i="2"/>
  <c r="O225" i="2" s="1"/>
  <c r="G62" i="2"/>
  <c r="V163" i="3"/>
  <c r="V184" i="3"/>
  <c r="H225" i="2"/>
  <c r="T225" i="2" s="1"/>
  <c r="H381" i="2"/>
  <c r="E381" i="2"/>
  <c r="E225" i="2"/>
  <c r="Q225" i="2" s="1"/>
  <c r="AH49" i="2"/>
  <c r="W49" i="2"/>
  <c r="L49" i="2"/>
  <c r="I63" i="2"/>
  <c r="L63" i="2" s="1"/>
  <c r="W237" i="3"/>
  <c r="X4" i="3"/>
  <c r="W3" i="3"/>
  <c r="W157" i="3"/>
  <c r="W9" i="3"/>
  <c r="W10" i="3"/>
  <c r="W11" i="3"/>
  <c r="W12" i="3"/>
  <c r="W13" i="3"/>
  <c r="W62" i="3"/>
  <c r="W14" i="3"/>
  <c r="W63" i="3"/>
  <c r="W15" i="3"/>
  <c r="W66" i="3"/>
  <c r="W65" i="3"/>
  <c r="W16" i="3"/>
  <c r="W64" i="3"/>
  <c r="W17" i="3"/>
  <c r="W68" i="3"/>
  <c r="W67" i="3"/>
  <c r="W18" i="3"/>
  <c r="W19" i="3"/>
  <c r="W70" i="3"/>
  <c r="W20" i="3"/>
  <c r="W71" i="3"/>
  <c r="W69" i="3"/>
  <c r="W21" i="3"/>
  <c r="W22" i="3"/>
  <c r="W72" i="3"/>
  <c r="W23" i="3"/>
  <c r="W74" i="3"/>
  <c r="W73" i="3"/>
  <c r="W24" i="3"/>
  <c r="U211" i="3"/>
  <c r="U190" i="3"/>
  <c r="W77" i="3"/>
  <c r="O77" i="3"/>
  <c r="G77" i="3"/>
  <c r="V77" i="3"/>
  <c r="N77" i="3"/>
  <c r="F77" i="3"/>
  <c r="T77" i="3"/>
  <c r="L77" i="3"/>
  <c r="D77" i="3"/>
  <c r="S77" i="3"/>
  <c r="K77" i="3"/>
  <c r="I77" i="3"/>
  <c r="X77" i="3"/>
  <c r="H77" i="3"/>
  <c r="U77" i="3"/>
  <c r="E77" i="3"/>
  <c r="R77" i="3"/>
  <c r="Q77" i="3"/>
  <c r="P77" i="3"/>
  <c r="M77" i="3"/>
  <c r="J77" i="3"/>
  <c r="G378" i="2"/>
  <c r="G222" i="2"/>
  <c r="S222" i="2" s="1"/>
  <c r="K23" i="3"/>
  <c r="T23" i="3"/>
  <c r="Q23" i="3"/>
  <c r="S23" i="3"/>
  <c r="H23" i="3"/>
  <c r="P23" i="3"/>
  <c r="O23" i="3"/>
  <c r="H62" i="2"/>
  <c r="L375" i="2"/>
  <c r="L219" i="2"/>
  <c r="W219" i="2" s="1"/>
  <c r="K219" i="2"/>
  <c r="W25" i="3"/>
  <c r="S58" i="2"/>
  <c r="G58" i="2"/>
  <c r="AD58" i="2"/>
  <c r="B81" i="3"/>
  <c r="B28" i="3"/>
  <c r="J66" i="2"/>
  <c r="F65" i="2"/>
  <c r="H65" i="2" s="1"/>
  <c r="Z64" i="2"/>
  <c r="C67" i="2"/>
  <c r="F66" i="2"/>
  <c r="I66" i="2" s="1"/>
  <c r="D64" i="2"/>
  <c r="I378" i="2"/>
  <c r="I222" i="2"/>
  <c r="U222" i="2" s="1"/>
  <c r="I58" i="2"/>
  <c r="AF58" i="2"/>
  <c r="U58" i="2"/>
  <c r="J59" i="2"/>
  <c r="F381" i="2"/>
  <c r="F225" i="2"/>
  <c r="R225" i="2" s="1"/>
  <c r="N25" i="3"/>
  <c r="K25" i="3" l="1"/>
  <c r="G65" i="2"/>
  <c r="S64" i="2" s="1"/>
  <c r="G381" i="2"/>
  <c r="G225" i="2"/>
  <c r="S225" i="2" s="1"/>
  <c r="T64" i="2"/>
  <c r="H64" i="2"/>
  <c r="AE64" i="2"/>
  <c r="J378" i="2"/>
  <c r="J222" i="2"/>
  <c r="V222" i="2" s="1"/>
  <c r="E384" i="2"/>
  <c r="E228" i="2"/>
  <c r="Q228" i="2" s="1"/>
  <c r="B82" i="3"/>
  <c r="B29" i="3"/>
  <c r="J69" i="2"/>
  <c r="G68" i="2"/>
  <c r="H69" i="2"/>
  <c r="F68" i="2"/>
  <c r="H68" i="2" s="1"/>
  <c r="G69" i="2"/>
  <c r="C70" i="2"/>
  <c r="F69" i="2"/>
  <c r="I69" i="2" s="1"/>
  <c r="D67" i="2"/>
  <c r="F384" i="2"/>
  <c r="F228" i="2"/>
  <c r="R228" i="2" s="1"/>
  <c r="J25" i="3"/>
  <c r="L25" i="3"/>
  <c r="D25" i="3"/>
  <c r="O25" i="3"/>
  <c r="T25" i="3"/>
  <c r="R25" i="3"/>
  <c r="G25" i="3"/>
  <c r="P25" i="3"/>
  <c r="U25" i="3"/>
  <c r="Q25" i="3"/>
  <c r="V25" i="3"/>
  <c r="E25" i="3"/>
  <c r="S25" i="3"/>
  <c r="H25" i="3"/>
  <c r="M25" i="3"/>
  <c r="U217" i="3"/>
  <c r="U238" i="3"/>
  <c r="X237" i="3"/>
  <c r="Y4" i="3"/>
  <c r="X157" i="3"/>
  <c r="X9" i="3"/>
  <c r="X10" i="3"/>
  <c r="X11" i="3"/>
  <c r="X12" i="3"/>
  <c r="X13" i="3"/>
  <c r="X14" i="3"/>
  <c r="X62" i="3"/>
  <c r="X15" i="3"/>
  <c r="X63" i="3"/>
  <c r="X16" i="3"/>
  <c r="X64" i="3"/>
  <c r="X65" i="3"/>
  <c r="X66" i="3"/>
  <c r="X17" i="3"/>
  <c r="X68" i="3"/>
  <c r="X67" i="3"/>
  <c r="X18" i="3"/>
  <c r="X19" i="3"/>
  <c r="X69" i="3"/>
  <c r="X70" i="3"/>
  <c r="X71" i="3"/>
  <c r="X20" i="3"/>
  <c r="X21" i="3"/>
  <c r="X22" i="3"/>
  <c r="X72" i="3"/>
  <c r="X23" i="3"/>
  <c r="X24" i="3"/>
  <c r="X73" i="3"/>
  <c r="X74" i="3"/>
  <c r="X25" i="3"/>
  <c r="X75" i="3"/>
  <c r="W184" i="3"/>
  <c r="W163" i="3"/>
  <c r="T61" i="2"/>
  <c r="H61" i="2"/>
  <c r="AE61" i="2"/>
  <c r="I62" i="2"/>
  <c r="V211" i="3"/>
  <c r="V190" i="3"/>
  <c r="C81" i="3"/>
  <c r="C28" i="3"/>
  <c r="AA64" i="2"/>
  <c r="G66" i="2"/>
  <c r="I65" i="2"/>
  <c r="AC64" i="2"/>
  <c r="AB64" i="2"/>
  <c r="R64" i="2"/>
  <c r="Q64" i="2"/>
  <c r="F64" i="2"/>
  <c r="O64" i="2"/>
  <c r="P64" i="2"/>
  <c r="AG58" i="2"/>
  <c r="J58" i="2"/>
  <c r="J26" i="3" s="1"/>
  <c r="K60" i="2"/>
  <c r="X58" i="2" s="1"/>
  <c r="V58" i="2"/>
  <c r="L59" i="2"/>
  <c r="H66" i="2"/>
  <c r="U76" i="3"/>
  <c r="M76" i="3"/>
  <c r="E76" i="3"/>
  <c r="T76" i="3"/>
  <c r="L76" i="3"/>
  <c r="D76" i="3"/>
  <c r="R76" i="3"/>
  <c r="J76" i="3"/>
  <c r="Y76" i="3"/>
  <c r="Q76" i="3"/>
  <c r="I76" i="3"/>
  <c r="W76" i="3"/>
  <c r="G76" i="3"/>
  <c r="V76" i="3"/>
  <c r="F76" i="3"/>
  <c r="S76" i="3"/>
  <c r="P76" i="3"/>
  <c r="O76" i="3"/>
  <c r="N76" i="3"/>
  <c r="K76" i="3"/>
  <c r="X76" i="3"/>
  <c r="H76" i="3"/>
  <c r="I25" i="3"/>
  <c r="G64" i="2"/>
  <c r="AD64" i="2"/>
  <c r="S61" i="2"/>
  <c r="G61" i="2"/>
  <c r="AD61" i="2"/>
  <c r="D384" i="2"/>
  <c r="D228" i="2"/>
  <c r="P228" i="2" s="1"/>
  <c r="I225" i="2"/>
  <c r="U225" i="2" s="1"/>
  <c r="I381" i="2"/>
  <c r="L216" i="2"/>
  <c r="W216" i="2" s="1"/>
  <c r="K216" i="2"/>
  <c r="L372" i="2"/>
  <c r="L66" i="2"/>
  <c r="C384" i="2"/>
  <c r="C228" i="2"/>
  <c r="O228" i="2" s="1"/>
  <c r="AH55" i="2"/>
  <c r="W55" i="2"/>
  <c r="L55" i="2"/>
  <c r="W26" i="3" l="1"/>
  <c r="I26" i="3"/>
  <c r="F26" i="3"/>
  <c r="O26" i="3"/>
  <c r="L69" i="2"/>
  <c r="J225" i="2"/>
  <c r="V225" i="2" s="1"/>
  <c r="J381" i="2"/>
  <c r="F231" i="2"/>
  <c r="R231" i="2" s="1"/>
  <c r="F387" i="2"/>
  <c r="R26" i="3"/>
  <c r="T67" i="2"/>
  <c r="H67" i="2"/>
  <c r="AE67" i="2"/>
  <c r="B83" i="3"/>
  <c r="B30" i="3"/>
  <c r="J72" i="2"/>
  <c r="H72" i="2"/>
  <c r="F71" i="2"/>
  <c r="H71" i="2" s="1"/>
  <c r="G72" i="2"/>
  <c r="C73" i="2"/>
  <c r="D70" i="2"/>
  <c r="F72" i="2"/>
  <c r="I72" i="2" s="1"/>
  <c r="H26" i="3"/>
  <c r="U26" i="3"/>
  <c r="X26" i="3"/>
  <c r="P26" i="3"/>
  <c r="H231" i="2"/>
  <c r="T231" i="2" s="1"/>
  <c r="H387" i="2"/>
  <c r="I64" i="2"/>
  <c r="AF64" i="2"/>
  <c r="U64" i="2"/>
  <c r="J65" i="2"/>
  <c r="V238" i="3"/>
  <c r="V217" i="3"/>
  <c r="V26" i="3"/>
  <c r="D231" i="2"/>
  <c r="P231" i="2" s="1"/>
  <c r="D387" i="2"/>
  <c r="I61" i="2"/>
  <c r="AF61" i="2"/>
  <c r="U61" i="2"/>
  <c r="J62" i="2"/>
  <c r="G26" i="3"/>
  <c r="X184" i="3"/>
  <c r="X163" i="3"/>
  <c r="C82" i="3"/>
  <c r="C29" i="3"/>
  <c r="AC67" i="2"/>
  <c r="AB67" i="2"/>
  <c r="AA67" i="2"/>
  <c r="R67" i="2"/>
  <c r="Z67" i="2"/>
  <c r="Q67" i="2"/>
  <c r="F67" i="2"/>
  <c r="O67" i="2"/>
  <c r="P67" i="2"/>
  <c r="E26" i="3"/>
  <c r="C231" i="2"/>
  <c r="O231" i="2" s="1"/>
  <c r="C387" i="2"/>
  <c r="Y237" i="3"/>
  <c r="H107" i="1" s="1"/>
  <c r="Z4" i="3"/>
  <c r="Y157" i="3"/>
  <c r="Y9" i="3"/>
  <c r="Y10" i="3"/>
  <c r="Y12" i="3"/>
  <c r="Y11" i="3"/>
  <c r="Y13" i="3"/>
  <c r="Y62" i="3"/>
  <c r="Y14" i="3"/>
  <c r="Y15" i="3"/>
  <c r="Y63" i="3"/>
  <c r="Y66" i="3"/>
  <c r="Y65" i="3"/>
  <c r="Y64" i="3"/>
  <c r="Y16" i="3"/>
  <c r="Y67" i="3"/>
  <c r="Y17" i="3"/>
  <c r="Y68" i="3"/>
  <c r="Y18" i="3"/>
  <c r="Y19" i="3"/>
  <c r="Y69" i="3"/>
  <c r="Y20" i="3"/>
  <c r="Y71" i="3"/>
  <c r="Y70" i="3"/>
  <c r="Y21" i="3"/>
  <c r="Y22" i="3"/>
  <c r="Y23" i="3"/>
  <c r="Y72" i="3"/>
  <c r="Y24" i="3"/>
  <c r="Y74" i="3"/>
  <c r="Y73" i="3"/>
  <c r="Y75" i="3"/>
  <c r="Y25" i="3"/>
  <c r="Y77" i="3"/>
  <c r="Y26" i="3"/>
  <c r="I68" i="2"/>
  <c r="K26" i="3"/>
  <c r="G384" i="2"/>
  <c r="G228" i="2"/>
  <c r="S228" i="2" s="1"/>
  <c r="Q26" i="3"/>
  <c r="G387" i="2"/>
  <c r="G231" i="2"/>
  <c r="S231" i="2" s="1"/>
  <c r="Y78" i="3"/>
  <c r="Q78" i="3"/>
  <c r="I78" i="3"/>
  <c r="X78" i="3"/>
  <c r="P78" i="3"/>
  <c r="H78" i="3"/>
  <c r="W78" i="3"/>
  <c r="O78" i="3"/>
  <c r="G78" i="3"/>
  <c r="V78" i="3"/>
  <c r="N78" i="3"/>
  <c r="F78" i="3"/>
  <c r="U78" i="3"/>
  <c r="M78" i="3"/>
  <c r="E78" i="3"/>
  <c r="S78" i="3"/>
  <c r="L78" i="3"/>
  <c r="K78" i="3"/>
  <c r="J78" i="3"/>
  <c r="D78" i="3"/>
  <c r="T78" i="3"/>
  <c r="R78" i="3"/>
  <c r="S67" i="2"/>
  <c r="G67" i="2"/>
  <c r="AD67" i="2"/>
  <c r="S26" i="3"/>
  <c r="M26" i="3"/>
  <c r="N26" i="3"/>
  <c r="W211" i="3"/>
  <c r="W190" i="3"/>
  <c r="L222" i="2"/>
  <c r="W222" i="2" s="1"/>
  <c r="L378" i="2"/>
  <c r="K222" i="2"/>
  <c r="L26" i="3"/>
  <c r="D26" i="3"/>
  <c r="AH58" i="2"/>
  <c r="W58" i="2"/>
  <c r="L58" i="2"/>
  <c r="E231" i="2"/>
  <c r="Q231" i="2" s="1"/>
  <c r="E387" i="2"/>
  <c r="H228" i="2"/>
  <c r="T228" i="2" s="1"/>
  <c r="H384" i="2"/>
  <c r="T26" i="3"/>
  <c r="G71" i="2" l="1"/>
  <c r="S79" i="3"/>
  <c r="K79" i="3"/>
  <c r="Z79" i="3"/>
  <c r="R79" i="3"/>
  <c r="J79" i="3"/>
  <c r="Y79" i="3"/>
  <c r="Q79" i="3"/>
  <c r="I79" i="3"/>
  <c r="X79" i="3"/>
  <c r="P79" i="3"/>
  <c r="H79" i="3"/>
  <c r="W79" i="3"/>
  <c r="O79" i="3"/>
  <c r="G79" i="3"/>
  <c r="V79" i="3"/>
  <c r="N79" i="3"/>
  <c r="U79" i="3"/>
  <c r="M79" i="3"/>
  <c r="E79" i="3"/>
  <c r="T79" i="3"/>
  <c r="L79" i="3"/>
  <c r="D79" i="3"/>
  <c r="F79" i="3"/>
  <c r="X211" i="3"/>
  <c r="X190" i="3"/>
  <c r="C83" i="3"/>
  <c r="C30" i="3"/>
  <c r="T70" i="2"/>
  <c r="H70" i="2"/>
  <c r="AE70" i="2"/>
  <c r="I67" i="2"/>
  <c r="AF67" i="2"/>
  <c r="U67" i="2"/>
  <c r="J68" i="2"/>
  <c r="F390" i="2"/>
  <c r="F234" i="2"/>
  <c r="R234" i="2" s="1"/>
  <c r="E119" i="1" a="1"/>
  <c r="E119" i="1" s="1"/>
  <c r="E120" i="1" s="1"/>
  <c r="E115" i="1" a="1"/>
  <c r="E115" i="1" s="1"/>
  <c r="D111" i="1" a="1"/>
  <c r="D111" i="1" s="1"/>
  <c r="E118" i="1" a="1"/>
  <c r="E118" i="1" s="1"/>
  <c r="F116" i="1" a="1"/>
  <c r="F116" i="1" s="1"/>
  <c r="D119" i="1" a="1"/>
  <c r="D119" i="1" s="1"/>
  <c r="F109" i="1" a="1"/>
  <c r="F109" i="1" s="1"/>
  <c r="E116" i="1" a="1"/>
  <c r="E116" i="1" s="1"/>
  <c r="F112" i="1" a="1"/>
  <c r="F112" i="1" s="1"/>
  <c r="F110" i="1" a="1"/>
  <c r="F110" i="1" s="1"/>
  <c r="F117" i="1" a="1"/>
  <c r="F117" i="1" s="1"/>
  <c r="F113" i="1" a="1"/>
  <c r="F113" i="1" s="1"/>
  <c r="F111" i="1" a="1"/>
  <c r="F111" i="1" s="1"/>
  <c r="E109" i="1" a="1"/>
  <c r="E109" i="1" s="1"/>
  <c r="F114" i="1" a="1"/>
  <c r="F114" i="1" s="1"/>
  <c r="E112" i="1" a="1"/>
  <c r="E112" i="1" s="1"/>
  <c r="E110" i="1" a="1"/>
  <c r="E110" i="1" s="1"/>
  <c r="F119" i="1" a="1"/>
  <c r="F119" i="1" s="1"/>
  <c r="F120" i="1" s="1"/>
  <c r="E117" i="1" a="1"/>
  <c r="E117" i="1" s="1"/>
  <c r="F115" i="1" a="1"/>
  <c r="F115" i="1" s="1"/>
  <c r="E113" i="1" a="1"/>
  <c r="E113" i="1" s="1"/>
  <c r="E111" i="1" a="1"/>
  <c r="E111" i="1" s="1"/>
  <c r="D109" i="1" a="1"/>
  <c r="D109" i="1" s="1"/>
  <c r="F118" i="1" a="1"/>
  <c r="F118" i="1" s="1"/>
  <c r="E114" i="1" a="1"/>
  <c r="E114" i="1" s="1"/>
  <c r="D112" i="1" a="1"/>
  <c r="D112" i="1" s="1"/>
  <c r="D110" i="1" a="1"/>
  <c r="D110" i="1" s="1"/>
  <c r="K63" i="2"/>
  <c r="X61" i="2" s="1"/>
  <c r="V61" i="2"/>
  <c r="AG61" i="2"/>
  <c r="J61" i="2"/>
  <c r="M27" i="3" s="1"/>
  <c r="L62" i="2"/>
  <c r="B84" i="3"/>
  <c r="B31" i="3"/>
  <c r="F74" i="2"/>
  <c r="H74" i="2" s="1"/>
  <c r="C76" i="2"/>
  <c r="D73" i="2"/>
  <c r="F75" i="2"/>
  <c r="H75" i="2" s="1"/>
  <c r="Y184" i="3"/>
  <c r="Y163" i="3"/>
  <c r="I228" i="2"/>
  <c r="U228" i="2" s="1"/>
  <c r="I384" i="2"/>
  <c r="D27" i="3"/>
  <c r="D390" i="2"/>
  <c r="D234" i="2"/>
  <c r="P234" i="2" s="1"/>
  <c r="K66" i="2"/>
  <c r="X64" i="2" s="1"/>
  <c r="V64" i="2"/>
  <c r="AG64" i="2"/>
  <c r="J64" i="2"/>
  <c r="Z28" i="3" s="1"/>
  <c r="L65" i="2"/>
  <c r="I71" i="2"/>
  <c r="AC70" i="2"/>
  <c r="AB70" i="2"/>
  <c r="AA70" i="2"/>
  <c r="R70" i="2"/>
  <c r="Z70" i="2"/>
  <c r="Q70" i="2"/>
  <c r="F70" i="2"/>
  <c r="O70" i="2"/>
  <c r="P70" i="2"/>
  <c r="V27" i="3"/>
  <c r="I387" i="2"/>
  <c r="I231" i="2"/>
  <c r="U231" i="2" s="1"/>
  <c r="E27" i="3"/>
  <c r="H390" i="2"/>
  <c r="H234" i="2"/>
  <c r="T234" i="2" s="1"/>
  <c r="F27" i="3"/>
  <c r="Z237" i="3"/>
  <c r="AA4" i="3"/>
  <c r="Z157" i="3"/>
  <c r="Z9" i="3"/>
  <c r="Z10" i="3"/>
  <c r="Z11" i="3"/>
  <c r="Z12" i="3"/>
  <c r="Z13" i="3"/>
  <c r="Z62" i="3"/>
  <c r="Z14" i="3"/>
  <c r="Z63" i="3"/>
  <c r="Z15" i="3"/>
  <c r="Z66" i="3"/>
  <c r="Z64" i="3"/>
  <c r="Z65" i="3"/>
  <c r="Z16" i="3"/>
  <c r="Z67" i="3"/>
  <c r="Z17" i="3"/>
  <c r="Z68" i="3"/>
  <c r="Z18" i="3"/>
  <c r="Z19" i="3"/>
  <c r="Z70" i="3"/>
  <c r="Z69" i="3"/>
  <c r="Z71" i="3"/>
  <c r="Z20" i="3"/>
  <c r="Z21" i="3"/>
  <c r="Z22" i="3"/>
  <c r="Z23" i="3"/>
  <c r="Z72" i="3"/>
  <c r="Z74" i="3"/>
  <c r="Z24" i="3"/>
  <c r="Z73" i="3"/>
  <c r="Z25" i="3"/>
  <c r="Z75" i="3"/>
  <c r="Z77" i="3"/>
  <c r="Z26" i="3"/>
  <c r="Z76" i="3"/>
  <c r="Z27" i="3"/>
  <c r="C234" i="2"/>
  <c r="O234" i="2" s="1"/>
  <c r="C390" i="2"/>
  <c r="L381" i="2"/>
  <c r="L225" i="2"/>
  <c r="W225" i="2" s="1"/>
  <c r="K225" i="2"/>
  <c r="W238" i="3"/>
  <c r="W217" i="3"/>
  <c r="G390" i="2"/>
  <c r="G234" i="2"/>
  <c r="S234" i="2" s="1"/>
  <c r="Z78" i="3"/>
  <c r="S70" i="2"/>
  <c r="G70" i="2"/>
  <c r="AD70" i="2"/>
  <c r="J27" i="3"/>
  <c r="T27" i="3"/>
  <c r="E390" i="2"/>
  <c r="E234" i="2"/>
  <c r="Q234" i="2" s="1"/>
  <c r="L72" i="2"/>
  <c r="R27" i="3" l="1"/>
  <c r="P27" i="3"/>
  <c r="U27" i="3"/>
  <c r="W27" i="3"/>
  <c r="O27" i="3"/>
  <c r="I27" i="3"/>
  <c r="L27" i="3"/>
  <c r="T73" i="2"/>
  <c r="H73" i="2"/>
  <c r="AE73" i="2"/>
  <c r="I74" i="2"/>
  <c r="J231" i="2"/>
  <c r="V231" i="2" s="1"/>
  <c r="J387" i="2"/>
  <c r="I75" i="2"/>
  <c r="S27" i="3"/>
  <c r="K27" i="3"/>
  <c r="H27" i="3"/>
  <c r="Y27" i="3"/>
  <c r="N27" i="3"/>
  <c r="G27" i="3"/>
  <c r="Q27" i="3"/>
  <c r="Z184" i="3"/>
  <c r="Z163" i="3"/>
  <c r="AA237" i="3"/>
  <c r="AA3" i="3"/>
  <c r="AB4" i="3"/>
  <c r="AA157" i="3"/>
  <c r="AA9" i="3"/>
  <c r="AA10" i="3"/>
  <c r="AA11" i="3"/>
  <c r="AA12" i="3"/>
  <c r="AA13" i="3"/>
  <c r="AA62" i="3"/>
  <c r="AA14" i="3"/>
  <c r="AA15" i="3"/>
  <c r="AA63" i="3"/>
  <c r="AA16" i="3"/>
  <c r="AA66" i="3"/>
  <c r="AA65" i="3"/>
  <c r="AA64" i="3"/>
  <c r="AA17" i="3"/>
  <c r="AA68" i="3"/>
  <c r="AA67" i="3"/>
  <c r="AA18" i="3"/>
  <c r="AA19" i="3"/>
  <c r="AA20" i="3"/>
  <c r="AA70" i="3"/>
  <c r="AA71" i="3"/>
  <c r="AA69" i="3"/>
  <c r="AA21" i="3"/>
  <c r="AA22" i="3"/>
  <c r="AA23" i="3"/>
  <c r="AA72" i="3"/>
  <c r="AA73" i="3"/>
  <c r="AA24" i="3"/>
  <c r="AA74" i="3"/>
  <c r="AA75" i="3"/>
  <c r="AA25" i="3"/>
  <c r="AA77" i="3"/>
  <c r="AA26" i="3"/>
  <c r="AA76" i="3"/>
  <c r="AA27" i="3"/>
  <c r="AA28" i="3"/>
  <c r="AA78" i="3"/>
  <c r="D393" i="2"/>
  <c r="D237" i="2"/>
  <c r="P237" i="2" s="1"/>
  <c r="Y211" i="3"/>
  <c r="Y190" i="3"/>
  <c r="J75" i="2"/>
  <c r="J384" i="2"/>
  <c r="J228" i="2"/>
  <c r="V228" i="2" s="1"/>
  <c r="AA79" i="3"/>
  <c r="C393" i="2"/>
  <c r="C237" i="2"/>
  <c r="O237" i="2" s="1"/>
  <c r="I70" i="2"/>
  <c r="AF70" i="2"/>
  <c r="U70" i="2"/>
  <c r="J71" i="2"/>
  <c r="B85" i="3"/>
  <c r="B32" i="3"/>
  <c r="I78" i="2"/>
  <c r="F77" i="2"/>
  <c r="H77" i="2" s="1"/>
  <c r="C79" i="2"/>
  <c r="D76" i="2"/>
  <c r="F78" i="2"/>
  <c r="H78" i="2" s="1"/>
  <c r="H393" i="2"/>
  <c r="H237" i="2"/>
  <c r="T237" i="2" s="1"/>
  <c r="G75" i="2"/>
  <c r="L75" i="2" s="1"/>
  <c r="K69" i="2"/>
  <c r="X67" i="2" s="1"/>
  <c r="V67" i="2"/>
  <c r="AG67" i="2"/>
  <c r="J67" i="2"/>
  <c r="L68" i="2"/>
  <c r="G393" i="2"/>
  <c r="G237" i="2"/>
  <c r="S237" i="2" s="1"/>
  <c r="E393" i="2"/>
  <c r="E237" i="2"/>
  <c r="Q237" i="2" s="1"/>
  <c r="AH64" i="2"/>
  <c r="W64" i="2"/>
  <c r="L64" i="2"/>
  <c r="AC73" i="2"/>
  <c r="AB73" i="2"/>
  <c r="AA73" i="2"/>
  <c r="R73" i="2"/>
  <c r="Z73" i="2"/>
  <c r="Q73" i="2"/>
  <c r="F73" i="2"/>
  <c r="O73" i="2"/>
  <c r="P73" i="2"/>
  <c r="I234" i="2"/>
  <c r="U234" i="2" s="1"/>
  <c r="I390" i="2"/>
  <c r="H28" i="3"/>
  <c r="U28" i="3"/>
  <c r="D28" i="3"/>
  <c r="M28" i="3"/>
  <c r="R28" i="3"/>
  <c r="J28" i="3"/>
  <c r="Q28" i="3"/>
  <c r="W28" i="3"/>
  <c r="F28" i="3"/>
  <c r="S28" i="3"/>
  <c r="I28" i="3"/>
  <c r="O28" i="3"/>
  <c r="X28" i="3"/>
  <c r="G28" i="3"/>
  <c r="T28" i="3"/>
  <c r="E28" i="3"/>
  <c r="N28" i="3"/>
  <c r="K28" i="3"/>
  <c r="P28" i="3"/>
  <c r="L28" i="3"/>
  <c r="Y28" i="3"/>
  <c r="V28" i="3"/>
  <c r="C84" i="3"/>
  <c r="C31" i="3"/>
  <c r="F393" i="2"/>
  <c r="F237" i="2"/>
  <c r="R237" i="2" s="1"/>
  <c r="G74" i="2"/>
  <c r="AH61" i="2"/>
  <c r="W61" i="2"/>
  <c r="L61" i="2"/>
  <c r="X238" i="3"/>
  <c r="X217" i="3"/>
  <c r="X27" i="3"/>
  <c r="G77" i="2" l="1"/>
  <c r="G76" i="2" s="1"/>
  <c r="T76" i="2"/>
  <c r="H76" i="2"/>
  <c r="AE76" i="2"/>
  <c r="I77" i="2"/>
  <c r="AH67" i="2"/>
  <c r="W67" i="2"/>
  <c r="L67" i="2"/>
  <c r="S76" i="2"/>
  <c r="Z211" i="3"/>
  <c r="Z190" i="3"/>
  <c r="C240" i="2"/>
  <c r="O240" i="2" s="1"/>
  <c r="C396" i="2"/>
  <c r="Z29" i="3"/>
  <c r="W29" i="3"/>
  <c r="F29" i="3"/>
  <c r="T29" i="3"/>
  <c r="AA29" i="3"/>
  <c r="R29" i="3"/>
  <c r="G29" i="3"/>
  <c r="V29" i="3"/>
  <c r="J29" i="3"/>
  <c r="P29" i="3"/>
  <c r="L29" i="3"/>
  <c r="H29" i="3"/>
  <c r="D29" i="3"/>
  <c r="E29" i="3"/>
  <c r="U29" i="3"/>
  <c r="Y29" i="3"/>
  <c r="M29" i="3"/>
  <c r="Q29" i="3"/>
  <c r="I29" i="3"/>
  <c r="N29" i="3"/>
  <c r="S29" i="3"/>
  <c r="K29" i="3"/>
  <c r="O29" i="3"/>
  <c r="X29" i="3"/>
  <c r="L384" i="2"/>
  <c r="L228" i="2"/>
  <c r="W228" i="2" s="1"/>
  <c r="K228" i="2"/>
  <c r="W81" i="3"/>
  <c r="O81" i="3"/>
  <c r="G81" i="3"/>
  <c r="V81" i="3"/>
  <c r="N81" i="3"/>
  <c r="F81" i="3"/>
  <c r="U81" i="3"/>
  <c r="M81" i="3"/>
  <c r="E81" i="3"/>
  <c r="AB81" i="3"/>
  <c r="T81" i="3"/>
  <c r="L81" i="3"/>
  <c r="D81" i="3"/>
  <c r="AA81" i="3"/>
  <c r="S81" i="3"/>
  <c r="K81" i="3"/>
  <c r="Z81" i="3"/>
  <c r="R81" i="3"/>
  <c r="J81" i="3"/>
  <c r="Y81" i="3"/>
  <c r="Q81" i="3"/>
  <c r="I81" i="3"/>
  <c r="X81" i="3"/>
  <c r="P81" i="3"/>
  <c r="H81" i="3"/>
  <c r="L231" i="2"/>
  <c r="W231" i="2" s="1"/>
  <c r="K231" i="2"/>
  <c r="L387" i="2"/>
  <c r="Y217" i="3"/>
  <c r="Y238" i="3"/>
  <c r="AA163" i="3"/>
  <c r="AA184" i="3"/>
  <c r="J234" i="2"/>
  <c r="V234" i="2" s="1"/>
  <c r="J390" i="2"/>
  <c r="J78" i="2"/>
  <c r="AB237" i="3"/>
  <c r="AC4" i="3"/>
  <c r="AB157" i="3"/>
  <c r="AB9" i="3"/>
  <c r="AB10" i="3"/>
  <c r="AB12" i="3"/>
  <c r="AB11" i="3"/>
  <c r="AB13" i="3"/>
  <c r="AB62" i="3"/>
  <c r="AB14" i="3"/>
  <c r="AB15" i="3"/>
  <c r="AB63" i="3"/>
  <c r="AB64" i="3"/>
  <c r="AB66" i="3"/>
  <c r="AB65" i="3"/>
  <c r="AB16" i="3"/>
  <c r="AB67" i="3"/>
  <c r="AB68" i="3"/>
  <c r="AB17" i="3"/>
  <c r="AB18" i="3"/>
  <c r="AB19" i="3"/>
  <c r="AB70" i="3"/>
  <c r="AB20" i="3"/>
  <c r="AB71" i="3"/>
  <c r="AB69" i="3"/>
  <c r="AB21" i="3"/>
  <c r="AB22" i="3"/>
  <c r="AB23" i="3"/>
  <c r="AB72" i="3"/>
  <c r="AB74" i="3"/>
  <c r="AB73" i="3"/>
  <c r="AB24" i="3"/>
  <c r="AB25" i="3"/>
  <c r="AB75" i="3"/>
  <c r="AB77" i="3"/>
  <c r="AB26" i="3"/>
  <c r="AB27" i="3"/>
  <c r="AB76" i="3"/>
  <c r="AB78" i="3"/>
  <c r="AB28" i="3"/>
  <c r="AB29" i="3"/>
  <c r="AB79" i="3"/>
  <c r="E240" i="2"/>
  <c r="Q240" i="2" s="1"/>
  <c r="E396" i="2"/>
  <c r="B86" i="3"/>
  <c r="B33" i="3"/>
  <c r="J81" i="2"/>
  <c r="F80" i="2"/>
  <c r="C82" i="2"/>
  <c r="F81" i="2"/>
  <c r="G81" i="2" s="1"/>
  <c r="D79" i="2"/>
  <c r="I73" i="2"/>
  <c r="AF73" i="2"/>
  <c r="U73" i="2"/>
  <c r="J74" i="2"/>
  <c r="D240" i="2"/>
  <c r="P240" i="2" s="1"/>
  <c r="D396" i="2"/>
  <c r="S73" i="2"/>
  <c r="G73" i="2"/>
  <c r="AD73" i="2"/>
  <c r="F396" i="2"/>
  <c r="F240" i="2"/>
  <c r="R240" i="2" s="1"/>
  <c r="G78" i="2"/>
  <c r="L78" i="2" s="1"/>
  <c r="AC80" i="3"/>
  <c r="U80" i="3"/>
  <c r="M80" i="3"/>
  <c r="E80" i="3"/>
  <c r="AB80" i="3"/>
  <c r="T80" i="3"/>
  <c r="L80" i="3"/>
  <c r="D80" i="3"/>
  <c r="AA80" i="3"/>
  <c r="S80" i="3"/>
  <c r="K80" i="3"/>
  <c r="Z80" i="3"/>
  <c r="R80" i="3"/>
  <c r="J80" i="3"/>
  <c r="Y80" i="3"/>
  <c r="Q80" i="3"/>
  <c r="I80" i="3"/>
  <c r="X80" i="3"/>
  <c r="P80" i="3"/>
  <c r="H80" i="3"/>
  <c r="W80" i="3"/>
  <c r="O80" i="3"/>
  <c r="G80" i="3"/>
  <c r="V80" i="3"/>
  <c r="N80" i="3"/>
  <c r="F80" i="3"/>
  <c r="AC76" i="2"/>
  <c r="AB76" i="2"/>
  <c r="AA76" i="2"/>
  <c r="R76" i="2"/>
  <c r="Z76" i="2"/>
  <c r="Q76" i="2"/>
  <c r="F76" i="2"/>
  <c r="O76" i="2"/>
  <c r="P76" i="2"/>
  <c r="K72" i="2"/>
  <c r="X70" i="2" s="1"/>
  <c r="V70" i="2"/>
  <c r="AG70" i="2"/>
  <c r="J70" i="2"/>
  <c r="P30" i="3" s="1"/>
  <c r="L71" i="2"/>
  <c r="C85" i="3"/>
  <c r="C32" i="3"/>
  <c r="I393" i="2"/>
  <c r="I237" i="2"/>
  <c r="U237" i="2" s="1"/>
  <c r="H396" i="2"/>
  <c r="H240" i="2"/>
  <c r="T240" i="2" s="1"/>
  <c r="AH70" i="2" l="1"/>
  <c r="W70" i="2"/>
  <c r="L70" i="2"/>
  <c r="E399" i="2"/>
  <c r="E243" i="2"/>
  <c r="Q243" i="2" s="1"/>
  <c r="N30" i="3"/>
  <c r="W30" i="3"/>
  <c r="C86" i="3"/>
  <c r="C33" i="3"/>
  <c r="AC79" i="2"/>
  <c r="AB79" i="2"/>
  <c r="AA79" i="2"/>
  <c r="R79" i="2"/>
  <c r="Z79" i="2"/>
  <c r="Q79" i="2"/>
  <c r="F79" i="2"/>
  <c r="O79" i="2"/>
  <c r="P79" i="2"/>
  <c r="R30" i="3"/>
  <c r="G30" i="3"/>
  <c r="AA30" i="3"/>
  <c r="Y82" i="3"/>
  <c r="Q82" i="3"/>
  <c r="I82" i="3"/>
  <c r="X82" i="3"/>
  <c r="P82" i="3"/>
  <c r="H82" i="3"/>
  <c r="W82" i="3"/>
  <c r="O82" i="3"/>
  <c r="G82" i="3"/>
  <c r="V82" i="3"/>
  <c r="N82" i="3"/>
  <c r="F82" i="3"/>
  <c r="AC82" i="3"/>
  <c r="U82" i="3"/>
  <c r="M82" i="3"/>
  <c r="E82" i="3"/>
  <c r="AB82" i="3"/>
  <c r="T82" i="3"/>
  <c r="L82" i="3"/>
  <c r="D82" i="3"/>
  <c r="AA82" i="3"/>
  <c r="S82" i="3"/>
  <c r="K82" i="3"/>
  <c r="Z82" i="3"/>
  <c r="R82" i="3"/>
  <c r="J82" i="3"/>
  <c r="F30" i="3"/>
  <c r="H81" i="2"/>
  <c r="L81" i="2" s="1"/>
  <c r="O30" i="3"/>
  <c r="K234" i="2"/>
  <c r="L390" i="2"/>
  <c r="L234" i="2"/>
  <c r="W234" i="2" s="1"/>
  <c r="H30" i="3"/>
  <c r="S30" i="3"/>
  <c r="U30" i="3"/>
  <c r="AB30" i="3"/>
  <c r="K30" i="3"/>
  <c r="Y30" i="3"/>
  <c r="M30" i="3"/>
  <c r="F399" i="2"/>
  <c r="F243" i="2"/>
  <c r="R243" i="2" s="1"/>
  <c r="V73" i="2"/>
  <c r="K75" i="2"/>
  <c r="X73" i="2" s="1"/>
  <c r="J73" i="2"/>
  <c r="AC31" i="3" s="1"/>
  <c r="AG73" i="2"/>
  <c r="L74" i="2"/>
  <c r="G80" i="2"/>
  <c r="J393" i="2"/>
  <c r="J237" i="2"/>
  <c r="V237" i="2" s="1"/>
  <c r="I240" i="2"/>
  <c r="U240" i="2" s="1"/>
  <c r="I396" i="2"/>
  <c r="I81" i="2"/>
  <c r="AB163" i="3"/>
  <c r="AB184" i="3"/>
  <c r="AA211" i="3"/>
  <c r="AA190" i="3"/>
  <c r="T30" i="3"/>
  <c r="H80" i="2"/>
  <c r="AC237" i="3"/>
  <c r="AD4" i="3"/>
  <c r="AD82" i="3" s="1"/>
  <c r="AC157" i="3"/>
  <c r="AC9" i="3"/>
  <c r="AC10" i="3"/>
  <c r="AC12" i="3"/>
  <c r="AC11" i="3"/>
  <c r="AC13" i="3"/>
  <c r="AC62" i="3"/>
  <c r="AC14" i="3"/>
  <c r="AC63" i="3"/>
  <c r="AC15" i="3"/>
  <c r="AC65" i="3"/>
  <c r="AC66" i="3"/>
  <c r="AC64" i="3"/>
  <c r="AC16" i="3"/>
  <c r="AC67" i="3"/>
  <c r="AC17" i="3"/>
  <c r="AC68" i="3"/>
  <c r="AC18" i="3"/>
  <c r="AC19" i="3"/>
  <c r="AC69" i="3"/>
  <c r="AC70" i="3"/>
  <c r="AC20" i="3"/>
  <c r="AC71" i="3"/>
  <c r="AC21" i="3"/>
  <c r="AC22" i="3"/>
  <c r="AC72" i="3"/>
  <c r="AC23" i="3"/>
  <c r="AC74" i="3"/>
  <c r="AC24" i="3"/>
  <c r="AC73" i="3"/>
  <c r="AC75" i="3"/>
  <c r="AC25" i="3"/>
  <c r="AC77" i="3"/>
  <c r="AC26" i="3"/>
  <c r="AC27" i="3"/>
  <c r="AC76" i="3"/>
  <c r="AC78" i="3"/>
  <c r="AC28" i="3"/>
  <c r="AC29" i="3"/>
  <c r="AC79" i="3"/>
  <c r="AC30" i="3"/>
  <c r="Z238" i="3"/>
  <c r="Z217" i="3"/>
  <c r="I76" i="2"/>
  <c r="AF76" i="2"/>
  <c r="U76" i="2"/>
  <c r="J77" i="2"/>
  <c r="Q30" i="3"/>
  <c r="AD76" i="2"/>
  <c r="D399" i="2"/>
  <c r="D243" i="2"/>
  <c r="P243" i="2" s="1"/>
  <c r="V30" i="3"/>
  <c r="L30" i="3"/>
  <c r="D30" i="3"/>
  <c r="B87" i="3"/>
  <c r="B34" i="3"/>
  <c r="F83" i="2"/>
  <c r="H83" i="2" s="1"/>
  <c r="G84" i="2"/>
  <c r="C85" i="2"/>
  <c r="F84" i="2"/>
  <c r="I84" i="2" s="1"/>
  <c r="D82" i="2"/>
  <c r="J30" i="3"/>
  <c r="AC81" i="3"/>
  <c r="C399" i="2"/>
  <c r="C243" i="2"/>
  <c r="O243" i="2" s="1"/>
  <c r="E30" i="3"/>
  <c r="I30" i="3"/>
  <c r="Z30" i="3"/>
  <c r="G396" i="2"/>
  <c r="G240" i="2"/>
  <c r="S240" i="2" s="1"/>
  <c r="X30" i="3"/>
  <c r="D31" i="3"/>
  <c r="G399" i="2"/>
  <c r="G243" i="2"/>
  <c r="S243" i="2" s="1"/>
  <c r="H399" i="2"/>
  <c r="H243" i="2"/>
  <c r="T243" i="2" s="1"/>
  <c r="Z31" i="3" l="1"/>
  <c r="M31" i="3"/>
  <c r="V31" i="3"/>
  <c r="R31" i="3"/>
  <c r="X31" i="3"/>
  <c r="P31" i="3"/>
  <c r="W31" i="3"/>
  <c r="E31" i="3"/>
  <c r="F31" i="3"/>
  <c r="AB31" i="3"/>
  <c r="G83" i="2"/>
  <c r="Y31" i="3"/>
  <c r="J31" i="3"/>
  <c r="T31" i="3"/>
  <c r="O31" i="3"/>
  <c r="AA31" i="3"/>
  <c r="H31" i="3"/>
  <c r="F246" i="2"/>
  <c r="R246" i="2" s="1"/>
  <c r="F402" i="2"/>
  <c r="T82" i="2"/>
  <c r="H82" i="2"/>
  <c r="J84" i="2"/>
  <c r="V76" i="2"/>
  <c r="K78" i="2"/>
  <c r="X76" i="2" s="1"/>
  <c r="J76" i="2"/>
  <c r="AG76" i="2"/>
  <c r="L77" i="2"/>
  <c r="S31" i="3"/>
  <c r="S79" i="2"/>
  <c r="G79" i="2"/>
  <c r="AD79" i="2"/>
  <c r="B88" i="3"/>
  <c r="B35" i="3"/>
  <c r="F86" i="2"/>
  <c r="C88" i="2"/>
  <c r="D85" i="2"/>
  <c r="F87" i="2"/>
  <c r="J87" i="2" s="1"/>
  <c r="I243" i="2"/>
  <c r="U243" i="2" s="1"/>
  <c r="I399" i="2"/>
  <c r="AC184" i="3"/>
  <c r="AC163" i="3"/>
  <c r="AH73" i="2"/>
  <c r="W73" i="2"/>
  <c r="L73" i="2"/>
  <c r="AA83" i="3"/>
  <c r="S83" i="3"/>
  <c r="K83" i="3"/>
  <c r="Z83" i="3"/>
  <c r="R83" i="3"/>
  <c r="J83" i="3"/>
  <c r="Y83" i="3"/>
  <c r="Q83" i="3"/>
  <c r="I83" i="3"/>
  <c r="X83" i="3"/>
  <c r="P83" i="3"/>
  <c r="H83" i="3"/>
  <c r="W83" i="3"/>
  <c r="O83" i="3"/>
  <c r="G83" i="3"/>
  <c r="AD83" i="3"/>
  <c r="V83" i="3"/>
  <c r="N83" i="3"/>
  <c r="F83" i="3"/>
  <c r="AC83" i="3"/>
  <c r="U83" i="3"/>
  <c r="M83" i="3"/>
  <c r="E83" i="3"/>
  <c r="AB83" i="3"/>
  <c r="T83" i="3"/>
  <c r="L83" i="3"/>
  <c r="D83" i="3"/>
  <c r="D402" i="2"/>
  <c r="D246" i="2"/>
  <c r="P246" i="2" s="1"/>
  <c r="L237" i="2"/>
  <c r="W237" i="2" s="1"/>
  <c r="L393" i="2"/>
  <c r="K237" i="2"/>
  <c r="C87" i="3"/>
  <c r="C34" i="3"/>
  <c r="AC82" i="2"/>
  <c r="AB82" i="2"/>
  <c r="AA82" i="2"/>
  <c r="R82" i="2"/>
  <c r="Z82" i="2"/>
  <c r="Q82" i="2"/>
  <c r="F82" i="2"/>
  <c r="O82" i="2"/>
  <c r="P82" i="2"/>
  <c r="T79" i="2"/>
  <c r="H79" i="2"/>
  <c r="AE79" i="2"/>
  <c r="I80" i="2"/>
  <c r="AA238" i="3"/>
  <c r="AA217" i="3"/>
  <c r="Q31" i="3"/>
  <c r="C402" i="2"/>
  <c r="C246" i="2"/>
  <c r="O246" i="2" s="1"/>
  <c r="H84" i="2"/>
  <c r="AE82" i="2" s="1"/>
  <c r="AB211" i="3"/>
  <c r="AB190" i="3"/>
  <c r="K31" i="3"/>
  <c r="U31" i="3"/>
  <c r="S82" i="2"/>
  <c r="G82" i="2"/>
  <c r="AD82" i="2"/>
  <c r="J240" i="2"/>
  <c r="V240" i="2" s="1"/>
  <c r="J396" i="2"/>
  <c r="L31" i="3"/>
  <c r="E246" i="2"/>
  <c r="Q246" i="2" s="1"/>
  <c r="E402" i="2"/>
  <c r="AD237" i="3"/>
  <c r="AE4" i="3"/>
  <c r="AE83" i="3" s="1"/>
  <c r="AD157" i="3"/>
  <c r="AD9" i="3"/>
  <c r="AD10" i="3"/>
  <c r="AD12" i="3"/>
  <c r="AD11" i="3"/>
  <c r="AD13" i="3"/>
  <c r="AD62" i="3"/>
  <c r="AD14" i="3"/>
  <c r="AD15" i="3"/>
  <c r="AD63" i="3"/>
  <c r="AD66" i="3"/>
  <c r="AD65" i="3"/>
  <c r="AD16" i="3"/>
  <c r="AD64" i="3"/>
  <c r="AD67" i="3"/>
  <c r="AD17" i="3"/>
  <c r="AD68" i="3"/>
  <c r="AD18" i="3"/>
  <c r="AD19" i="3"/>
  <c r="AD20" i="3"/>
  <c r="AD69" i="3"/>
  <c r="AD71" i="3"/>
  <c r="AD70" i="3"/>
  <c r="AD21" i="3"/>
  <c r="AD22" i="3"/>
  <c r="AD23" i="3"/>
  <c r="AD72" i="3"/>
  <c r="AD24" i="3"/>
  <c r="AD73" i="3"/>
  <c r="AD74" i="3"/>
  <c r="AD75" i="3"/>
  <c r="AD25" i="3"/>
  <c r="AD77" i="3"/>
  <c r="AD26" i="3"/>
  <c r="AD27" i="3"/>
  <c r="AD76" i="3"/>
  <c r="AD28" i="3"/>
  <c r="AD78" i="3"/>
  <c r="AD29" i="3"/>
  <c r="AD79" i="3"/>
  <c r="AD30" i="3"/>
  <c r="AD31" i="3"/>
  <c r="AD81" i="3"/>
  <c r="AD80" i="3"/>
  <c r="AD32" i="3"/>
  <c r="I83" i="2"/>
  <c r="Z32" i="3"/>
  <c r="D32" i="3"/>
  <c r="U32" i="3"/>
  <c r="N31" i="3"/>
  <c r="G31" i="3"/>
  <c r="I31" i="3"/>
  <c r="AD163" i="3" l="1"/>
  <c r="AD184" i="3"/>
  <c r="B89" i="3"/>
  <c r="B36" i="3"/>
  <c r="J90" i="2"/>
  <c r="I90" i="2"/>
  <c r="F89" i="2"/>
  <c r="H89" i="2" s="1"/>
  <c r="G90" i="2"/>
  <c r="C91" i="2"/>
  <c r="F90" i="2"/>
  <c r="H90" i="2" s="1"/>
  <c r="L90" i="2" s="1"/>
  <c r="D88" i="2"/>
  <c r="I79" i="2"/>
  <c r="AF79" i="2"/>
  <c r="U79" i="2"/>
  <c r="J80" i="2"/>
  <c r="E405" i="2"/>
  <c r="E249" i="2"/>
  <c r="Q249" i="2" s="1"/>
  <c r="G87" i="2"/>
  <c r="R32" i="3"/>
  <c r="S32" i="3"/>
  <c r="M32" i="3"/>
  <c r="J32" i="3"/>
  <c r="V32" i="3"/>
  <c r="E32" i="3"/>
  <c r="F32" i="3"/>
  <c r="I32" i="3"/>
  <c r="N32" i="3"/>
  <c r="AA32" i="3"/>
  <c r="Y32" i="3"/>
  <c r="W32" i="3"/>
  <c r="K32" i="3"/>
  <c r="Q32" i="3"/>
  <c r="O32" i="3"/>
  <c r="AB32" i="3"/>
  <c r="X32" i="3"/>
  <c r="G32" i="3"/>
  <c r="T32" i="3"/>
  <c r="P32" i="3"/>
  <c r="L32" i="3"/>
  <c r="AC32" i="3"/>
  <c r="G405" i="2"/>
  <c r="G249" i="2"/>
  <c r="S249" i="2" s="1"/>
  <c r="AB217" i="3"/>
  <c r="AB238" i="3"/>
  <c r="AC85" i="2"/>
  <c r="AB85" i="2"/>
  <c r="AA85" i="2"/>
  <c r="R85" i="2"/>
  <c r="Z85" i="2"/>
  <c r="Q85" i="2"/>
  <c r="F85" i="2"/>
  <c r="O85" i="2"/>
  <c r="P85" i="2"/>
  <c r="F405" i="2"/>
  <c r="F249" i="2"/>
  <c r="R249" i="2" s="1"/>
  <c r="AB84" i="3"/>
  <c r="AA84" i="3"/>
  <c r="S84" i="3"/>
  <c r="AF84" i="3"/>
  <c r="V84" i="3"/>
  <c r="M84" i="3"/>
  <c r="E84" i="3"/>
  <c r="AE84" i="3"/>
  <c r="U84" i="3"/>
  <c r="L84" i="3"/>
  <c r="D84" i="3"/>
  <c r="AD84" i="3"/>
  <c r="T84" i="3"/>
  <c r="K84" i="3"/>
  <c r="AC84" i="3"/>
  <c r="R84" i="3"/>
  <c r="J84" i="3"/>
  <c r="Z84" i="3"/>
  <c r="Q84" i="3"/>
  <c r="I84" i="3"/>
  <c r="Y84" i="3"/>
  <c r="P84" i="3"/>
  <c r="H84" i="3"/>
  <c r="X84" i="3"/>
  <c r="O84" i="3"/>
  <c r="G84" i="3"/>
  <c r="W84" i="3"/>
  <c r="N84" i="3"/>
  <c r="F84" i="3"/>
  <c r="C88" i="3"/>
  <c r="C35" i="3"/>
  <c r="H87" i="2"/>
  <c r="J243" i="2"/>
  <c r="V243" i="2" s="1"/>
  <c r="J399" i="2"/>
  <c r="L84" i="2"/>
  <c r="AE237" i="3"/>
  <c r="AF4" i="3"/>
  <c r="AE3" i="3"/>
  <c r="AE157" i="3"/>
  <c r="AE9" i="3"/>
  <c r="AE10" i="3"/>
  <c r="AE12" i="3"/>
  <c r="AE11" i="3"/>
  <c r="AE13" i="3"/>
  <c r="AE62" i="3"/>
  <c r="AE14" i="3"/>
  <c r="AE63" i="3"/>
  <c r="AE15" i="3"/>
  <c r="AE65" i="3"/>
  <c r="AE66" i="3"/>
  <c r="AE16" i="3"/>
  <c r="AE64" i="3"/>
  <c r="AE68" i="3"/>
  <c r="AE67" i="3"/>
  <c r="AE17" i="3"/>
  <c r="AE18" i="3"/>
  <c r="AE19" i="3"/>
  <c r="AE70" i="3"/>
  <c r="AE20" i="3"/>
  <c r="AE69" i="3"/>
  <c r="AE71" i="3"/>
  <c r="AE21" i="3"/>
  <c r="AE22" i="3"/>
  <c r="AE72" i="3"/>
  <c r="AE23" i="3"/>
  <c r="AE74" i="3"/>
  <c r="AE73" i="3"/>
  <c r="AE24" i="3"/>
  <c r="AE25" i="3"/>
  <c r="AE75" i="3"/>
  <c r="AE77" i="3"/>
  <c r="AE26" i="3"/>
  <c r="AE27" i="3"/>
  <c r="AE76" i="3"/>
  <c r="AE78" i="3"/>
  <c r="AE28" i="3"/>
  <c r="AE79" i="3"/>
  <c r="AE29" i="3"/>
  <c r="AE30" i="3"/>
  <c r="AE31" i="3"/>
  <c r="AE81" i="3"/>
  <c r="AE80" i="3"/>
  <c r="AE32" i="3"/>
  <c r="AE82" i="3"/>
  <c r="H402" i="2"/>
  <c r="H246" i="2"/>
  <c r="T246" i="2" s="1"/>
  <c r="L240" i="2"/>
  <c r="W240" i="2" s="1"/>
  <c r="K240" i="2"/>
  <c r="L396" i="2"/>
  <c r="G86" i="2"/>
  <c r="G246" i="2"/>
  <c r="S246" i="2" s="1"/>
  <c r="G402" i="2"/>
  <c r="I87" i="2"/>
  <c r="I82" i="2"/>
  <c r="AF82" i="2"/>
  <c r="U82" i="2"/>
  <c r="J83" i="2"/>
  <c r="D249" i="2"/>
  <c r="P249" i="2" s="1"/>
  <c r="D405" i="2"/>
  <c r="L87" i="2"/>
  <c r="H86" i="2"/>
  <c r="C405" i="2"/>
  <c r="C249" i="2"/>
  <c r="O249" i="2" s="1"/>
  <c r="AC211" i="3"/>
  <c r="AC190" i="3"/>
  <c r="AH76" i="2"/>
  <c r="W76" i="2"/>
  <c r="L76" i="2"/>
  <c r="H405" i="2"/>
  <c r="H249" i="2"/>
  <c r="T249" i="2" s="1"/>
  <c r="H32" i="3"/>
  <c r="T88" i="2" l="1"/>
  <c r="H88" i="2"/>
  <c r="AE88" i="2"/>
  <c r="I89" i="2"/>
  <c r="D408" i="2"/>
  <c r="D252" i="2"/>
  <c r="P252" i="2" s="1"/>
  <c r="AE184" i="3"/>
  <c r="AE163" i="3"/>
  <c r="C408" i="2"/>
  <c r="C252" i="2"/>
  <c r="O252" i="2" s="1"/>
  <c r="V79" i="2"/>
  <c r="K81" i="2"/>
  <c r="X79" i="2" s="1"/>
  <c r="J79" i="2"/>
  <c r="M33" i="3" s="1"/>
  <c r="AG79" i="2"/>
  <c r="L80" i="2"/>
  <c r="I246" i="2"/>
  <c r="U246" i="2" s="1"/>
  <c r="I402" i="2"/>
  <c r="AF237" i="3"/>
  <c r="AG4" i="3"/>
  <c r="AF157" i="3"/>
  <c r="AF9" i="3"/>
  <c r="AF10" i="3"/>
  <c r="AF11" i="3"/>
  <c r="AF12" i="3"/>
  <c r="AF13" i="3"/>
  <c r="AF62" i="3"/>
  <c r="AF14" i="3"/>
  <c r="AF15" i="3"/>
  <c r="AF63" i="3"/>
  <c r="AF16" i="3"/>
  <c r="AF66" i="3"/>
  <c r="AF65" i="3"/>
  <c r="AF64" i="3"/>
  <c r="AF17" i="3"/>
  <c r="AF67" i="3"/>
  <c r="AF68" i="3"/>
  <c r="AF18" i="3"/>
  <c r="AF19" i="3"/>
  <c r="AF70" i="3"/>
  <c r="AF71" i="3"/>
  <c r="AF20" i="3"/>
  <c r="AF69" i="3"/>
  <c r="AF21" i="3"/>
  <c r="AF22" i="3"/>
  <c r="AF72" i="3"/>
  <c r="AF23" i="3"/>
  <c r="AF73" i="3"/>
  <c r="AF74" i="3"/>
  <c r="AF24" i="3"/>
  <c r="AF25" i="3"/>
  <c r="AF75" i="3"/>
  <c r="AF77" i="3"/>
  <c r="AF26" i="3"/>
  <c r="AF76" i="3"/>
  <c r="AF27" i="3"/>
  <c r="AF78" i="3"/>
  <c r="AF28" i="3"/>
  <c r="AF79" i="3"/>
  <c r="AF29" i="3"/>
  <c r="AF30" i="3"/>
  <c r="AF31" i="3"/>
  <c r="AF81" i="3"/>
  <c r="AF80" i="3"/>
  <c r="AF82" i="3"/>
  <c r="AF32" i="3"/>
  <c r="AF83" i="3"/>
  <c r="E408" i="2"/>
  <c r="E252" i="2"/>
  <c r="Q252" i="2" s="1"/>
  <c r="B90" i="3"/>
  <c r="B37" i="3"/>
  <c r="F92" i="2"/>
  <c r="H92" i="2" s="1"/>
  <c r="I92" i="2" s="1"/>
  <c r="C94" i="2"/>
  <c r="D91" i="2"/>
  <c r="F93" i="2"/>
  <c r="G93" i="2" s="1"/>
  <c r="S33" i="3"/>
  <c r="J33" i="3"/>
  <c r="X33" i="3"/>
  <c r="G33" i="3"/>
  <c r="AD211" i="3"/>
  <c r="AD190" i="3"/>
  <c r="AD85" i="3"/>
  <c r="V85" i="3"/>
  <c r="N85" i="3"/>
  <c r="F85" i="3"/>
  <c r="AC85" i="3"/>
  <c r="U85" i="3"/>
  <c r="M85" i="3"/>
  <c r="E85" i="3"/>
  <c r="AB85" i="3"/>
  <c r="R85" i="3"/>
  <c r="H85" i="3"/>
  <c r="AA85" i="3"/>
  <c r="Q85" i="3"/>
  <c r="G85" i="3"/>
  <c r="Z85" i="3"/>
  <c r="P85" i="3"/>
  <c r="D85" i="3"/>
  <c r="Y85" i="3"/>
  <c r="O85" i="3"/>
  <c r="X85" i="3"/>
  <c r="L85" i="3"/>
  <c r="AG85" i="3"/>
  <c r="W85" i="3"/>
  <c r="K85" i="3"/>
  <c r="AF85" i="3"/>
  <c r="T85" i="3"/>
  <c r="J85" i="3"/>
  <c r="AE85" i="3"/>
  <c r="S85" i="3"/>
  <c r="I85" i="3"/>
  <c r="F408" i="2"/>
  <c r="F252" i="2"/>
  <c r="R252" i="2" s="1"/>
  <c r="C89" i="3"/>
  <c r="C36" i="3"/>
  <c r="AC88" i="2"/>
  <c r="AB88" i="2"/>
  <c r="AA88" i="2"/>
  <c r="R88" i="2"/>
  <c r="Z88" i="2"/>
  <c r="Q88" i="2"/>
  <c r="F88" i="2"/>
  <c r="O88" i="2"/>
  <c r="P88" i="2"/>
  <c r="AC217" i="3"/>
  <c r="AC238" i="3"/>
  <c r="L399" i="2"/>
  <c r="L243" i="2"/>
  <c r="W243" i="2" s="1"/>
  <c r="K243" i="2"/>
  <c r="V82" i="2"/>
  <c r="K84" i="2"/>
  <c r="X82" i="2" s="1"/>
  <c r="J82" i="2"/>
  <c r="AF34" i="3" s="1"/>
  <c r="AG82" i="2"/>
  <c r="L83" i="2"/>
  <c r="S85" i="2"/>
  <c r="G85" i="2"/>
  <c r="AD85" i="2"/>
  <c r="T85" i="2"/>
  <c r="H85" i="2"/>
  <c r="AE85" i="2"/>
  <c r="I86" i="2"/>
  <c r="I249" i="2"/>
  <c r="U249" i="2" s="1"/>
  <c r="I405" i="2"/>
  <c r="G89" i="2"/>
  <c r="Z33" i="3" l="1"/>
  <c r="W33" i="3"/>
  <c r="U33" i="3"/>
  <c r="K34" i="3"/>
  <c r="AB34" i="3"/>
  <c r="AA33" i="3"/>
  <c r="U34" i="3"/>
  <c r="T33" i="3"/>
  <c r="M34" i="3"/>
  <c r="H33" i="3"/>
  <c r="K33" i="3"/>
  <c r="F33" i="3"/>
  <c r="L33" i="3"/>
  <c r="O33" i="3"/>
  <c r="AF33" i="3"/>
  <c r="Q33" i="3"/>
  <c r="D33" i="3"/>
  <c r="AB33" i="3"/>
  <c r="Y34" i="3"/>
  <c r="AC33" i="3"/>
  <c r="R33" i="3"/>
  <c r="AD34" i="3"/>
  <c r="V34" i="3"/>
  <c r="G92" i="2"/>
  <c r="S91" i="2" s="1"/>
  <c r="AD33" i="3"/>
  <c r="H34" i="3"/>
  <c r="I91" i="2"/>
  <c r="U91" i="2"/>
  <c r="J92" i="2"/>
  <c r="S88" i="2"/>
  <c r="G88" i="2"/>
  <c r="AD88" i="2"/>
  <c r="N34" i="3"/>
  <c r="AC91" i="2"/>
  <c r="AB91" i="2"/>
  <c r="AA91" i="2"/>
  <c r="R91" i="2"/>
  <c r="Z91" i="2"/>
  <c r="Q91" i="2"/>
  <c r="F91" i="2"/>
  <c r="O91" i="2"/>
  <c r="P91" i="2"/>
  <c r="G34" i="3"/>
  <c r="G408" i="2"/>
  <c r="G252" i="2"/>
  <c r="S252" i="2" s="1"/>
  <c r="H408" i="2"/>
  <c r="H252" i="2"/>
  <c r="T252" i="2" s="1"/>
  <c r="E34" i="3"/>
  <c r="C90" i="3"/>
  <c r="C37" i="3"/>
  <c r="H93" i="2"/>
  <c r="L93" i="2" s="1"/>
  <c r="AF184" i="3"/>
  <c r="AF163" i="3"/>
  <c r="AH79" i="2"/>
  <c r="W79" i="2"/>
  <c r="L79" i="2"/>
  <c r="AE211" i="3"/>
  <c r="AE190" i="3"/>
  <c r="I88" i="2"/>
  <c r="AF88" i="2"/>
  <c r="U88" i="2"/>
  <c r="J89" i="2"/>
  <c r="G91" i="2"/>
  <c r="AD91" i="2"/>
  <c r="AG237" i="3"/>
  <c r="AH4" i="3"/>
  <c r="AG157" i="3"/>
  <c r="AG9" i="3"/>
  <c r="AG10" i="3"/>
  <c r="AG11" i="3"/>
  <c r="AG12" i="3"/>
  <c r="AG13" i="3"/>
  <c r="AG62" i="3"/>
  <c r="AG14" i="3"/>
  <c r="AG15" i="3"/>
  <c r="AG63" i="3"/>
  <c r="AG16" i="3"/>
  <c r="AG66" i="3"/>
  <c r="AG65" i="3"/>
  <c r="AG64" i="3"/>
  <c r="AG68" i="3"/>
  <c r="AG67" i="3"/>
  <c r="AG17" i="3"/>
  <c r="AG18" i="3"/>
  <c r="AG19" i="3"/>
  <c r="AG69" i="3"/>
  <c r="AG20" i="3"/>
  <c r="AG70" i="3"/>
  <c r="AG71" i="3"/>
  <c r="AG21" i="3"/>
  <c r="AG22" i="3"/>
  <c r="AG23" i="3"/>
  <c r="AG72" i="3"/>
  <c r="AG74" i="3"/>
  <c r="AG73" i="3"/>
  <c r="AG24" i="3"/>
  <c r="AG25" i="3"/>
  <c r="AG75" i="3"/>
  <c r="AG77" i="3"/>
  <c r="AG26" i="3"/>
  <c r="AG27" i="3"/>
  <c r="AG76" i="3"/>
  <c r="AG78" i="3"/>
  <c r="AG28" i="3"/>
  <c r="AG29" i="3"/>
  <c r="AG79" i="3"/>
  <c r="AG30" i="3"/>
  <c r="AG31" i="3"/>
  <c r="AG81" i="3"/>
  <c r="AG80" i="3"/>
  <c r="AG82" i="3"/>
  <c r="AG32" i="3"/>
  <c r="AG83" i="3"/>
  <c r="AG33" i="3"/>
  <c r="AG34" i="3"/>
  <c r="AG84" i="3"/>
  <c r="AA34" i="3"/>
  <c r="AH82" i="2"/>
  <c r="W82" i="2"/>
  <c r="L82" i="2"/>
  <c r="C255" i="2"/>
  <c r="O255" i="2" s="1"/>
  <c r="C411" i="2"/>
  <c r="I93" i="2"/>
  <c r="AF91" i="2" s="1"/>
  <c r="N33" i="3"/>
  <c r="E33" i="3"/>
  <c r="P33" i="3"/>
  <c r="AE33" i="3"/>
  <c r="V33" i="3"/>
  <c r="I33" i="3"/>
  <c r="P34" i="3"/>
  <c r="D34" i="3"/>
  <c r="T91" i="2"/>
  <c r="H91" i="2"/>
  <c r="AE91" i="2"/>
  <c r="AC34" i="3"/>
  <c r="H411" i="2"/>
  <c r="H255" i="2"/>
  <c r="T255" i="2" s="1"/>
  <c r="AD238" i="3"/>
  <c r="AD217" i="3"/>
  <c r="E255" i="2"/>
  <c r="Q255" i="2" s="1"/>
  <c r="E411" i="2"/>
  <c r="L34" i="3"/>
  <c r="Z34" i="3"/>
  <c r="J93" i="2"/>
  <c r="R34" i="3"/>
  <c r="Y33" i="3"/>
  <c r="J246" i="2"/>
  <c r="V246" i="2" s="1"/>
  <c r="J402" i="2"/>
  <c r="D255" i="2"/>
  <c r="P255" i="2" s="1"/>
  <c r="D411" i="2"/>
  <c r="I85" i="2"/>
  <c r="AF85" i="2"/>
  <c r="U85" i="2"/>
  <c r="J86" i="2"/>
  <c r="T34" i="3"/>
  <c r="I34" i="3"/>
  <c r="W34" i="3"/>
  <c r="B91" i="3"/>
  <c r="B38" i="3"/>
  <c r="J96" i="2"/>
  <c r="I96" i="2"/>
  <c r="H96" i="2"/>
  <c r="F95" i="2"/>
  <c r="G95" i="2" s="1"/>
  <c r="G96" i="2"/>
  <c r="C97" i="2"/>
  <c r="D94" i="2"/>
  <c r="F96" i="2"/>
  <c r="L96" i="2" s="1"/>
  <c r="O34" i="3"/>
  <c r="J34" i="3"/>
  <c r="S34" i="3"/>
  <c r="J249" i="2"/>
  <c r="V249" i="2" s="1"/>
  <c r="J405" i="2"/>
  <c r="Q34" i="3"/>
  <c r="F255" i="2"/>
  <c r="R255" i="2" s="1"/>
  <c r="F411" i="2"/>
  <c r="AE34" i="3"/>
  <c r="F34" i="3"/>
  <c r="X34" i="3"/>
  <c r="B92" i="3" l="1"/>
  <c r="B39" i="3"/>
  <c r="J99" i="2"/>
  <c r="I99" i="2"/>
  <c r="F98" i="2"/>
  <c r="H98" i="2" s="1"/>
  <c r="I98" i="2" s="1"/>
  <c r="G99" i="2"/>
  <c r="C100" i="2"/>
  <c r="F99" i="2"/>
  <c r="H99" i="2" s="1"/>
  <c r="L99" i="2" s="1"/>
  <c r="D97" i="2"/>
  <c r="AH237" i="3"/>
  <c r="AI4" i="3"/>
  <c r="AH157" i="3"/>
  <c r="AH9" i="3"/>
  <c r="AH10" i="3"/>
  <c r="AH12" i="3"/>
  <c r="AH11" i="3"/>
  <c r="AH13" i="3"/>
  <c r="AH62" i="3"/>
  <c r="AH14" i="3"/>
  <c r="AH63" i="3"/>
  <c r="AH15" i="3"/>
  <c r="AH65" i="3"/>
  <c r="AH64" i="3"/>
  <c r="AH66" i="3"/>
  <c r="AH16" i="3"/>
  <c r="AH17" i="3"/>
  <c r="AH67" i="3"/>
  <c r="AH68" i="3"/>
  <c r="AH18" i="3"/>
  <c r="AH19" i="3"/>
  <c r="AH70" i="3"/>
  <c r="AH69" i="3"/>
  <c r="AH71" i="3"/>
  <c r="AH20" i="3"/>
  <c r="AH21" i="3"/>
  <c r="AH22" i="3"/>
  <c r="AH23" i="3"/>
  <c r="AH72" i="3"/>
  <c r="AH73" i="3"/>
  <c r="AH24" i="3"/>
  <c r="AH74" i="3"/>
  <c r="AH25" i="3"/>
  <c r="AH75" i="3"/>
  <c r="AH26" i="3"/>
  <c r="AH77" i="3"/>
  <c r="AH76" i="3"/>
  <c r="AH27" i="3"/>
  <c r="AH78" i="3"/>
  <c r="AH28" i="3"/>
  <c r="AH79" i="3"/>
  <c r="AH29" i="3"/>
  <c r="AH30" i="3"/>
  <c r="AH81" i="3"/>
  <c r="AH80" i="3"/>
  <c r="AH31" i="3"/>
  <c r="AH32" i="3"/>
  <c r="AH82" i="3"/>
  <c r="AH33" i="3"/>
  <c r="AH83" i="3"/>
  <c r="AH34" i="3"/>
  <c r="AH84" i="3"/>
  <c r="AH85" i="3"/>
  <c r="AC94" i="2"/>
  <c r="AB94" i="2"/>
  <c r="AA94" i="2"/>
  <c r="R94" i="2"/>
  <c r="Z94" i="2"/>
  <c r="Q94" i="2"/>
  <c r="F94" i="2"/>
  <c r="O94" i="2"/>
  <c r="P94" i="2"/>
  <c r="AE238" i="3"/>
  <c r="AE217" i="3"/>
  <c r="D414" i="2"/>
  <c r="D258" i="2"/>
  <c r="P258" i="2" s="1"/>
  <c r="AF86" i="3"/>
  <c r="X86" i="3"/>
  <c r="P86" i="3"/>
  <c r="H86" i="3"/>
  <c r="AE86" i="3"/>
  <c r="W86" i="3"/>
  <c r="O86" i="3"/>
  <c r="G86" i="3"/>
  <c r="Z86" i="3"/>
  <c r="N86" i="3"/>
  <c r="D86" i="3"/>
  <c r="AI86" i="3"/>
  <c r="Y86" i="3"/>
  <c r="M86" i="3"/>
  <c r="AH86" i="3"/>
  <c r="V86" i="3"/>
  <c r="L86" i="3"/>
  <c r="AG86" i="3"/>
  <c r="U86" i="3"/>
  <c r="K86" i="3"/>
  <c r="AD86" i="3"/>
  <c r="T86" i="3"/>
  <c r="J86" i="3"/>
  <c r="AC86" i="3"/>
  <c r="S86" i="3"/>
  <c r="I86" i="3"/>
  <c r="AB86" i="3"/>
  <c r="R86" i="3"/>
  <c r="F86" i="3"/>
  <c r="AA86" i="3"/>
  <c r="Q86" i="3"/>
  <c r="E86" i="3"/>
  <c r="C258" i="2"/>
  <c r="O258" i="2" s="1"/>
  <c r="C414" i="2"/>
  <c r="G414" i="2"/>
  <c r="G258" i="2"/>
  <c r="S258" i="2" s="1"/>
  <c r="L246" i="2"/>
  <c r="W246" i="2" s="1"/>
  <c r="K246" i="2"/>
  <c r="L402" i="2"/>
  <c r="AF211" i="3"/>
  <c r="AF190" i="3"/>
  <c r="S94" i="2"/>
  <c r="G94" i="2"/>
  <c r="AD94" i="2"/>
  <c r="V88" i="2"/>
  <c r="K90" i="2"/>
  <c r="X88" i="2" s="1"/>
  <c r="J88" i="2"/>
  <c r="J36" i="3" s="1"/>
  <c r="AG88" i="2"/>
  <c r="L89" i="2"/>
  <c r="E414" i="2"/>
  <c r="E258" i="2"/>
  <c r="Q258" i="2" s="1"/>
  <c r="C91" i="3"/>
  <c r="C38" i="3"/>
  <c r="V85" i="2"/>
  <c r="K87" i="2"/>
  <c r="X85" i="2" s="1"/>
  <c r="J85" i="2"/>
  <c r="P35" i="3" s="1"/>
  <c r="AG85" i="2"/>
  <c r="L86" i="2"/>
  <c r="H95" i="2"/>
  <c r="I252" i="2"/>
  <c r="U252" i="2" s="1"/>
  <c r="I408" i="2"/>
  <c r="H414" i="2"/>
  <c r="H258" i="2"/>
  <c r="T258" i="2" s="1"/>
  <c r="AH87" i="3"/>
  <c r="Z87" i="3"/>
  <c r="R87" i="3"/>
  <c r="J87" i="3"/>
  <c r="AG87" i="3"/>
  <c r="Y87" i="3"/>
  <c r="Q87" i="3"/>
  <c r="I87" i="3"/>
  <c r="AF87" i="3"/>
  <c r="V87" i="3"/>
  <c r="L87" i="3"/>
  <c r="AE87" i="3"/>
  <c r="U87" i="3"/>
  <c r="K87" i="3"/>
  <c r="AD87" i="3"/>
  <c r="T87" i="3"/>
  <c r="H87" i="3"/>
  <c r="AC87" i="3"/>
  <c r="S87" i="3"/>
  <c r="G87" i="3"/>
  <c r="AB87" i="3"/>
  <c r="P87" i="3"/>
  <c r="F87" i="3"/>
  <c r="AA87" i="3"/>
  <c r="O87" i="3"/>
  <c r="E87" i="3"/>
  <c r="X87" i="3"/>
  <c r="N87" i="3"/>
  <c r="D87" i="3"/>
  <c r="AI87" i="3"/>
  <c r="W87" i="3"/>
  <c r="M87" i="3"/>
  <c r="I411" i="2"/>
  <c r="I255" i="2"/>
  <c r="U255" i="2" s="1"/>
  <c r="G411" i="2"/>
  <c r="G255" i="2"/>
  <c r="S255" i="2" s="1"/>
  <c r="L405" i="2"/>
  <c r="L249" i="2"/>
  <c r="W249" i="2" s="1"/>
  <c r="K249" i="2"/>
  <c r="F414" i="2"/>
  <c r="F258" i="2"/>
  <c r="R258" i="2" s="1"/>
  <c r="V91" i="2"/>
  <c r="K93" i="2"/>
  <c r="X91" i="2" s="1"/>
  <c r="J91" i="2"/>
  <c r="P37" i="3" s="1"/>
  <c r="AG91" i="2"/>
  <c r="L92" i="2"/>
  <c r="AG184" i="3"/>
  <c r="AG163" i="3"/>
  <c r="I414" i="2"/>
  <c r="I258" i="2"/>
  <c r="U258" i="2" s="1"/>
  <c r="J35" i="3" l="1"/>
  <c r="D35" i="3"/>
  <c r="N35" i="3"/>
  <c r="AC35" i="3"/>
  <c r="AA35" i="3"/>
  <c r="V35" i="3"/>
  <c r="E35" i="3"/>
  <c r="U35" i="3"/>
  <c r="Y35" i="3"/>
  <c r="AE35" i="3"/>
  <c r="K35" i="3"/>
  <c r="F35" i="3"/>
  <c r="AB35" i="3"/>
  <c r="G98" i="2"/>
  <c r="AD97" i="2" s="1"/>
  <c r="AF35" i="3"/>
  <c r="R35" i="3"/>
  <c r="G417" i="2"/>
  <c r="G261" i="2"/>
  <c r="S261" i="2" s="1"/>
  <c r="T37" i="3"/>
  <c r="G37" i="3"/>
  <c r="X37" i="3"/>
  <c r="J37" i="3"/>
  <c r="Q35" i="3"/>
  <c r="I35" i="3"/>
  <c r="F417" i="2"/>
  <c r="F261" i="2"/>
  <c r="R261" i="2" s="1"/>
  <c r="I97" i="2"/>
  <c r="AF97" i="2"/>
  <c r="U97" i="2"/>
  <c r="S97" i="2"/>
  <c r="J408" i="2"/>
  <c r="J252" i="2"/>
  <c r="V252" i="2" s="1"/>
  <c r="H36" i="3"/>
  <c r="AD36" i="3"/>
  <c r="M36" i="3"/>
  <c r="R36" i="3"/>
  <c r="U36" i="3"/>
  <c r="AE36" i="3"/>
  <c r="AA36" i="3"/>
  <c r="W36" i="3"/>
  <c r="Y36" i="3"/>
  <c r="AB36" i="3"/>
  <c r="N36" i="3"/>
  <c r="AG36" i="3"/>
  <c r="S36" i="3"/>
  <c r="K36" i="3"/>
  <c r="F36" i="3"/>
  <c r="Q36" i="3"/>
  <c r="AF36" i="3"/>
  <c r="O36" i="3"/>
  <c r="Z36" i="3"/>
  <c r="G36" i="3"/>
  <c r="T36" i="3"/>
  <c r="I36" i="3"/>
  <c r="P36" i="3"/>
  <c r="L36" i="3"/>
  <c r="D36" i="3"/>
  <c r="AC36" i="3"/>
  <c r="AH36" i="3"/>
  <c r="K37" i="3"/>
  <c r="AB37" i="3"/>
  <c r="O37" i="3"/>
  <c r="AF37" i="3"/>
  <c r="R37" i="3"/>
  <c r="T35" i="3"/>
  <c r="J98" i="2"/>
  <c r="S37" i="3"/>
  <c r="F37" i="3"/>
  <c r="W37" i="3"/>
  <c r="Z37" i="3"/>
  <c r="X36" i="3"/>
  <c r="AH184" i="3"/>
  <c r="AH163" i="3"/>
  <c r="T97" i="2"/>
  <c r="H97" i="2"/>
  <c r="AE97" i="2"/>
  <c r="AH91" i="2"/>
  <c r="W91" i="2"/>
  <c r="L91" i="2"/>
  <c r="T94" i="2"/>
  <c r="H94" i="2"/>
  <c r="AE94" i="2"/>
  <c r="I95" i="2"/>
  <c r="J255" i="2"/>
  <c r="V255" i="2" s="1"/>
  <c r="J411" i="2"/>
  <c r="AA37" i="3"/>
  <c r="N37" i="3"/>
  <c r="AE37" i="3"/>
  <c r="I37" i="3"/>
  <c r="AH37" i="3"/>
  <c r="W35" i="3"/>
  <c r="D417" i="2"/>
  <c r="D261" i="2"/>
  <c r="P261" i="2" s="1"/>
  <c r="AI237" i="3"/>
  <c r="AI3" i="3"/>
  <c r="AJ4" i="3"/>
  <c r="AI157" i="3"/>
  <c r="AI9" i="3"/>
  <c r="AI10" i="3"/>
  <c r="AI11" i="3"/>
  <c r="AI12" i="3"/>
  <c r="AI13" i="3"/>
  <c r="AI14" i="3"/>
  <c r="AI62" i="3"/>
  <c r="AI15" i="3"/>
  <c r="AI63" i="3"/>
  <c r="AI65" i="3"/>
  <c r="AI64" i="3"/>
  <c r="AI66" i="3"/>
  <c r="AI16" i="3"/>
  <c r="AI68" i="3"/>
  <c r="AI17" i="3"/>
  <c r="AI67" i="3"/>
  <c r="AI18" i="3"/>
  <c r="AI19" i="3"/>
  <c r="AI20" i="3"/>
  <c r="AI70" i="3"/>
  <c r="AI69" i="3"/>
  <c r="AI71" i="3"/>
  <c r="AI21" i="3"/>
  <c r="AI22" i="3"/>
  <c r="AI72" i="3"/>
  <c r="AI23" i="3"/>
  <c r="AI24" i="3"/>
  <c r="AI73" i="3"/>
  <c r="AI74" i="3"/>
  <c r="AI25" i="3"/>
  <c r="AI75" i="3"/>
  <c r="AI77" i="3"/>
  <c r="AI26" i="3"/>
  <c r="AI76" i="3"/>
  <c r="AI27" i="3"/>
  <c r="AI28" i="3"/>
  <c r="AI78" i="3"/>
  <c r="AI79" i="3"/>
  <c r="AI29" i="3"/>
  <c r="AI30" i="3"/>
  <c r="AI80" i="3"/>
  <c r="AI31" i="3"/>
  <c r="AI81" i="3"/>
  <c r="AI32" i="3"/>
  <c r="AI82" i="3"/>
  <c r="AI33" i="3"/>
  <c r="AI83" i="3"/>
  <c r="AI34" i="3"/>
  <c r="AI84" i="3"/>
  <c r="AI35" i="3"/>
  <c r="AI85" i="3"/>
  <c r="AI36" i="3"/>
  <c r="AG211" i="3"/>
  <c r="AG190" i="3"/>
  <c r="AI37" i="3"/>
  <c r="E37" i="3"/>
  <c r="V37" i="3"/>
  <c r="Q37" i="3"/>
  <c r="C417" i="2"/>
  <c r="C261" i="2"/>
  <c r="O261" i="2" s="1"/>
  <c r="AG35" i="3"/>
  <c r="Z35" i="3"/>
  <c r="B93" i="3"/>
  <c r="B40" i="3"/>
  <c r="F101" i="2"/>
  <c r="H101" i="2" s="1"/>
  <c r="C103" i="2"/>
  <c r="D100" i="2"/>
  <c r="F102" i="2"/>
  <c r="J102" i="2" s="1"/>
  <c r="AH85" i="2"/>
  <c r="W85" i="2"/>
  <c r="L85" i="2"/>
  <c r="M37" i="3"/>
  <c r="AD37" i="3"/>
  <c r="Y37" i="3"/>
  <c r="G35" i="3"/>
  <c r="L35" i="3"/>
  <c r="S35" i="3"/>
  <c r="D37" i="3"/>
  <c r="U37" i="3"/>
  <c r="H37" i="3"/>
  <c r="AG37" i="3"/>
  <c r="AF238" i="3"/>
  <c r="AF217" i="3"/>
  <c r="H35" i="3"/>
  <c r="M35" i="3"/>
  <c r="E417" i="2"/>
  <c r="E261" i="2"/>
  <c r="Q261" i="2" s="1"/>
  <c r="X35" i="3"/>
  <c r="C92" i="3"/>
  <c r="C39" i="3"/>
  <c r="AC97" i="2"/>
  <c r="AB97" i="2"/>
  <c r="AA97" i="2"/>
  <c r="R97" i="2"/>
  <c r="Z97" i="2"/>
  <c r="Q97" i="2"/>
  <c r="F97" i="2"/>
  <c r="O97" i="2"/>
  <c r="P97" i="2"/>
  <c r="V36" i="3"/>
  <c r="J258" i="2"/>
  <c r="V258" i="2" s="1"/>
  <c r="J414" i="2"/>
  <c r="E36" i="3"/>
  <c r="AH88" i="2"/>
  <c r="W88" i="2"/>
  <c r="L88" i="2"/>
  <c r="L37" i="3"/>
  <c r="AC37" i="3"/>
  <c r="O35" i="3"/>
  <c r="AD35" i="3"/>
  <c r="AH35" i="3"/>
  <c r="G97" i="2" l="1"/>
  <c r="T100" i="2"/>
  <c r="H100" i="2"/>
  <c r="I101" i="2"/>
  <c r="G102" i="2"/>
  <c r="I94" i="2"/>
  <c r="AF94" i="2"/>
  <c r="U94" i="2"/>
  <c r="J95" i="2"/>
  <c r="G420" i="2"/>
  <c r="G264" i="2"/>
  <c r="S264" i="2" s="1"/>
  <c r="E264" i="2"/>
  <c r="Q264" i="2" s="1"/>
  <c r="E420" i="2"/>
  <c r="H420" i="2"/>
  <c r="H264" i="2"/>
  <c r="T264" i="2" s="1"/>
  <c r="V97" i="2"/>
  <c r="K99" i="2"/>
  <c r="X97" i="2" s="1"/>
  <c r="J97" i="2"/>
  <c r="M39" i="3" s="1"/>
  <c r="AG97" i="2"/>
  <c r="L98" i="2"/>
  <c r="I420" i="2"/>
  <c r="I264" i="2"/>
  <c r="U264" i="2" s="1"/>
  <c r="F420" i="2"/>
  <c r="F264" i="2"/>
  <c r="R264" i="2" s="1"/>
  <c r="C93" i="3"/>
  <c r="C40" i="3"/>
  <c r="H102" i="2"/>
  <c r="AE100" i="2" s="1"/>
  <c r="G101" i="2"/>
  <c r="AI163" i="3"/>
  <c r="AI184" i="3"/>
  <c r="H261" i="2"/>
  <c r="T261" i="2" s="1"/>
  <c r="H417" i="2"/>
  <c r="AH211" i="3"/>
  <c r="AH190" i="3"/>
  <c r="I102" i="2"/>
  <c r="AJ237" i="3"/>
  <c r="AK4" i="3"/>
  <c r="AJ157" i="3"/>
  <c r="AJ9" i="3"/>
  <c r="AJ10" i="3"/>
  <c r="AJ11" i="3"/>
  <c r="AJ12" i="3"/>
  <c r="AJ13" i="3"/>
  <c r="AJ62" i="3"/>
  <c r="AJ14" i="3"/>
  <c r="AJ15" i="3"/>
  <c r="AJ63" i="3"/>
  <c r="AJ66" i="3"/>
  <c r="AJ65" i="3"/>
  <c r="AJ16" i="3"/>
  <c r="AJ64" i="3"/>
  <c r="AJ17" i="3"/>
  <c r="AJ68" i="3"/>
  <c r="AJ67" i="3"/>
  <c r="AJ18" i="3"/>
  <c r="AJ19" i="3"/>
  <c r="AJ70" i="3"/>
  <c r="AJ20" i="3"/>
  <c r="AJ69" i="3"/>
  <c r="AJ71" i="3"/>
  <c r="AJ21" i="3"/>
  <c r="AJ22" i="3"/>
  <c r="AJ23" i="3"/>
  <c r="AJ72" i="3"/>
  <c r="AJ74" i="3"/>
  <c r="AJ73" i="3"/>
  <c r="AJ24" i="3"/>
  <c r="AJ75" i="3"/>
  <c r="AJ25" i="3"/>
  <c r="AJ77" i="3"/>
  <c r="AJ26" i="3"/>
  <c r="AJ27" i="3"/>
  <c r="AJ76" i="3"/>
  <c r="AJ78" i="3"/>
  <c r="AJ28" i="3"/>
  <c r="AJ79" i="3"/>
  <c r="AJ29" i="3"/>
  <c r="AJ30" i="3"/>
  <c r="AJ80" i="3"/>
  <c r="AJ31" i="3"/>
  <c r="AJ81" i="3"/>
  <c r="AJ82" i="3"/>
  <c r="AJ32" i="3"/>
  <c r="AJ83" i="3"/>
  <c r="AJ33" i="3"/>
  <c r="AJ34" i="3"/>
  <c r="AJ84" i="3"/>
  <c r="AJ35" i="3"/>
  <c r="AJ85" i="3"/>
  <c r="AJ36" i="3"/>
  <c r="AJ87" i="3"/>
  <c r="AJ37" i="3"/>
  <c r="AJ86" i="3"/>
  <c r="AF90" i="3"/>
  <c r="X90" i="3"/>
  <c r="P90" i="3"/>
  <c r="H90" i="3"/>
  <c r="AE90" i="3"/>
  <c r="W90" i="3"/>
  <c r="O90" i="3"/>
  <c r="G90" i="3"/>
  <c r="AH90" i="3"/>
  <c r="V90" i="3"/>
  <c r="L90" i="3"/>
  <c r="AG90" i="3"/>
  <c r="U90" i="3"/>
  <c r="K90" i="3"/>
  <c r="AD90" i="3"/>
  <c r="T90" i="3"/>
  <c r="J90" i="3"/>
  <c r="AC90" i="3"/>
  <c r="S90" i="3"/>
  <c r="I90" i="3"/>
  <c r="AB90" i="3"/>
  <c r="R90" i="3"/>
  <c r="F90" i="3"/>
  <c r="AK90" i="3"/>
  <c r="AA90" i="3"/>
  <c r="Q90" i="3"/>
  <c r="E90" i="3"/>
  <c r="AJ90" i="3"/>
  <c r="Z90" i="3"/>
  <c r="N90" i="3"/>
  <c r="D90" i="3"/>
  <c r="AI90" i="3"/>
  <c r="Y90" i="3"/>
  <c r="M90" i="3"/>
  <c r="D264" i="2"/>
  <c r="P264" i="2" s="1"/>
  <c r="D420" i="2"/>
  <c r="L102" i="2"/>
  <c r="K258" i="2"/>
  <c r="L414" i="2"/>
  <c r="L258" i="2"/>
  <c r="W258" i="2" s="1"/>
  <c r="AD89" i="3"/>
  <c r="V89" i="3"/>
  <c r="N89" i="3"/>
  <c r="F89" i="3"/>
  <c r="AK89" i="3"/>
  <c r="AC89" i="3"/>
  <c r="U89" i="3"/>
  <c r="M89" i="3"/>
  <c r="E89" i="3"/>
  <c r="AJ89" i="3"/>
  <c r="Z89" i="3"/>
  <c r="P89" i="3"/>
  <c r="D89" i="3"/>
  <c r="AI89" i="3"/>
  <c r="Y89" i="3"/>
  <c r="O89" i="3"/>
  <c r="AH89" i="3"/>
  <c r="X89" i="3"/>
  <c r="L89" i="3"/>
  <c r="AG89" i="3"/>
  <c r="W89" i="3"/>
  <c r="K89" i="3"/>
  <c r="AF89" i="3"/>
  <c r="T89" i="3"/>
  <c r="J89" i="3"/>
  <c r="AE89" i="3"/>
  <c r="S89" i="3"/>
  <c r="I89" i="3"/>
  <c r="AB89" i="3"/>
  <c r="R89" i="3"/>
  <c r="H89" i="3"/>
  <c r="AA89" i="3"/>
  <c r="Q89" i="3"/>
  <c r="G89" i="3"/>
  <c r="C264" i="2"/>
  <c r="O264" i="2" s="1"/>
  <c r="C420" i="2"/>
  <c r="AJ88" i="3"/>
  <c r="AB88" i="3"/>
  <c r="T88" i="3"/>
  <c r="L88" i="3"/>
  <c r="D88" i="3"/>
  <c r="AI88" i="3"/>
  <c r="AA88" i="3"/>
  <c r="S88" i="3"/>
  <c r="K88" i="3"/>
  <c r="AD88" i="3"/>
  <c r="R88" i="3"/>
  <c r="H88" i="3"/>
  <c r="AC88" i="3"/>
  <c r="Q88" i="3"/>
  <c r="G88" i="3"/>
  <c r="Z88" i="3"/>
  <c r="P88" i="3"/>
  <c r="F88" i="3"/>
  <c r="AK88" i="3"/>
  <c r="Y88" i="3"/>
  <c r="O88" i="3"/>
  <c r="E88" i="3"/>
  <c r="AH88" i="3"/>
  <c r="X88" i="3"/>
  <c r="N88" i="3"/>
  <c r="AG88" i="3"/>
  <c r="W88" i="3"/>
  <c r="M88" i="3"/>
  <c r="AF88" i="3"/>
  <c r="V88" i="3"/>
  <c r="J88" i="3"/>
  <c r="AE88" i="3"/>
  <c r="U88" i="3"/>
  <c r="I88" i="3"/>
  <c r="AG238" i="3"/>
  <c r="AG217" i="3"/>
  <c r="AC100" i="2"/>
  <c r="AB100" i="2"/>
  <c r="AA100" i="2"/>
  <c r="R100" i="2"/>
  <c r="Z100" i="2"/>
  <c r="Q100" i="2"/>
  <c r="F100" i="2"/>
  <c r="O100" i="2"/>
  <c r="P100" i="2"/>
  <c r="L255" i="2"/>
  <c r="W255" i="2" s="1"/>
  <c r="K255" i="2"/>
  <c r="L411" i="2"/>
  <c r="AD39" i="3"/>
  <c r="V39" i="3"/>
  <c r="F39" i="3"/>
  <c r="AK39" i="3"/>
  <c r="AC39" i="3"/>
  <c r="U39" i="3"/>
  <c r="E39" i="3"/>
  <c r="AJ39" i="3"/>
  <c r="T39" i="3"/>
  <c r="L39" i="3"/>
  <c r="D39" i="3"/>
  <c r="AI39" i="3"/>
  <c r="AA39" i="3"/>
  <c r="S39" i="3"/>
  <c r="K39" i="3"/>
  <c r="Z39" i="3"/>
  <c r="R39" i="3"/>
  <c r="J39" i="3"/>
  <c r="AG39" i="3"/>
  <c r="Y39" i="3"/>
  <c r="Q39" i="3"/>
  <c r="I39" i="3"/>
  <c r="AF39" i="3"/>
  <c r="X39" i="3"/>
  <c r="P39" i="3"/>
  <c r="H39" i="3"/>
  <c r="W39" i="3"/>
  <c r="O39" i="3"/>
  <c r="G39" i="3"/>
  <c r="AE39" i="3"/>
  <c r="L252" i="2"/>
  <c r="W252" i="2" s="1"/>
  <c r="L408" i="2"/>
  <c r="K252" i="2"/>
  <c r="B94" i="3"/>
  <c r="B41" i="3"/>
  <c r="F104" i="2"/>
  <c r="G104" i="2" s="1"/>
  <c r="C106" i="2"/>
  <c r="F105" i="2"/>
  <c r="G105" i="2" s="1"/>
  <c r="D103" i="2"/>
  <c r="AH39" i="3" l="1"/>
  <c r="AB39" i="3"/>
  <c r="N39" i="3"/>
  <c r="H104" i="2"/>
  <c r="I104" i="2" s="1"/>
  <c r="J104" i="2" s="1"/>
  <c r="L104" i="2" s="1"/>
  <c r="W103" i="2" s="1"/>
  <c r="S103" i="2"/>
  <c r="G103" i="2"/>
  <c r="AD103" i="2"/>
  <c r="D423" i="2"/>
  <c r="D267" i="2"/>
  <c r="P267" i="2" s="1"/>
  <c r="H105" i="2"/>
  <c r="C423" i="2"/>
  <c r="C267" i="2"/>
  <c r="O267" i="2" s="1"/>
  <c r="S100" i="2"/>
  <c r="G100" i="2"/>
  <c r="AD100" i="2"/>
  <c r="H103" i="2"/>
  <c r="J105" i="2"/>
  <c r="E423" i="2"/>
  <c r="E267" i="2"/>
  <c r="Q267" i="2" s="1"/>
  <c r="AH238" i="3"/>
  <c r="AH217" i="3"/>
  <c r="AH97" i="2"/>
  <c r="W97" i="2"/>
  <c r="L97" i="2"/>
  <c r="I105" i="2"/>
  <c r="AF103" i="2" s="1"/>
  <c r="I100" i="2"/>
  <c r="AF100" i="2"/>
  <c r="U100" i="2"/>
  <c r="J101" i="2"/>
  <c r="B95" i="3"/>
  <c r="B42" i="3"/>
  <c r="I108" i="2"/>
  <c r="F107" i="2"/>
  <c r="H107" i="2" s="1"/>
  <c r="I107" i="2" s="1"/>
  <c r="C109" i="2"/>
  <c r="F108" i="2"/>
  <c r="D106" i="2"/>
  <c r="F423" i="2"/>
  <c r="F267" i="2"/>
  <c r="R267" i="2" s="1"/>
  <c r="C94" i="3"/>
  <c r="C41" i="3"/>
  <c r="AC103" i="2"/>
  <c r="AB103" i="2"/>
  <c r="AA103" i="2"/>
  <c r="R103" i="2"/>
  <c r="Z103" i="2"/>
  <c r="Q103" i="2"/>
  <c r="F103" i="2"/>
  <c r="O103" i="2"/>
  <c r="P103" i="2"/>
  <c r="AJ163" i="3"/>
  <c r="AJ184" i="3"/>
  <c r="AI211" i="3"/>
  <c r="AI190" i="3"/>
  <c r="V94" i="2"/>
  <c r="K96" i="2"/>
  <c r="X94" i="2" s="1"/>
  <c r="J94" i="2"/>
  <c r="AD38" i="3" s="1"/>
  <c r="AG94" i="2"/>
  <c r="L95" i="2"/>
  <c r="AK237" i="3"/>
  <c r="AL4" i="3"/>
  <c r="AK157" i="3"/>
  <c r="AK9" i="3"/>
  <c r="AK10" i="3"/>
  <c r="AK12" i="3"/>
  <c r="AK11" i="3"/>
  <c r="AK13" i="3"/>
  <c r="AK14" i="3"/>
  <c r="AK62" i="3"/>
  <c r="AK15" i="3"/>
  <c r="AK63" i="3"/>
  <c r="AK64" i="3"/>
  <c r="AK65" i="3"/>
  <c r="AK66" i="3"/>
  <c r="AK16" i="3"/>
  <c r="AK67" i="3"/>
  <c r="AK17" i="3"/>
  <c r="AK68" i="3"/>
  <c r="AK18" i="3"/>
  <c r="AK19" i="3"/>
  <c r="AK69" i="3"/>
  <c r="AK70" i="3"/>
  <c r="AK71" i="3"/>
  <c r="AK20" i="3"/>
  <c r="AK21" i="3"/>
  <c r="AK22" i="3"/>
  <c r="AK23" i="3"/>
  <c r="AK72" i="3"/>
  <c r="AK24" i="3"/>
  <c r="AK73" i="3"/>
  <c r="AK74" i="3"/>
  <c r="AK75" i="3"/>
  <c r="AK25" i="3"/>
  <c r="AK77" i="3"/>
  <c r="AK26" i="3"/>
  <c r="AK27" i="3"/>
  <c r="AK76" i="3"/>
  <c r="AK28" i="3"/>
  <c r="AK78" i="3"/>
  <c r="AK29" i="3"/>
  <c r="AK79" i="3"/>
  <c r="AK30" i="3"/>
  <c r="AK81" i="3"/>
  <c r="AK80" i="3"/>
  <c r="AK31" i="3"/>
  <c r="AK82" i="3"/>
  <c r="AK32" i="3"/>
  <c r="AK33" i="3"/>
  <c r="AK83" i="3"/>
  <c r="AK84" i="3"/>
  <c r="AK34" i="3"/>
  <c r="AK35" i="3"/>
  <c r="AK85" i="3"/>
  <c r="AK36" i="3"/>
  <c r="AK86" i="3"/>
  <c r="AK87" i="3"/>
  <c r="AK37" i="3"/>
  <c r="J264" i="2"/>
  <c r="V264" i="2" s="1"/>
  <c r="J420" i="2"/>
  <c r="I417" i="2"/>
  <c r="I261" i="2"/>
  <c r="U261" i="2" s="1"/>
  <c r="H423" i="2"/>
  <c r="H267" i="2"/>
  <c r="T267" i="2" s="1"/>
  <c r="V103" i="2" l="1"/>
  <c r="AG103" i="2"/>
  <c r="AE103" i="2"/>
  <c r="T103" i="2"/>
  <c r="J103" i="2"/>
  <c r="U103" i="2"/>
  <c r="I270" i="2" s="1"/>
  <c r="U270" i="2" s="1"/>
  <c r="I103" i="2"/>
  <c r="L103" i="2"/>
  <c r="I106" i="2"/>
  <c r="AF106" i="2"/>
  <c r="U106" i="2"/>
  <c r="J107" i="2"/>
  <c r="AL237" i="3"/>
  <c r="AM4" i="3"/>
  <c r="AL157" i="3"/>
  <c r="AL9" i="3"/>
  <c r="AL10" i="3"/>
  <c r="AL11" i="3"/>
  <c r="AL12" i="3"/>
  <c r="AL13" i="3"/>
  <c r="AL62" i="3"/>
  <c r="AL14" i="3"/>
  <c r="AL15" i="3"/>
  <c r="AL63" i="3"/>
  <c r="AL64" i="3"/>
  <c r="AL66" i="3"/>
  <c r="AL65" i="3"/>
  <c r="AL16" i="3"/>
  <c r="AL17" i="3"/>
  <c r="AL68" i="3"/>
  <c r="AL67" i="3"/>
  <c r="AL18" i="3"/>
  <c r="AL19" i="3"/>
  <c r="AL69" i="3"/>
  <c r="AL70" i="3"/>
  <c r="AL71" i="3"/>
  <c r="AL20" i="3"/>
  <c r="AL21" i="3"/>
  <c r="AL22" i="3"/>
  <c r="AL23" i="3"/>
  <c r="AL72" i="3"/>
  <c r="AL73" i="3"/>
  <c r="AL24" i="3"/>
  <c r="AL74" i="3"/>
  <c r="AL75" i="3"/>
  <c r="AL25" i="3"/>
  <c r="AL77" i="3"/>
  <c r="AL26" i="3"/>
  <c r="AL76" i="3"/>
  <c r="AL27" i="3"/>
  <c r="AL28" i="3"/>
  <c r="AL78" i="3"/>
  <c r="AL29" i="3"/>
  <c r="AL79" i="3"/>
  <c r="AL30" i="3"/>
  <c r="AL31" i="3"/>
  <c r="AL80" i="3"/>
  <c r="AL81" i="3"/>
  <c r="AL32" i="3"/>
  <c r="AL82" i="3"/>
  <c r="AL83" i="3"/>
  <c r="AL33" i="3"/>
  <c r="AL34" i="3"/>
  <c r="AL84" i="3"/>
  <c r="AL35" i="3"/>
  <c r="AL85" i="3"/>
  <c r="AL36" i="3"/>
  <c r="AL37" i="3"/>
  <c r="AL87" i="3"/>
  <c r="AL86" i="3"/>
  <c r="AL38" i="3"/>
  <c r="AL90" i="3"/>
  <c r="AL89" i="3"/>
  <c r="AL88" i="3"/>
  <c r="AL39" i="3"/>
  <c r="AJ211" i="3"/>
  <c r="AJ190" i="3"/>
  <c r="G108" i="2"/>
  <c r="L108" i="2" s="1"/>
  <c r="K105" i="2"/>
  <c r="X103" i="2" s="1"/>
  <c r="AI38" i="3"/>
  <c r="Z38" i="3"/>
  <c r="M38" i="3"/>
  <c r="Y38" i="3"/>
  <c r="G270" i="2"/>
  <c r="S270" i="2" s="1"/>
  <c r="G426" i="2"/>
  <c r="AH94" i="2"/>
  <c r="W94" i="2"/>
  <c r="L94" i="2"/>
  <c r="C95" i="3"/>
  <c r="C42" i="3"/>
  <c r="AC106" i="2"/>
  <c r="AB106" i="2"/>
  <c r="AA106" i="2"/>
  <c r="R106" i="2"/>
  <c r="Z106" i="2"/>
  <c r="Q106" i="2"/>
  <c r="F106" i="2"/>
  <c r="O106" i="2"/>
  <c r="P106" i="2"/>
  <c r="V100" i="2"/>
  <c r="K102" i="2"/>
  <c r="X100" i="2" s="1"/>
  <c r="J100" i="2"/>
  <c r="AF40" i="3" s="1"/>
  <c r="AG100" i="2"/>
  <c r="L101" i="2"/>
  <c r="J270" i="2"/>
  <c r="V270" i="2" s="1"/>
  <c r="J426" i="2"/>
  <c r="L105" i="2"/>
  <c r="AH103" i="2" s="1"/>
  <c r="AA38" i="3"/>
  <c r="D38" i="3"/>
  <c r="V38" i="3"/>
  <c r="K38" i="3"/>
  <c r="I426" i="2"/>
  <c r="D426" i="2"/>
  <c r="D270" i="2"/>
  <c r="P270" i="2" s="1"/>
  <c r="H108" i="2"/>
  <c r="I423" i="2"/>
  <c r="I267" i="2"/>
  <c r="U267" i="2" s="1"/>
  <c r="AJ92" i="3"/>
  <c r="AB92" i="3"/>
  <c r="T92" i="3"/>
  <c r="L92" i="3"/>
  <c r="D92" i="3"/>
  <c r="AI92" i="3"/>
  <c r="AA92" i="3"/>
  <c r="S92" i="3"/>
  <c r="K92" i="3"/>
  <c r="AL92" i="3"/>
  <c r="Z92" i="3"/>
  <c r="P92" i="3"/>
  <c r="F92" i="3"/>
  <c r="AK92" i="3"/>
  <c r="Y92" i="3"/>
  <c r="O92" i="3"/>
  <c r="E92" i="3"/>
  <c r="AH92" i="3"/>
  <c r="X92" i="3"/>
  <c r="N92" i="3"/>
  <c r="AG92" i="3"/>
  <c r="W92" i="3"/>
  <c r="M92" i="3"/>
  <c r="AF92" i="3"/>
  <c r="V92" i="3"/>
  <c r="J92" i="3"/>
  <c r="AE92" i="3"/>
  <c r="U92" i="3"/>
  <c r="I92" i="3"/>
  <c r="AD92" i="3"/>
  <c r="R92" i="3"/>
  <c r="H92" i="3"/>
  <c r="AM92" i="3"/>
  <c r="AC92" i="3"/>
  <c r="Q92" i="3"/>
  <c r="G92" i="3"/>
  <c r="S38" i="3"/>
  <c r="O38" i="3"/>
  <c r="N38" i="3"/>
  <c r="Q38" i="3"/>
  <c r="AB38" i="3"/>
  <c r="C270" i="2"/>
  <c r="O270" i="2" s="1"/>
  <c r="C426" i="2"/>
  <c r="G107" i="2"/>
  <c r="L264" i="2"/>
  <c r="W264" i="2" s="1"/>
  <c r="K264" i="2"/>
  <c r="L420" i="2"/>
  <c r="AG38" i="3"/>
  <c r="AF38" i="3"/>
  <c r="AE38" i="3"/>
  <c r="T38" i="3"/>
  <c r="AH41" i="3"/>
  <c r="Z41" i="3"/>
  <c r="R41" i="3"/>
  <c r="J41" i="3"/>
  <c r="AG41" i="3"/>
  <c r="Y41" i="3"/>
  <c r="Q41" i="3"/>
  <c r="I41" i="3"/>
  <c r="AF41" i="3"/>
  <c r="X41" i="3"/>
  <c r="P41" i="3"/>
  <c r="H41" i="3"/>
  <c r="AM41" i="3"/>
  <c r="AE41" i="3"/>
  <c r="W41" i="3"/>
  <c r="O41" i="3"/>
  <c r="G41" i="3"/>
  <c r="AL41" i="3"/>
  <c r="AD41" i="3"/>
  <c r="V41" i="3"/>
  <c r="N41" i="3"/>
  <c r="F41" i="3"/>
  <c r="AK41" i="3"/>
  <c r="AC41" i="3"/>
  <c r="U41" i="3"/>
  <c r="M41" i="3"/>
  <c r="E41" i="3"/>
  <c r="AJ41" i="3"/>
  <c r="AB41" i="3"/>
  <c r="T41" i="3"/>
  <c r="L41" i="3"/>
  <c r="D41" i="3"/>
  <c r="AI41" i="3"/>
  <c r="AA41" i="3"/>
  <c r="S41" i="3"/>
  <c r="K41" i="3"/>
  <c r="H426" i="2"/>
  <c r="H270" i="2"/>
  <c r="T270" i="2" s="1"/>
  <c r="P38" i="3"/>
  <c r="R38" i="3"/>
  <c r="I38" i="3"/>
  <c r="AC38" i="3"/>
  <c r="AF94" i="3"/>
  <c r="X94" i="3"/>
  <c r="P94" i="3"/>
  <c r="H94" i="3"/>
  <c r="AE94" i="3"/>
  <c r="O94" i="3"/>
  <c r="S94" i="3"/>
  <c r="I94" i="3"/>
  <c r="AL94" i="3"/>
  <c r="AB94" i="3"/>
  <c r="AK94" i="3"/>
  <c r="Q94" i="3"/>
  <c r="AJ94" i="3"/>
  <c r="D94" i="3"/>
  <c r="AI94" i="3"/>
  <c r="Y94" i="3"/>
  <c r="M94" i="3"/>
  <c r="AH94" i="3"/>
  <c r="AG94" i="3"/>
  <c r="U94" i="3"/>
  <c r="K94" i="3"/>
  <c r="G38" i="3"/>
  <c r="E38" i="3"/>
  <c r="AH38" i="3"/>
  <c r="AJ38" i="3"/>
  <c r="G423" i="2"/>
  <c r="G267" i="2"/>
  <c r="S267" i="2" s="1"/>
  <c r="L270" i="2"/>
  <c r="W270" i="2" s="1"/>
  <c r="K270" i="2"/>
  <c r="L426" i="2"/>
  <c r="J261" i="2"/>
  <c r="V261" i="2" s="1"/>
  <c r="J417" i="2"/>
  <c r="T106" i="2"/>
  <c r="H106" i="2"/>
  <c r="AE106" i="2"/>
  <c r="J108" i="2"/>
  <c r="X38" i="3"/>
  <c r="F38" i="3"/>
  <c r="L38" i="3"/>
  <c r="U38" i="3"/>
  <c r="E270" i="2"/>
  <c r="Q270" i="2" s="1"/>
  <c r="E426" i="2"/>
  <c r="AK38" i="3"/>
  <c r="AK184" i="3"/>
  <c r="AK163" i="3"/>
  <c r="AI238" i="3"/>
  <c r="AI217" i="3"/>
  <c r="F270" i="2"/>
  <c r="R270" i="2" s="1"/>
  <c r="F426" i="2"/>
  <c r="B96" i="3"/>
  <c r="B43" i="3"/>
  <c r="I111" i="2"/>
  <c r="H111" i="2"/>
  <c r="F110" i="2"/>
  <c r="H110" i="2" s="1"/>
  <c r="G111" i="2"/>
  <c r="C112" i="2"/>
  <c r="D109" i="2"/>
  <c r="F111" i="2"/>
  <c r="J111" i="2" s="1"/>
  <c r="J38" i="3"/>
  <c r="W38" i="3"/>
  <c r="H38" i="3"/>
  <c r="Z94" i="3" l="1"/>
  <c r="AD94" i="3"/>
  <c r="L94" i="3"/>
  <c r="E94" i="3"/>
  <c r="G94" i="3"/>
  <c r="M40" i="3"/>
  <c r="AB40" i="3"/>
  <c r="AC40" i="3"/>
  <c r="H40" i="3"/>
  <c r="J40" i="3"/>
  <c r="K40" i="3"/>
  <c r="AH40" i="3"/>
  <c r="U40" i="3"/>
  <c r="O40" i="3"/>
  <c r="X40" i="3"/>
  <c r="Z40" i="3"/>
  <c r="Q40" i="3"/>
  <c r="P40" i="3"/>
  <c r="I40" i="3"/>
  <c r="AL40" i="3"/>
  <c r="Y40" i="3"/>
  <c r="G40" i="3"/>
  <c r="T40" i="3"/>
  <c r="AK40" i="3"/>
  <c r="G110" i="2"/>
  <c r="T109" i="2"/>
  <c r="H109" i="2"/>
  <c r="AE109" i="2"/>
  <c r="I110" i="2"/>
  <c r="L111" i="2"/>
  <c r="L40" i="3"/>
  <c r="V94" i="3"/>
  <c r="N94" i="3"/>
  <c r="F94" i="3"/>
  <c r="J94" i="3"/>
  <c r="AM94" i="3"/>
  <c r="S106" i="2"/>
  <c r="G106" i="2"/>
  <c r="AD106" i="2"/>
  <c r="V40" i="3"/>
  <c r="AM237" i="3"/>
  <c r="AN4" i="3"/>
  <c r="AM3" i="3"/>
  <c r="AM157" i="3"/>
  <c r="AM9" i="3"/>
  <c r="AM10" i="3"/>
  <c r="AM12" i="3"/>
  <c r="AM11" i="3"/>
  <c r="AM13" i="3"/>
  <c r="AM62" i="3"/>
  <c r="AM14" i="3"/>
  <c r="AM15" i="3"/>
  <c r="AM63" i="3"/>
  <c r="AM66" i="3"/>
  <c r="AM65" i="3"/>
  <c r="AM16" i="3"/>
  <c r="AM64" i="3"/>
  <c r="AM68" i="3"/>
  <c r="AM67" i="3"/>
  <c r="AM17" i="3"/>
  <c r="AM18" i="3"/>
  <c r="AM19" i="3"/>
  <c r="AM20" i="3"/>
  <c r="AM69" i="3"/>
  <c r="AM71" i="3"/>
  <c r="AM70" i="3"/>
  <c r="AM21" i="3"/>
  <c r="AM22" i="3"/>
  <c r="AM23" i="3"/>
  <c r="AM72" i="3"/>
  <c r="AM74" i="3"/>
  <c r="AM73" i="3"/>
  <c r="AM24" i="3"/>
  <c r="AM75" i="3"/>
  <c r="AM25" i="3"/>
  <c r="AM26" i="3"/>
  <c r="AM77" i="3"/>
  <c r="AM76" i="3"/>
  <c r="AM27" i="3"/>
  <c r="AM28" i="3"/>
  <c r="AM78" i="3"/>
  <c r="AM79" i="3"/>
  <c r="AM29" i="3"/>
  <c r="AM30" i="3"/>
  <c r="AM81" i="3"/>
  <c r="AM80" i="3"/>
  <c r="AM31" i="3"/>
  <c r="AM32" i="3"/>
  <c r="AM82" i="3"/>
  <c r="AM33" i="3"/>
  <c r="AM83" i="3"/>
  <c r="AM34" i="3"/>
  <c r="AM84" i="3"/>
  <c r="AM35" i="3"/>
  <c r="AM85" i="3"/>
  <c r="AM36" i="3"/>
  <c r="AM86" i="3"/>
  <c r="AM87" i="3"/>
  <c r="AM37" i="3"/>
  <c r="AM38" i="3"/>
  <c r="AM88" i="3"/>
  <c r="AM89" i="3"/>
  <c r="AM39" i="3"/>
  <c r="AM90" i="3"/>
  <c r="AM40" i="3"/>
  <c r="AK190" i="3"/>
  <c r="AK211" i="3"/>
  <c r="R94" i="3"/>
  <c r="T94" i="3"/>
  <c r="E40" i="3"/>
  <c r="AH100" i="2"/>
  <c r="W100" i="2"/>
  <c r="L100" i="2"/>
  <c r="E429" i="2"/>
  <c r="E273" i="2"/>
  <c r="Q273" i="2" s="1"/>
  <c r="AH91" i="3"/>
  <c r="Z91" i="3"/>
  <c r="R91" i="3"/>
  <c r="J91" i="3"/>
  <c r="AG91" i="3"/>
  <c r="Y91" i="3"/>
  <c r="Q91" i="3"/>
  <c r="I91" i="3"/>
  <c r="AN91" i="3"/>
  <c r="AD91" i="3"/>
  <c r="T91" i="3"/>
  <c r="H91" i="3"/>
  <c r="AM91" i="3"/>
  <c r="AC91" i="3"/>
  <c r="S91" i="3"/>
  <c r="G91" i="3"/>
  <c r="AL91" i="3"/>
  <c r="AB91" i="3"/>
  <c r="P91" i="3"/>
  <c r="F91" i="3"/>
  <c r="AK91" i="3"/>
  <c r="AA91" i="3"/>
  <c r="O91" i="3"/>
  <c r="E91" i="3"/>
  <c r="AJ91" i="3"/>
  <c r="X91" i="3"/>
  <c r="N91" i="3"/>
  <c r="D91" i="3"/>
  <c r="AI91" i="3"/>
  <c r="W91" i="3"/>
  <c r="M91" i="3"/>
  <c r="AF91" i="3"/>
  <c r="V91" i="3"/>
  <c r="L91" i="3"/>
  <c r="AE91" i="3"/>
  <c r="U91" i="3"/>
  <c r="K91" i="3"/>
  <c r="H429" i="2"/>
  <c r="H273" i="2"/>
  <c r="T273" i="2" s="1"/>
  <c r="AD40" i="3"/>
  <c r="AI40" i="3"/>
  <c r="L261" i="2"/>
  <c r="W261" i="2" s="1"/>
  <c r="K261" i="2"/>
  <c r="L417" i="2"/>
  <c r="W40" i="3"/>
  <c r="AJ238" i="3"/>
  <c r="AJ217" i="3"/>
  <c r="V106" i="2"/>
  <c r="K108" i="2"/>
  <c r="X106" i="2" s="1"/>
  <c r="J106" i="2"/>
  <c r="AG106" i="2"/>
  <c r="L107" i="2"/>
  <c r="B97" i="3"/>
  <c r="B44" i="3"/>
  <c r="H113" i="2"/>
  <c r="H112" i="2" s="1"/>
  <c r="G113" i="2"/>
  <c r="G112" i="2" s="1"/>
  <c r="C115" i="2"/>
  <c r="L113" i="2"/>
  <c r="L112" i="2" s="1"/>
  <c r="J113" i="2"/>
  <c r="J112" i="2" s="1"/>
  <c r="I113" i="2"/>
  <c r="I112" i="2" s="1"/>
  <c r="D112" i="2"/>
  <c r="F429" i="2"/>
  <c r="F273" i="2"/>
  <c r="R273" i="2" s="1"/>
  <c r="F40" i="3"/>
  <c r="I429" i="2"/>
  <c r="I273" i="2"/>
  <c r="U273" i="2" s="1"/>
  <c r="AC109" i="2"/>
  <c r="AB109" i="2"/>
  <c r="AA109" i="2"/>
  <c r="R109" i="2"/>
  <c r="Z109" i="2"/>
  <c r="Q109" i="2"/>
  <c r="F109" i="2"/>
  <c r="O109" i="2"/>
  <c r="P109" i="2"/>
  <c r="R40" i="3"/>
  <c r="AE40" i="3"/>
  <c r="AJ40" i="3"/>
  <c r="N40" i="3"/>
  <c r="J267" i="2"/>
  <c r="V267" i="2" s="1"/>
  <c r="J423" i="2"/>
  <c r="S40" i="3"/>
  <c r="C96" i="3"/>
  <c r="C43" i="3"/>
  <c r="S109" i="2"/>
  <c r="G109" i="2"/>
  <c r="AD109" i="2"/>
  <c r="AA94" i="3"/>
  <c r="AC94" i="3"/>
  <c r="W94" i="3"/>
  <c r="D40" i="3"/>
  <c r="AA40" i="3"/>
  <c r="D273" i="2"/>
  <c r="P273" i="2" s="1"/>
  <c r="D429" i="2"/>
  <c r="AG40" i="3"/>
  <c r="C429" i="2"/>
  <c r="C273" i="2"/>
  <c r="O273" i="2" s="1"/>
  <c r="AL184" i="3"/>
  <c r="AL163" i="3"/>
  <c r="D44" i="3" l="1"/>
  <c r="O42" i="3"/>
  <c r="R42" i="3"/>
  <c r="AN42" i="3"/>
  <c r="F432" i="2"/>
  <c r="F276" i="2"/>
  <c r="R276" i="2" s="1"/>
  <c r="AK217" i="3"/>
  <c r="AK238" i="3"/>
  <c r="F42" i="3"/>
  <c r="W42" i="3"/>
  <c r="Z42" i="3"/>
  <c r="D42" i="3"/>
  <c r="G432" i="2"/>
  <c r="G276" i="2"/>
  <c r="S276" i="2" s="1"/>
  <c r="C97" i="3"/>
  <c r="C44" i="3"/>
  <c r="AC112" i="2"/>
  <c r="AB112" i="2"/>
  <c r="AA112" i="2"/>
  <c r="R112" i="2"/>
  <c r="Z112" i="2"/>
  <c r="Q112" i="2"/>
  <c r="O112" i="2"/>
  <c r="P112" i="2"/>
  <c r="AH106" i="2"/>
  <c r="W106" i="2"/>
  <c r="L106" i="2"/>
  <c r="AL93" i="3"/>
  <c r="AD93" i="3"/>
  <c r="V93" i="3"/>
  <c r="N93" i="3"/>
  <c r="F93" i="3"/>
  <c r="AK93" i="3"/>
  <c r="AC93" i="3"/>
  <c r="U93" i="3"/>
  <c r="M93" i="3"/>
  <c r="E93" i="3"/>
  <c r="AH93" i="3"/>
  <c r="X93" i="3"/>
  <c r="L93" i="3"/>
  <c r="AG93" i="3"/>
  <c r="W93" i="3"/>
  <c r="K93" i="3"/>
  <c r="AF93" i="3"/>
  <c r="T93" i="3"/>
  <c r="J93" i="3"/>
  <c r="AE93" i="3"/>
  <c r="S93" i="3"/>
  <c r="I93" i="3"/>
  <c r="AN93" i="3"/>
  <c r="AB93" i="3"/>
  <c r="R93" i="3"/>
  <c r="H93" i="3"/>
  <c r="AM93" i="3"/>
  <c r="AA93" i="3"/>
  <c r="Q93" i="3"/>
  <c r="G93" i="3"/>
  <c r="AJ93" i="3"/>
  <c r="Z93" i="3"/>
  <c r="P93" i="3"/>
  <c r="D93" i="3"/>
  <c r="AI93" i="3"/>
  <c r="Y93" i="3"/>
  <c r="O93" i="3"/>
  <c r="AN237" i="3"/>
  <c r="AO4" i="3"/>
  <c r="AN157" i="3"/>
  <c r="AN9" i="3"/>
  <c r="AN10" i="3"/>
  <c r="AN11" i="3"/>
  <c r="AN12" i="3"/>
  <c r="AN13" i="3"/>
  <c r="AN62" i="3"/>
  <c r="AN14" i="3"/>
  <c r="AN63" i="3"/>
  <c r="AN15" i="3"/>
  <c r="AN66" i="3"/>
  <c r="AN65" i="3"/>
  <c r="AN64" i="3"/>
  <c r="AN16" i="3"/>
  <c r="AN17" i="3"/>
  <c r="AN67" i="3"/>
  <c r="AN68" i="3"/>
  <c r="AN18" i="3"/>
  <c r="AN19" i="3"/>
  <c r="AN70" i="3"/>
  <c r="AN20" i="3"/>
  <c r="AN69" i="3"/>
  <c r="AN71" i="3"/>
  <c r="AN21" i="3"/>
  <c r="AN22" i="3"/>
  <c r="AN23" i="3"/>
  <c r="AN72" i="3"/>
  <c r="AN74" i="3"/>
  <c r="AN73" i="3"/>
  <c r="AN24" i="3"/>
  <c r="AN25" i="3"/>
  <c r="AN75" i="3"/>
  <c r="AN77" i="3"/>
  <c r="AN26" i="3"/>
  <c r="AN76" i="3"/>
  <c r="AN27" i="3"/>
  <c r="AN78" i="3"/>
  <c r="AN28" i="3"/>
  <c r="AN29" i="3"/>
  <c r="AN79" i="3"/>
  <c r="AN30" i="3"/>
  <c r="AN31" i="3"/>
  <c r="AN81" i="3"/>
  <c r="AN80" i="3"/>
  <c r="AN82" i="3"/>
  <c r="AN32" i="3"/>
  <c r="AN33" i="3"/>
  <c r="AN83" i="3"/>
  <c r="AN84" i="3"/>
  <c r="AN34" i="3"/>
  <c r="AN85" i="3"/>
  <c r="AN35" i="3"/>
  <c r="AN36" i="3"/>
  <c r="AN86" i="3"/>
  <c r="AN37" i="3"/>
  <c r="AN87" i="3"/>
  <c r="AN38" i="3"/>
  <c r="AN90" i="3"/>
  <c r="AN88" i="3"/>
  <c r="AN39" i="3"/>
  <c r="AN89" i="3"/>
  <c r="AN40" i="3"/>
  <c r="AN94" i="3"/>
  <c r="AN41" i="3"/>
  <c r="AN92" i="3"/>
  <c r="N42" i="3"/>
  <c r="AE42" i="3"/>
  <c r="I42" i="3"/>
  <c r="AH42" i="3"/>
  <c r="L42" i="3"/>
  <c r="G429" i="2"/>
  <c r="G273" i="2"/>
  <c r="S273" i="2" s="1"/>
  <c r="L423" i="2"/>
  <c r="L267" i="2"/>
  <c r="W267" i="2" s="1"/>
  <c r="K267" i="2"/>
  <c r="U42" i="3"/>
  <c r="V42" i="3"/>
  <c r="AM42" i="3"/>
  <c r="Q42" i="3"/>
  <c r="T42" i="3"/>
  <c r="AF112" i="2"/>
  <c r="U112" i="2"/>
  <c r="S112" i="2"/>
  <c r="AD112" i="2"/>
  <c r="AC42" i="3"/>
  <c r="AD42" i="3"/>
  <c r="Y42" i="3"/>
  <c r="K42" i="3"/>
  <c r="AB42" i="3"/>
  <c r="C432" i="2"/>
  <c r="C276" i="2"/>
  <c r="O276" i="2" s="1"/>
  <c r="V112" i="2"/>
  <c r="K114" i="2"/>
  <c r="X112" i="2" s="1"/>
  <c r="AG112" i="2"/>
  <c r="AK42" i="3"/>
  <c r="AL42" i="3"/>
  <c r="H42" i="3"/>
  <c r="AG42" i="3"/>
  <c r="S42" i="3"/>
  <c r="AJ42" i="3"/>
  <c r="I109" i="2"/>
  <c r="AF109" i="2"/>
  <c r="U109" i="2"/>
  <c r="J110" i="2"/>
  <c r="AL211" i="3"/>
  <c r="AL190" i="3"/>
  <c r="T112" i="2"/>
  <c r="AE112" i="2"/>
  <c r="J273" i="2"/>
  <c r="V273" i="2" s="1"/>
  <c r="J429" i="2"/>
  <c r="P42" i="3"/>
  <c r="AA42" i="3"/>
  <c r="D432" i="2"/>
  <c r="D276" i="2"/>
  <c r="P276" i="2" s="1"/>
  <c r="E432" i="2"/>
  <c r="E276" i="2"/>
  <c r="Q276" i="2" s="1"/>
  <c r="AH112" i="2"/>
  <c r="W112" i="2"/>
  <c r="E42" i="3"/>
  <c r="G42" i="3"/>
  <c r="X42" i="3"/>
  <c r="J42" i="3"/>
  <c r="AI42" i="3"/>
  <c r="B98" i="3"/>
  <c r="B45" i="3"/>
  <c r="C118" i="2"/>
  <c r="D115" i="2"/>
  <c r="AM184" i="3"/>
  <c r="AM163" i="3"/>
  <c r="M42" i="3"/>
  <c r="AF42" i="3"/>
  <c r="H432" i="2"/>
  <c r="H276" i="2"/>
  <c r="T276" i="2" s="1"/>
  <c r="AO237" i="3" l="1"/>
  <c r="AP4" i="3"/>
  <c r="AO157" i="3"/>
  <c r="AO9" i="3"/>
  <c r="AO10" i="3"/>
  <c r="AO11" i="3"/>
  <c r="AO12" i="3"/>
  <c r="AO13" i="3"/>
  <c r="AO62" i="3"/>
  <c r="AO14" i="3"/>
  <c r="AO15" i="3"/>
  <c r="AO63" i="3"/>
  <c r="AO16" i="3"/>
  <c r="AO64" i="3"/>
  <c r="AO66" i="3"/>
  <c r="AO65" i="3"/>
  <c r="AO68" i="3"/>
  <c r="AO17" i="3"/>
  <c r="AO67" i="3"/>
  <c r="AO18" i="3"/>
  <c r="AO19" i="3"/>
  <c r="AO69" i="3"/>
  <c r="AO20" i="3"/>
  <c r="AO70" i="3"/>
  <c r="AO71" i="3"/>
  <c r="AO21" i="3"/>
  <c r="AO22" i="3"/>
  <c r="AO72" i="3"/>
  <c r="AO23" i="3"/>
  <c r="AO74" i="3"/>
  <c r="AO73" i="3"/>
  <c r="AO24" i="3"/>
  <c r="AO25" i="3"/>
  <c r="AO75" i="3"/>
  <c r="AO77" i="3"/>
  <c r="AO26" i="3"/>
  <c r="AO76" i="3"/>
  <c r="AO27" i="3"/>
  <c r="AO78" i="3"/>
  <c r="AO28" i="3"/>
  <c r="AO29" i="3"/>
  <c r="AO79" i="3"/>
  <c r="AO30" i="3"/>
  <c r="AO80" i="3"/>
  <c r="AO31" i="3"/>
  <c r="AO81" i="3"/>
  <c r="AO82" i="3"/>
  <c r="AO32" i="3"/>
  <c r="AO83" i="3"/>
  <c r="AO33" i="3"/>
  <c r="AO84" i="3"/>
  <c r="AO34" i="3"/>
  <c r="AO85" i="3"/>
  <c r="AO35" i="3"/>
  <c r="AO36" i="3"/>
  <c r="AO37" i="3"/>
  <c r="AO87" i="3"/>
  <c r="AO86" i="3"/>
  <c r="AO38" i="3"/>
  <c r="AO90" i="3"/>
  <c r="AO88" i="3"/>
  <c r="AO89" i="3"/>
  <c r="AO39" i="3"/>
  <c r="AO40" i="3"/>
  <c r="AO92" i="3"/>
  <c r="AO94" i="3"/>
  <c r="AO41" i="3"/>
  <c r="AO42" i="3"/>
  <c r="AO91" i="3"/>
  <c r="C98" i="3"/>
  <c r="C45" i="3"/>
  <c r="J435" i="2"/>
  <c r="J279" i="2"/>
  <c r="V279" i="2" s="1"/>
  <c r="D279" i="2"/>
  <c r="P279" i="2" s="1"/>
  <c r="D435" i="2"/>
  <c r="AF115" i="2"/>
  <c r="U115" i="2"/>
  <c r="S115" i="2"/>
  <c r="AD115" i="2"/>
  <c r="C279" i="2"/>
  <c r="O279" i="2" s="1"/>
  <c r="C435" i="2"/>
  <c r="V115" i="2"/>
  <c r="X115" i="2"/>
  <c r="AG115" i="2"/>
  <c r="AL238" i="3"/>
  <c r="AL217" i="3"/>
  <c r="G435" i="2"/>
  <c r="G279" i="2"/>
  <c r="S279" i="2" s="1"/>
  <c r="AO44" i="3"/>
  <c r="AN44" i="3"/>
  <c r="AJ44" i="3"/>
  <c r="AF44" i="3"/>
  <c r="X44" i="3"/>
  <c r="P44" i="3"/>
  <c r="H44" i="3"/>
  <c r="AP44" i="3"/>
  <c r="AE44" i="3"/>
  <c r="W44" i="3"/>
  <c r="O44" i="3"/>
  <c r="G44" i="3"/>
  <c r="AM44" i="3"/>
  <c r="AD44" i="3"/>
  <c r="V44" i="3"/>
  <c r="N44" i="3"/>
  <c r="F44" i="3"/>
  <c r="AL44" i="3"/>
  <c r="AC44" i="3"/>
  <c r="U44" i="3"/>
  <c r="M44" i="3"/>
  <c r="E44" i="3"/>
  <c r="AK44" i="3"/>
  <c r="AB44" i="3"/>
  <c r="T44" i="3"/>
  <c r="L44" i="3"/>
  <c r="AI44" i="3"/>
  <c r="AA44" i="3"/>
  <c r="S44" i="3"/>
  <c r="K44" i="3"/>
  <c r="AH44" i="3"/>
  <c r="Z44" i="3"/>
  <c r="R44" i="3"/>
  <c r="J44" i="3"/>
  <c r="AG44" i="3"/>
  <c r="Y44" i="3"/>
  <c r="Q44" i="3"/>
  <c r="I44" i="3"/>
  <c r="V109" i="2"/>
  <c r="K111" i="2"/>
  <c r="X109" i="2" s="1"/>
  <c r="J109" i="2"/>
  <c r="P43" i="3" s="1"/>
  <c r="AG109" i="2"/>
  <c r="L110" i="2"/>
  <c r="I435" i="2"/>
  <c r="I279" i="2"/>
  <c r="U279" i="2" s="1"/>
  <c r="E279" i="2"/>
  <c r="Q279" i="2" s="1"/>
  <c r="E435" i="2"/>
  <c r="T115" i="2"/>
  <c r="AE115" i="2"/>
  <c r="AH115" i="2"/>
  <c r="W115" i="2"/>
  <c r="H435" i="2"/>
  <c r="H279" i="2"/>
  <c r="T279" i="2" s="1"/>
  <c r="I432" i="2"/>
  <c r="I276" i="2"/>
  <c r="U276" i="2" s="1"/>
  <c r="AO93" i="3"/>
  <c r="AL97" i="3"/>
  <c r="AD97" i="3"/>
  <c r="V97" i="3"/>
  <c r="N97" i="3"/>
  <c r="F97" i="3"/>
  <c r="AK97" i="3"/>
  <c r="AC97" i="3"/>
  <c r="U97" i="3"/>
  <c r="M97" i="3"/>
  <c r="E97" i="3"/>
  <c r="AJ97" i="3"/>
  <c r="AB97" i="3"/>
  <c r="T97" i="3"/>
  <c r="L97" i="3"/>
  <c r="D97" i="3"/>
  <c r="AI97" i="3"/>
  <c r="AA97" i="3"/>
  <c r="S97" i="3"/>
  <c r="K97" i="3"/>
  <c r="AP97" i="3"/>
  <c r="AH97" i="3"/>
  <c r="Z97" i="3"/>
  <c r="R97" i="3"/>
  <c r="J97" i="3"/>
  <c r="AO97" i="3"/>
  <c r="AG97" i="3"/>
  <c r="Y97" i="3"/>
  <c r="Q97" i="3"/>
  <c r="I97" i="3"/>
  <c r="AN97" i="3"/>
  <c r="AF97" i="3"/>
  <c r="X97" i="3"/>
  <c r="P97" i="3"/>
  <c r="H97" i="3"/>
  <c r="AM97" i="3"/>
  <c r="AE97" i="3"/>
  <c r="W97" i="3"/>
  <c r="O97" i="3"/>
  <c r="G97" i="3"/>
  <c r="AP95" i="3"/>
  <c r="AH95" i="3"/>
  <c r="Z95" i="3"/>
  <c r="R95" i="3"/>
  <c r="J95" i="3"/>
  <c r="AO95" i="3"/>
  <c r="AG95" i="3"/>
  <c r="Y95" i="3"/>
  <c r="Q95" i="3"/>
  <c r="I95" i="3"/>
  <c r="AL95" i="3"/>
  <c r="AB95" i="3"/>
  <c r="P95" i="3"/>
  <c r="F95" i="3"/>
  <c r="AK95" i="3"/>
  <c r="AA95" i="3"/>
  <c r="O95" i="3"/>
  <c r="E95" i="3"/>
  <c r="AJ95" i="3"/>
  <c r="X95" i="3"/>
  <c r="N95" i="3"/>
  <c r="D95" i="3"/>
  <c r="AI95" i="3"/>
  <c r="W95" i="3"/>
  <c r="M95" i="3"/>
  <c r="AF95" i="3"/>
  <c r="V95" i="3"/>
  <c r="L95" i="3"/>
  <c r="AE95" i="3"/>
  <c r="U95" i="3"/>
  <c r="K95" i="3"/>
  <c r="AN95" i="3"/>
  <c r="AD95" i="3"/>
  <c r="T95" i="3"/>
  <c r="H95" i="3"/>
  <c r="AM95" i="3"/>
  <c r="AC95" i="3"/>
  <c r="S95" i="3"/>
  <c r="G95" i="3"/>
  <c r="F279" i="2"/>
  <c r="R279" i="2" s="1"/>
  <c r="F435" i="2"/>
  <c r="AC115" i="2"/>
  <c r="AB115" i="2"/>
  <c r="AA115" i="2"/>
  <c r="R115" i="2"/>
  <c r="Z115" i="2"/>
  <c r="Q115" i="2"/>
  <c r="O115" i="2"/>
  <c r="P115" i="2"/>
  <c r="AM211" i="3"/>
  <c r="AM190" i="3"/>
  <c r="B99" i="3"/>
  <c r="B46" i="3"/>
  <c r="C121" i="2"/>
  <c r="D118" i="2"/>
  <c r="L279" i="2"/>
  <c r="W279" i="2" s="1"/>
  <c r="K279" i="2"/>
  <c r="L435" i="2"/>
  <c r="AN184" i="3"/>
  <c r="AN163" i="3"/>
  <c r="L429" i="2"/>
  <c r="L273" i="2"/>
  <c r="W273" i="2" s="1"/>
  <c r="K273" i="2"/>
  <c r="AA43" i="3" l="1"/>
  <c r="AO43" i="3"/>
  <c r="K282" i="2"/>
  <c r="L282" i="2"/>
  <c r="W282" i="2" s="1"/>
  <c r="L438" i="2"/>
  <c r="G438" i="2"/>
  <c r="G282" i="2"/>
  <c r="S282" i="2" s="1"/>
  <c r="AM238" i="3"/>
  <c r="AM217" i="3"/>
  <c r="I438" i="2"/>
  <c r="I282" i="2"/>
  <c r="U282" i="2" s="1"/>
  <c r="C282" i="2"/>
  <c r="O282" i="2" s="1"/>
  <c r="C438" i="2"/>
  <c r="AH109" i="2"/>
  <c r="W109" i="2"/>
  <c r="L109" i="2"/>
  <c r="J438" i="2"/>
  <c r="J282" i="2"/>
  <c r="V282" i="2" s="1"/>
  <c r="S118" i="2"/>
  <c r="AD118" i="2"/>
  <c r="V118" i="2"/>
  <c r="X118" i="2"/>
  <c r="AG118" i="2"/>
  <c r="AN211" i="3"/>
  <c r="AN190" i="3"/>
  <c r="AI45" i="3"/>
  <c r="AA45" i="3"/>
  <c r="S45" i="3"/>
  <c r="K45" i="3"/>
  <c r="AP45" i="3"/>
  <c r="AH45" i="3"/>
  <c r="Z45" i="3"/>
  <c r="R45" i="3"/>
  <c r="J45" i="3"/>
  <c r="AO45" i="3"/>
  <c r="AG45" i="3"/>
  <c r="Y45" i="3"/>
  <c r="Q45" i="3"/>
  <c r="I45" i="3"/>
  <c r="AN45" i="3"/>
  <c r="AF45" i="3"/>
  <c r="X45" i="3"/>
  <c r="P45" i="3"/>
  <c r="H45" i="3"/>
  <c r="AM45" i="3"/>
  <c r="AE45" i="3"/>
  <c r="W45" i="3"/>
  <c r="O45" i="3"/>
  <c r="G45" i="3"/>
  <c r="AL45" i="3"/>
  <c r="AD45" i="3"/>
  <c r="V45" i="3"/>
  <c r="N45" i="3"/>
  <c r="F45" i="3"/>
  <c r="AJ45" i="3"/>
  <c r="AB45" i="3"/>
  <c r="T45" i="3"/>
  <c r="L45" i="3"/>
  <c r="AK45" i="3"/>
  <c r="AC45" i="3"/>
  <c r="U45" i="3"/>
  <c r="M45" i="3"/>
  <c r="E45" i="3"/>
  <c r="D45" i="3"/>
  <c r="H438" i="2"/>
  <c r="H282" i="2"/>
  <c r="T282" i="2" s="1"/>
  <c r="AF118" i="2"/>
  <c r="U118" i="2"/>
  <c r="T118" i="2"/>
  <c r="AE118" i="2"/>
  <c r="AH118" i="2"/>
  <c r="W118" i="2"/>
  <c r="E438" i="2"/>
  <c r="E282" i="2"/>
  <c r="Q282" i="2" s="1"/>
  <c r="AD43" i="3"/>
  <c r="M43" i="3"/>
  <c r="R43" i="3"/>
  <c r="AF43" i="3"/>
  <c r="X43" i="3"/>
  <c r="V43" i="3"/>
  <c r="E43" i="3"/>
  <c r="AI43" i="3"/>
  <c r="J43" i="3"/>
  <c r="AM43" i="3"/>
  <c r="F43" i="3"/>
  <c r="AJ43" i="3"/>
  <c r="S43" i="3"/>
  <c r="AG43" i="3"/>
  <c r="H43" i="3"/>
  <c r="AB43" i="3"/>
  <c r="K43" i="3"/>
  <c r="Y43" i="3"/>
  <c r="AE43" i="3"/>
  <c r="AK43" i="3"/>
  <c r="T43" i="3"/>
  <c r="Q43" i="3"/>
  <c r="W43" i="3"/>
  <c r="AC43" i="3"/>
  <c r="L43" i="3"/>
  <c r="AH43" i="3"/>
  <c r="I43" i="3"/>
  <c r="O43" i="3"/>
  <c r="AL43" i="3"/>
  <c r="U43" i="3"/>
  <c r="D43" i="3"/>
  <c r="Z43" i="3"/>
  <c r="AN43" i="3"/>
  <c r="G43" i="3"/>
  <c r="AO184" i="3"/>
  <c r="AO163" i="3"/>
  <c r="AC118" i="2"/>
  <c r="AB118" i="2"/>
  <c r="AA118" i="2"/>
  <c r="R118" i="2"/>
  <c r="Z118" i="2"/>
  <c r="Q118" i="2"/>
  <c r="O118" i="2"/>
  <c r="P118" i="2"/>
  <c r="C99" i="3"/>
  <c r="C46" i="3"/>
  <c r="AP237" i="3"/>
  <c r="AQ4" i="3"/>
  <c r="AP157" i="3"/>
  <c r="AP9" i="3"/>
  <c r="AP10" i="3"/>
  <c r="AP12" i="3"/>
  <c r="AP11" i="3"/>
  <c r="AP13" i="3"/>
  <c r="AP62" i="3"/>
  <c r="AP14" i="3"/>
  <c r="AP15" i="3"/>
  <c r="AP63" i="3"/>
  <c r="AP16" i="3"/>
  <c r="AP66" i="3"/>
  <c r="AP64" i="3"/>
  <c r="AP65" i="3"/>
  <c r="AP67" i="3"/>
  <c r="AP17" i="3"/>
  <c r="AP68" i="3"/>
  <c r="AP18" i="3"/>
  <c r="AP19" i="3"/>
  <c r="AP69" i="3"/>
  <c r="AP71" i="3"/>
  <c r="AP20" i="3"/>
  <c r="AP70" i="3"/>
  <c r="AP21" i="3"/>
  <c r="AP22" i="3"/>
  <c r="AP23" i="3"/>
  <c r="AP72" i="3"/>
  <c r="AP24" i="3"/>
  <c r="AP74" i="3"/>
  <c r="AP73" i="3"/>
  <c r="AP75" i="3"/>
  <c r="AP25" i="3"/>
  <c r="AP26" i="3"/>
  <c r="AP77" i="3"/>
  <c r="AP27" i="3"/>
  <c r="AP76" i="3"/>
  <c r="AP28" i="3"/>
  <c r="AP78" i="3"/>
  <c r="AP79" i="3"/>
  <c r="AP29" i="3"/>
  <c r="AP30" i="3"/>
  <c r="AP81" i="3"/>
  <c r="AP80" i="3"/>
  <c r="AP31" i="3"/>
  <c r="AP82" i="3"/>
  <c r="AP32" i="3"/>
  <c r="AP33" i="3"/>
  <c r="AP83" i="3"/>
  <c r="AP84" i="3"/>
  <c r="AP34" i="3"/>
  <c r="AP85" i="3"/>
  <c r="AP35" i="3"/>
  <c r="AP36" i="3"/>
  <c r="AP87" i="3"/>
  <c r="AP37" i="3"/>
  <c r="AP86" i="3"/>
  <c r="AP38" i="3"/>
  <c r="AP39" i="3"/>
  <c r="AP90" i="3"/>
  <c r="AP88" i="3"/>
  <c r="AP89" i="3"/>
  <c r="AP40" i="3"/>
  <c r="AP41" i="3"/>
  <c r="AP92" i="3"/>
  <c r="AP94" i="3"/>
  <c r="AP91" i="3"/>
  <c r="AP42" i="3"/>
  <c r="AP43" i="3"/>
  <c r="AP93" i="3"/>
  <c r="D438" i="2"/>
  <c r="D282" i="2"/>
  <c r="P282" i="2" s="1"/>
  <c r="B100" i="3"/>
  <c r="B47" i="3"/>
  <c r="C124" i="2"/>
  <c r="D121" i="2"/>
  <c r="F438" i="2"/>
  <c r="F282" i="2"/>
  <c r="R282" i="2" s="1"/>
  <c r="AN98" i="3"/>
  <c r="AF98" i="3"/>
  <c r="X98" i="3"/>
  <c r="P98" i="3"/>
  <c r="H98" i="3"/>
  <c r="AM98" i="3"/>
  <c r="AE98" i="3"/>
  <c r="W98" i="3"/>
  <c r="O98" i="3"/>
  <c r="G98" i="3"/>
  <c r="AL98" i="3"/>
  <c r="AD98" i="3"/>
  <c r="V98" i="3"/>
  <c r="N98" i="3"/>
  <c r="F98" i="3"/>
  <c r="AK98" i="3"/>
  <c r="AC98" i="3"/>
  <c r="U98" i="3"/>
  <c r="M98" i="3"/>
  <c r="E98" i="3"/>
  <c r="AJ98" i="3"/>
  <c r="AB98" i="3"/>
  <c r="T98" i="3"/>
  <c r="L98" i="3"/>
  <c r="D98" i="3"/>
  <c r="AQ98" i="3"/>
  <c r="AI98" i="3"/>
  <c r="AA98" i="3"/>
  <c r="S98" i="3"/>
  <c r="K98" i="3"/>
  <c r="AP98" i="3"/>
  <c r="AH98" i="3"/>
  <c r="Z98" i="3"/>
  <c r="R98" i="3"/>
  <c r="J98" i="3"/>
  <c r="AO98" i="3"/>
  <c r="AG98" i="3"/>
  <c r="Y98" i="3"/>
  <c r="Q98" i="3"/>
  <c r="I98" i="3"/>
  <c r="J432" i="2"/>
  <c r="J276" i="2"/>
  <c r="V276" i="2" s="1"/>
  <c r="N43" i="3"/>
  <c r="AQ237" i="3" l="1"/>
  <c r="AR4" i="3"/>
  <c r="AQ3" i="3"/>
  <c r="AQ157" i="3"/>
  <c r="AQ9" i="3"/>
  <c r="AQ10" i="3"/>
  <c r="AQ11" i="3"/>
  <c r="AQ12" i="3"/>
  <c r="AQ13" i="3"/>
  <c r="AQ62" i="3"/>
  <c r="AQ14" i="3"/>
  <c r="AQ15" i="3"/>
  <c r="AQ63" i="3"/>
  <c r="AQ65" i="3"/>
  <c r="AQ16" i="3"/>
  <c r="AQ66" i="3"/>
  <c r="AQ64" i="3"/>
  <c r="AQ67" i="3"/>
  <c r="AQ17" i="3"/>
  <c r="AQ68" i="3"/>
  <c r="AQ18" i="3"/>
  <c r="AQ19" i="3"/>
  <c r="AQ20" i="3"/>
  <c r="AQ70" i="3"/>
  <c r="AQ69" i="3"/>
  <c r="AQ71" i="3"/>
  <c r="AQ21" i="3"/>
  <c r="AQ22" i="3"/>
  <c r="AQ23" i="3"/>
  <c r="AQ72" i="3"/>
  <c r="AQ24" i="3"/>
  <c r="AQ74" i="3"/>
  <c r="AQ73" i="3"/>
  <c r="AQ75" i="3"/>
  <c r="AQ25" i="3"/>
  <c r="AQ77" i="3"/>
  <c r="AQ26" i="3"/>
  <c r="AQ76" i="3"/>
  <c r="AQ27" i="3"/>
  <c r="AQ28" i="3"/>
  <c r="AQ78" i="3"/>
  <c r="AQ79" i="3"/>
  <c r="AQ29" i="3"/>
  <c r="AQ30" i="3"/>
  <c r="AQ31" i="3"/>
  <c r="AQ81" i="3"/>
  <c r="AQ80" i="3"/>
  <c r="AQ32" i="3"/>
  <c r="AQ82" i="3"/>
  <c r="AQ83" i="3"/>
  <c r="AQ33" i="3"/>
  <c r="AQ34" i="3"/>
  <c r="AQ84" i="3"/>
  <c r="AQ35" i="3"/>
  <c r="AQ85" i="3"/>
  <c r="AQ36" i="3"/>
  <c r="AQ87" i="3"/>
  <c r="AQ86" i="3"/>
  <c r="AQ37" i="3"/>
  <c r="AQ38" i="3"/>
  <c r="AQ90" i="3"/>
  <c r="AQ89" i="3"/>
  <c r="AQ39" i="3"/>
  <c r="AQ88" i="3"/>
  <c r="AQ40" i="3"/>
  <c r="AQ41" i="3"/>
  <c r="AQ94" i="3"/>
  <c r="AQ92" i="3"/>
  <c r="AQ42" i="3"/>
  <c r="AQ91" i="3"/>
  <c r="AQ43" i="3"/>
  <c r="AQ93" i="3"/>
  <c r="AQ95" i="3"/>
  <c r="AQ44" i="3"/>
  <c r="AQ97" i="3"/>
  <c r="F441" i="2"/>
  <c r="F285" i="2"/>
  <c r="R285" i="2" s="1"/>
  <c r="I285" i="2"/>
  <c r="U285" i="2" s="1"/>
  <c r="I441" i="2"/>
  <c r="J441" i="2"/>
  <c r="J285" i="2"/>
  <c r="V285" i="2" s="1"/>
  <c r="C100" i="3"/>
  <c r="C47" i="3"/>
  <c r="AC121" i="2"/>
  <c r="AB121" i="2"/>
  <c r="AA121" i="2"/>
  <c r="R121" i="2"/>
  <c r="Z121" i="2"/>
  <c r="Q121" i="2"/>
  <c r="O121" i="2"/>
  <c r="P121" i="2"/>
  <c r="AP99" i="3"/>
  <c r="AH99" i="3"/>
  <c r="Z99" i="3"/>
  <c r="R99" i="3"/>
  <c r="J99" i="3"/>
  <c r="AO99" i="3"/>
  <c r="AG99" i="3"/>
  <c r="Y99" i="3"/>
  <c r="Q99" i="3"/>
  <c r="I99" i="3"/>
  <c r="AN99" i="3"/>
  <c r="AF99" i="3"/>
  <c r="X99" i="3"/>
  <c r="P99" i="3"/>
  <c r="H99" i="3"/>
  <c r="AM99" i="3"/>
  <c r="AE99" i="3"/>
  <c r="W99" i="3"/>
  <c r="O99" i="3"/>
  <c r="G99" i="3"/>
  <c r="AL99" i="3"/>
  <c r="AD99" i="3"/>
  <c r="V99" i="3"/>
  <c r="N99" i="3"/>
  <c r="F99" i="3"/>
  <c r="AK99" i="3"/>
  <c r="AC99" i="3"/>
  <c r="U99" i="3"/>
  <c r="M99" i="3"/>
  <c r="E99" i="3"/>
  <c r="AR99" i="3"/>
  <c r="AJ99" i="3"/>
  <c r="AB99" i="3"/>
  <c r="T99" i="3"/>
  <c r="L99" i="3"/>
  <c r="D99" i="3"/>
  <c r="AQ99" i="3"/>
  <c r="AI99" i="3"/>
  <c r="AA99" i="3"/>
  <c r="S99" i="3"/>
  <c r="K99" i="3"/>
  <c r="AQ45" i="3"/>
  <c r="D441" i="2"/>
  <c r="D285" i="2"/>
  <c r="P285" i="2" s="1"/>
  <c r="L285" i="2"/>
  <c r="W285" i="2" s="1"/>
  <c r="L441" i="2"/>
  <c r="K285" i="2"/>
  <c r="G441" i="2"/>
  <c r="G285" i="2"/>
  <c r="S285" i="2" s="1"/>
  <c r="V121" i="2"/>
  <c r="X121" i="2"/>
  <c r="AG121" i="2"/>
  <c r="C441" i="2"/>
  <c r="C285" i="2"/>
  <c r="O285" i="2" s="1"/>
  <c r="AN238" i="3"/>
  <c r="AN217" i="3"/>
  <c r="T121" i="2"/>
  <c r="AE121" i="2"/>
  <c r="AK46" i="3"/>
  <c r="AC46" i="3"/>
  <c r="U46" i="3"/>
  <c r="M46" i="3"/>
  <c r="E46" i="3"/>
  <c r="AR46" i="3"/>
  <c r="AJ46" i="3"/>
  <c r="AB46" i="3"/>
  <c r="T46" i="3"/>
  <c r="L46" i="3"/>
  <c r="D46" i="3"/>
  <c r="AQ46" i="3"/>
  <c r="AI46" i="3"/>
  <c r="AA46" i="3"/>
  <c r="S46" i="3"/>
  <c r="K46" i="3"/>
  <c r="AP46" i="3"/>
  <c r="AH46" i="3"/>
  <c r="Z46" i="3"/>
  <c r="R46" i="3"/>
  <c r="J46" i="3"/>
  <c r="AO46" i="3"/>
  <c r="AG46" i="3"/>
  <c r="Y46" i="3"/>
  <c r="Q46" i="3"/>
  <c r="I46" i="3"/>
  <c r="AN46" i="3"/>
  <c r="AF46" i="3"/>
  <c r="X46" i="3"/>
  <c r="P46" i="3"/>
  <c r="H46" i="3"/>
  <c r="AL46" i="3"/>
  <c r="AD46" i="3"/>
  <c r="V46" i="3"/>
  <c r="N46" i="3"/>
  <c r="F46" i="3"/>
  <c r="G46" i="3"/>
  <c r="AM46" i="3"/>
  <c r="AE46" i="3"/>
  <c r="W46" i="3"/>
  <c r="O46" i="3"/>
  <c r="AO211" i="3"/>
  <c r="AO190" i="3"/>
  <c r="AF121" i="2"/>
  <c r="U121" i="2"/>
  <c r="AH121" i="2"/>
  <c r="W121" i="2"/>
  <c r="E441" i="2"/>
  <c r="E285" i="2"/>
  <c r="Q285" i="2" s="1"/>
  <c r="AR96" i="3"/>
  <c r="AJ96" i="3"/>
  <c r="AB96" i="3"/>
  <c r="T96" i="3"/>
  <c r="L96" i="3"/>
  <c r="D96" i="3"/>
  <c r="AQ96" i="3"/>
  <c r="AI96" i="3"/>
  <c r="AA96" i="3"/>
  <c r="S96" i="3"/>
  <c r="K96" i="3"/>
  <c r="AP96" i="3"/>
  <c r="AH96" i="3"/>
  <c r="Z96" i="3"/>
  <c r="R96" i="3"/>
  <c r="J96" i="3"/>
  <c r="AO96" i="3"/>
  <c r="AG96" i="3"/>
  <c r="Y96" i="3"/>
  <c r="Q96" i="3"/>
  <c r="I96" i="3"/>
  <c r="AN96" i="3"/>
  <c r="AF96" i="3"/>
  <c r="X96" i="3"/>
  <c r="AM96" i="3"/>
  <c r="AE96" i="3"/>
  <c r="W96" i="3"/>
  <c r="AL96" i="3"/>
  <c r="AD96" i="3"/>
  <c r="V96" i="3"/>
  <c r="N96" i="3"/>
  <c r="F96" i="3"/>
  <c r="AK96" i="3"/>
  <c r="AC96" i="3"/>
  <c r="U96" i="3"/>
  <c r="M96" i="3"/>
  <c r="E96" i="3"/>
  <c r="O96" i="3"/>
  <c r="H96" i="3"/>
  <c r="G96" i="3"/>
  <c r="P96" i="3"/>
  <c r="S121" i="2"/>
  <c r="AD121" i="2"/>
  <c r="B101" i="3"/>
  <c r="B48" i="3"/>
  <c r="C127" i="2"/>
  <c r="D124" i="2"/>
  <c r="AP184" i="3"/>
  <c r="AP163" i="3"/>
  <c r="H285" i="2"/>
  <c r="T285" i="2" s="1"/>
  <c r="H441" i="2"/>
  <c r="L276" i="2"/>
  <c r="W276" i="2" s="1"/>
  <c r="K276" i="2"/>
  <c r="L432" i="2"/>
  <c r="AP211" i="3" l="1"/>
  <c r="AP190" i="3"/>
  <c r="I288" i="2"/>
  <c r="U288" i="2" s="1"/>
  <c r="I444" i="2"/>
  <c r="E288" i="2"/>
  <c r="Q288" i="2" s="1"/>
  <c r="E444" i="2"/>
  <c r="C101" i="3"/>
  <c r="C48" i="3"/>
  <c r="AC124" i="2"/>
  <c r="AB124" i="2"/>
  <c r="AA124" i="2"/>
  <c r="R124" i="2"/>
  <c r="Z124" i="2"/>
  <c r="Q124" i="2"/>
  <c r="O124" i="2"/>
  <c r="P124" i="2"/>
  <c r="W324" i="2"/>
  <c r="M123" i="1" s="1"/>
  <c r="F444" i="2"/>
  <c r="F288" i="2"/>
  <c r="R288" i="2" s="1"/>
  <c r="H288" i="2"/>
  <c r="T288" i="2" s="1"/>
  <c r="H444" i="2"/>
  <c r="J444" i="2"/>
  <c r="J288" i="2"/>
  <c r="V288" i="2" s="1"/>
  <c r="V124" i="2"/>
  <c r="X124" i="2"/>
  <c r="AG124" i="2"/>
  <c r="AO238" i="3"/>
  <c r="AO217" i="3"/>
  <c r="AF124" i="2"/>
  <c r="U124" i="2"/>
  <c r="D288" i="2"/>
  <c r="P288" i="2" s="1"/>
  <c r="D444" i="2"/>
  <c r="AQ163" i="3"/>
  <c r="AQ184" i="3"/>
  <c r="G288" i="2"/>
  <c r="S288" i="2" s="1"/>
  <c r="G444" i="2"/>
  <c r="T124" i="2"/>
  <c r="AE124" i="2"/>
  <c r="AR100" i="3"/>
  <c r="AJ100" i="3"/>
  <c r="AB100" i="3"/>
  <c r="T100" i="3"/>
  <c r="L100" i="3"/>
  <c r="D100" i="3"/>
  <c r="AQ100" i="3"/>
  <c r="AI100" i="3"/>
  <c r="AA100" i="3"/>
  <c r="S100" i="3"/>
  <c r="K100" i="3"/>
  <c r="AP100" i="3"/>
  <c r="AH100" i="3"/>
  <c r="Z100" i="3"/>
  <c r="R100" i="3"/>
  <c r="J100" i="3"/>
  <c r="AO100" i="3"/>
  <c r="AG100" i="3"/>
  <c r="Y100" i="3"/>
  <c r="Q100" i="3"/>
  <c r="I100" i="3"/>
  <c r="AN100" i="3"/>
  <c r="AF100" i="3"/>
  <c r="X100" i="3"/>
  <c r="P100" i="3"/>
  <c r="H100" i="3"/>
  <c r="AM100" i="3"/>
  <c r="AE100" i="3"/>
  <c r="W100" i="3"/>
  <c r="O100" i="3"/>
  <c r="G100" i="3"/>
  <c r="AL100" i="3"/>
  <c r="AD100" i="3"/>
  <c r="V100" i="3"/>
  <c r="N100" i="3"/>
  <c r="F100" i="3"/>
  <c r="AK100" i="3"/>
  <c r="AC100" i="3"/>
  <c r="U100" i="3"/>
  <c r="M100" i="3"/>
  <c r="E100" i="3"/>
  <c r="AH124" i="2"/>
  <c r="W124" i="2"/>
  <c r="L288" i="2"/>
  <c r="W288" i="2" s="1"/>
  <c r="K288" i="2"/>
  <c r="L444" i="2"/>
  <c r="C288" i="2"/>
  <c r="O288" i="2" s="1"/>
  <c r="C444" i="2"/>
  <c r="S124" i="2"/>
  <c r="AD124" i="2"/>
  <c r="B102" i="3"/>
  <c r="B49" i="3"/>
  <c r="C130" i="2"/>
  <c r="D127" i="2"/>
  <c r="AM47" i="3"/>
  <c r="AE47" i="3"/>
  <c r="W47" i="3"/>
  <c r="O47" i="3"/>
  <c r="G47" i="3"/>
  <c r="AL47" i="3"/>
  <c r="AD47" i="3"/>
  <c r="V47" i="3"/>
  <c r="N47" i="3"/>
  <c r="F47" i="3"/>
  <c r="AK47" i="3"/>
  <c r="AC47" i="3"/>
  <c r="U47" i="3"/>
  <c r="M47" i="3"/>
  <c r="E47" i="3"/>
  <c r="AR47" i="3"/>
  <c r="AJ47" i="3"/>
  <c r="AB47" i="3"/>
  <c r="T47" i="3"/>
  <c r="L47" i="3"/>
  <c r="D47" i="3"/>
  <c r="AQ47" i="3"/>
  <c r="AI47" i="3"/>
  <c r="AA47" i="3"/>
  <c r="S47" i="3"/>
  <c r="K47" i="3"/>
  <c r="AP47" i="3"/>
  <c r="AH47" i="3"/>
  <c r="Z47" i="3"/>
  <c r="R47" i="3"/>
  <c r="J47" i="3"/>
  <c r="AN47" i="3"/>
  <c r="AF47" i="3"/>
  <c r="X47" i="3"/>
  <c r="P47" i="3"/>
  <c r="H47" i="3"/>
  <c r="Y47" i="3"/>
  <c r="Q47" i="3"/>
  <c r="I47" i="3"/>
  <c r="AO47" i="3"/>
  <c r="AG47" i="3"/>
  <c r="AR237" i="3"/>
  <c r="AS4" i="3"/>
  <c r="AR157" i="3"/>
  <c r="AR9" i="3"/>
  <c r="AR10" i="3"/>
  <c r="AR11" i="3"/>
  <c r="AR12" i="3"/>
  <c r="AR13" i="3"/>
  <c r="AR62" i="3"/>
  <c r="AR14" i="3"/>
  <c r="AR15" i="3"/>
  <c r="AR63" i="3"/>
  <c r="AR65" i="3"/>
  <c r="AR66" i="3"/>
  <c r="AR64" i="3"/>
  <c r="AR16" i="3"/>
  <c r="AR68" i="3"/>
  <c r="AR17" i="3"/>
  <c r="AR67" i="3"/>
  <c r="AR18" i="3"/>
  <c r="AR19" i="3"/>
  <c r="AR70" i="3"/>
  <c r="AR20" i="3"/>
  <c r="AR71" i="3"/>
  <c r="AR69" i="3"/>
  <c r="AR21" i="3"/>
  <c r="AR22" i="3"/>
  <c r="AR23" i="3"/>
  <c r="AR72" i="3"/>
  <c r="AR74" i="3"/>
  <c r="AR73" i="3"/>
  <c r="AR24" i="3"/>
  <c r="AR25" i="3"/>
  <c r="AR75" i="3"/>
  <c r="AR77" i="3"/>
  <c r="AR26" i="3"/>
  <c r="AR76" i="3"/>
  <c r="AR27" i="3"/>
  <c r="AR78" i="3"/>
  <c r="AR28" i="3"/>
  <c r="AR79" i="3"/>
  <c r="AR29" i="3"/>
  <c r="AR30" i="3"/>
  <c r="AR80" i="3"/>
  <c r="AR31" i="3"/>
  <c r="AR81" i="3"/>
  <c r="AR32" i="3"/>
  <c r="AR82" i="3"/>
  <c r="AR33" i="3"/>
  <c r="AR83" i="3"/>
  <c r="AR84" i="3"/>
  <c r="AR34" i="3"/>
  <c r="AR85" i="3"/>
  <c r="AR35" i="3"/>
  <c r="AR36" i="3"/>
  <c r="AR37" i="3"/>
  <c r="AR87" i="3"/>
  <c r="AR86" i="3"/>
  <c r="AR38" i="3"/>
  <c r="AR88" i="3"/>
  <c r="AR90" i="3"/>
  <c r="AR89" i="3"/>
  <c r="AR39" i="3"/>
  <c r="AR40" i="3"/>
  <c r="AR92" i="3"/>
  <c r="AR41" i="3"/>
  <c r="AR94" i="3"/>
  <c r="AR42" i="3"/>
  <c r="AR91" i="3"/>
  <c r="AR43" i="3"/>
  <c r="AR93" i="3"/>
  <c r="AR44" i="3"/>
  <c r="AR95" i="3"/>
  <c r="AR97" i="3"/>
  <c r="AR98" i="3"/>
  <c r="AR45" i="3"/>
  <c r="AO48" i="3" l="1"/>
  <c r="AG48" i="3"/>
  <c r="Y48" i="3"/>
  <c r="Q48" i="3"/>
  <c r="I48" i="3"/>
  <c r="AN48" i="3"/>
  <c r="AF48" i="3"/>
  <c r="X48" i="3"/>
  <c r="P48" i="3"/>
  <c r="H48" i="3"/>
  <c r="AM48" i="3"/>
  <c r="AE48" i="3"/>
  <c r="W48" i="3"/>
  <c r="O48" i="3"/>
  <c r="G48" i="3"/>
  <c r="AL48" i="3"/>
  <c r="AD48" i="3"/>
  <c r="V48" i="3"/>
  <c r="N48" i="3"/>
  <c r="F48" i="3"/>
  <c r="AS48" i="3"/>
  <c r="AK48" i="3"/>
  <c r="AC48" i="3"/>
  <c r="U48" i="3"/>
  <c r="M48" i="3"/>
  <c r="E48" i="3"/>
  <c r="AR48" i="3"/>
  <c r="AJ48" i="3"/>
  <c r="AB48" i="3"/>
  <c r="T48" i="3"/>
  <c r="L48" i="3"/>
  <c r="D48" i="3"/>
  <c r="AP48" i="3"/>
  <c r="AH48" i="3"/>
  <c r="Z48" i="3"/>
  <c r="R48" i="3"/>
  <c r="J48" i="3"/>
  <c r="AQ48" i="3"/>
  <c r="AI48" i="3"/>
  <c r="AA48" i="3"/>
  <c r="S48" i="3"/>
  <c r="K48" i="3"/>
  <c r="AR163" i="3"/>
  <c r="AR184" i="3"/>
  <c r="C102" i="3"/>
  <c r="C49" i="3"/>
  <c r="AC127" i="2"/>
  <c r="AB127" i="2"/>
  <c r="AA127" i="2"/>
  <c r="R127" i="2"/>
  <c r="Z127" i="2"/>
  <c r="Q127" i="2"/>
  <c r="O127" i="2"/>
  <c r="P127" i="2"/>
  <c r="E447" i="2"/>
  <c r="E291" i="2"/>
  <c r="Q291" i="2" s="1"/>
  <c r="AS237" i="3"/>
  <c r="AT4" i="3"/>
  <c r="AS157" i="3"/>
  <c r="AS9" i="3"/>
  <c r="AS10" i="3"/>
  <c r="AS12" i="3"/>
  <c r="AS11" i="3"/>
  <c r="AS13" i="3"/>
  <c r="AS62" i="3"/>
  <c r="AS14" i="3"/>
  <c r="AS15" i="3"/>
  <c r="AS63" i="3"/>
  <c r="AS64" i="3"/>
  <c r="AS16" i="3"/>
  <c r="AS66" i="3"/>
  <c r="AS65" i="3"/>
  <c r="AS67" i="3"/>
  <c r="AS17" i="3"/>
  <c r="AS68" i="3"/>
  <c r="AS18" i="3"/>
  <c r="AS19" i="3"/>
  <c r="AS70" i="3"/>
  <c r="AS20" i="3"/>
  <c r="AS71" i="3"/>
  <c r="AS69" i="3"/>
  <c r="AS21" i="3"/>
  <c r="AS22" i="3"/>
  <c r="AS23" i="3"/>
  <c r="AS72" i="3"/>
  <c r="AS73" i="3"/>
  <c r="AS74" i="3"/>
  <c r="AS24" i="3"/>
  <c r="AS75" i="3"/>
  <c r="AS25" i="3"/>
  <c r="AS26" i="3"/>
  <c r="AS77" i="3"/>
  <c r="AS27" i="3"/>
  <c r="AS76" i="3"/>
  <c r="AS28" i="3"/>
  <c r="AS78" i="3"/>
  <c r="AS29" i="3"/>
  <c r="AS79" i="3"/>
  <c r="AS30" i="3"/>
  <c r="AS80" i="3"/>
  <c r="AS31" i="3"/>
  <c r="AS81" i="3"/>
  <c r="AS82" i="3"/>
  <c r="AS32" i="3"/>
  <c r="AS33" i="3"/>
  <c r="AS83" i="3"/>
  <c r="AS84" i="3"/>
  <c r="AS34" i="3"/>
  <c r="AS35" i="3"/>
  <c r="AS85" i="3"/>
  <c r="AS36" i="3"/>
  <c r="AS86" i="3"/>
  <c r="AS87" i="3"/>
  <c r="AS37" i="3"/>
  <c r="AS38" i="3"/>
  <c r="AS90" i="3"/>
  <c r="AS89" i="3"/>
  <c r="AS88" i="3"/>
  <c r="AS39" i="3"/>
  <c r="AS40" i="3"/>
  <c r="AS92" i="3"/>
  <c r="AS94" i="3"/>
  <c r="AS41" i="3"/>
  <c r="AS91" i="3"/>
  <c r="AS42" i="3"/>
  <c r="AS93" i="3"/>
  <c r="AS43" i="3"/>
  <c r="AS44" i="3"/>
  <c r="AS97" i="3"/>
  <c r="AS95" i="3"/>
  <c r="AS45" i="3"/>
  <c r="AS98" i="3"/>
  <c r="AS96" i="3"/>
  <c r="AS99" i="3"/>
  <c r="AS46" i="3"/>
  <c r="AT101" i="3"/>
  <c r="AL101" i="3"/>
  <c r="AD101" i="3"/>
  <c r="V101" i="3"/>
  <c r="N101" i="3"/>
  <c r="F101" i="3"/>
  <c r="AS101" i="3"/>
  <c r="AK101" i="3"/>
  <c r="AC101" i="3"/>
  <c r="U101" i="3"/>
  <c r="M101" i="3"/>
  <c r="E101" i="3"/>
  <c r="AR101" i="3"/>
  <c r="AJ101" i="3"/>
  <c r="AB101" i="3"/>
  <c r="T101" i="3"/>
  <c r="L101" i="3"/>
  <c r="D101" i="3"/>
  <c r="AQ101" i="3"/>
  <c r="AI101" i="3"/>
  <c r="AA101" i="3"/>
  <c r="S101" i="3"/>
  <c r="K101" i="3"/>
  <c r="AP101" i="3"/>
  <c r="AH101" i="3"/>
  <c r="Z101" i="3"/>
  <c r="R101" i="3"/>
  <c r="J101" i="3"/>
  <c r="AO101" i="3"/>
  <c r="AG101" i="3"/>
  <c r="Y101" i="3"/>
  <c r="Q101" i="3"/>
  <c r="I101" i="3"/>
  <c r="AN101" i="3"/>
  <c r="AF101" i="3"/>
  <c r="X101" i="3"/>
  <c r="P101" i="3"/>
  <c r="H101" i="3"/>
  <c r="AM101" i="3"/>
  <c r="AE101" i="3"/>
  <c r="W101" i="3"/>
  <c r="O101" i="3"/>
  <c r="G101" i="3"/>
  <c r="AS100" i="3"/>
  <c r="I447" i="2"/>
  <c r="I291" i="2"/>
  <c r="U291" i="2" s="1"/>
  <c r="AS47" i="3"/>
  <c r="AF127" i="2"/>
  <c r="U127" i="2"/>
  <c r="S127" i="2"/>
  <c r="AD127" i="2"/>
  <c r="G291" i="2"/>
  <c r="S291" i="2" s="1"/>
  <c r="G447" i="2"/>
  <c r="K291" i="2"/>
  <c r="L291" i="2"/>
  <c r="W291" i="2" s="1"/>
  <c r="L447" i="2"/>
  <c r="H291" i="2"/>
  <c r="T291" i="2" s="1"/>
  <c r="H447" i="2"/>
  <c r="F291" i="2"/>
  <c r="R291" i="2" s="1"/>
  <c r="F447" i="2"/>
  <c r="V127" i="2"/>
  <c r="X127" i="2"/>
  <c r="AG127" i="2"/>
  <c r="T127" i="2"/>
  <c r="AE127" i="2"/>
  <c r="J447" i="2"/>
  <c r="J291" i="2"/>
  <c r="V291" i="2" s="1"/>
  <c r="AH127" i="2"/>
  <c r="W127" i="2"/>
  <c r="AQ211" i="3"/>
  <c r="AQ190" i="3"/>
  <c r="D291" i="2"/>
  <c r="P291" i="2" s="1"/>
  <c r="D447" i="2"/>
  <c r="AP238" i="3"/>
  <c r="AP217" i="3"/>
  <c r="B103" i="3"/>
  <c r="B50" i="3"/>
  <c r="C133" i="2"/>
  <c r="D130" i="2"/>
  <c r="C291" i="2"/>
  <c r="O291" i="2" s="1"/>
  <c r="C447" i="2"/>
  <c r="L294" i="2" l="1"/>
  <c r="W294" i="2" s="1"/>
  <c r="K294" i="2"/>
  <c r="L450" i="2"/>
  <c r="G294" i="2"/>
  <c r="S294" i="2" s="1"/>
  <c r="G450" i="2"/>
  <c r="AQ49" i="3"/>
  <c r="AI49" i="3"/>
  <c r="AA49" i="3"/>
  <c r="S49" i="3"/>
  <c r="K49" i="3"/>
  <c r="AP49" i="3"/>
  <c r="AH49" i="3"/>
  <c r="Z49" i="3"/>
  <c r="R49" i="3"/>
  <c r="J49" i="3"/>
  <c r="AO49" i="3"/>
  <c r="AG49" i="3"/>
  <c r="Y49" i="3"/>
  <c r="Q49" i="3"/>
  <c r="I49" i="3"/>
  <c r="AN49" i="3"/>
  <c r="AF49" i="3"/>
  <c r="X49" i="3"/>
  <c r="P49" i="3"/>
  <c r="H49" i="3"/>
  <c r="AM49" i="3"/>
  <c r="AE49" i="3"/>
  <c r="W49" i="3"/>
  <c r="O49" i="3"/>
  <c r="G49" i="3"/>
  <c r="AT49" i="3"/>
  <c r="AL49" i="3"/>
  <c r="AD49" i="3"/>
  <c r="V49" i="3"/>
  <c r="N49" i="3"/>
  <c r="F49" i="3"/>
  <c r="AR49" i="3"/>
  <c r="AJ49" i="3"/>
  <c r="AB49" i="3"/>
  <c r="T49" i="3"/>
  <c r="L49" i="3"/>
  <c r="D49" i="3"/>
  <c r="AS49" i="3"/>
  <c r="AK49" i="3"/>
  <c r="AC49" i="3"/>
  <c r="U49" i="3"/>
  <c r="M49" i="3"/>
  <c r="E49" i="3"/>
  <c r="H294" i="2"/>
  <c r="T294" i="2" s="1"/>
  <c r="H450" i="2"/>
  <c r="C103" i="3"/>
  <c r="C50" i="3"/>
  <c r="AC130" i="2"/>
  <c r="AB130" i="2"/>
  <c r="AA130" i="2"/>
  <c r="R130" i="2"/>
  <c r="Z130" i="2"/>
  <c r="Q130" i="2"/>
  <c r="O130" i="2"/>
  <c r="P130" i="2"/>
  <c r="I450" i="2"/>
  <c r="I294" i="2"/>
  <c r="U294" i="2" s="1"/>
  <c r="E294" i="2"/>
  <c r="Q294" i="2" s="1"/>
  <c r="E450" i="2"/>
  <c r="AR211" i="3"/>
  <c r="AR190" i="3"/>
  <c r="AS163" i="3"/>
  <c r="AS184" i="3"/>
  <c r="AT237" i="3"/>
  <c r="AU4" i="3"/>
  <c r="AT157" i="3"/>
  <c r="AT9" i="3"/>
  <c r="AT10" i="3"/>
  <c r="AT12" i="3"/>
  <c r="AT11" i="3"/>
  <c r="AT13" i="3"/>
  <c r="AT62" i="3"/>
  <c r="AT14" i="3"/>
  <c r="AT15" i="3"/>
  <c r="AT63" i="3"/>
  <c r="AT64" i="3"/>
  <c r="AT16" i="3"/>
  <c r="AT66" i="3"/>
  <c r="AT65" i="3"/>
  <c r="AT17" i="3"/>
  <c r="AT68" i="3"/>
  <c r="AT67" i="3"/>
  <c r="AT18" i="3"/>
  <c r="AT19" i="3"/>
  <c r="AT69" i="3"/>
  <c r="AT70" i="3"/>
  <c r="AT71" i="3"/>
  <c r="AT20" i="3"/>
  <c r="AT21" i="3"/>
  <c r="AT22" i="3"/>
  <c r="AT23" i="3"/>
  <c r="AT72" i="3"/>
  <c r="AT24" i="3"/>
  <c r="AT73" i="3"/>
  <c r="AT74" i="3"/>
  <c r="AT25" i="3"/>
  <c r="AT75" i="3"/>
  <c r="AT77" i="3"/>
  <c r="AT26" i="3"/>
  <c r="AT76" i="3"/>
  <c r="AT27" i="3"/>
  <c r="AT78" i="3"/>
  <c r="AT28" i="3"/>
  <c r="AT29" i="3"/>
  <c r="AT79" i="3"/>
  <c r="AT30" i="3"/>
  <c r="AT81" i="3"/>
  <c r="AT80" i="3"/>
  <c r="AT31" i="3"/>
  <c r="AT82" i="3"/>
  <c r="AT32" i="3"/>
  <c r="AT83" i="3"/>
  <c r="AT33" i="3"/>
  <c r="AT84" i="3"/>
  <c r="AT34" i="3"/>
  <c r="AT35" i="3"/>
  <c r="AT85" i="3"/>
  <c r="AT36" i="3"/>
  <c r="AT37" i="3"/>
  <c r="AT86" i="3"/>
  <c r="AT87" i="3"/>
  <c r="AT38" i="3"/>
  <c r="AT89" i="3"/>
  <c r="AT39" i="3"/>
  <c r="AT90" i="3"/>
  <c r="AT88" i="3"/>
  <c r="AT40" i="3"/>
  <c r="AT92" i="3"/>
  <c r="AT41" i="3"/>
  <c r="AT94" i="3"/>
  <c r="AT42" i="3"/>
  <c r="AT91" i="3"/>
  <c r="AT93" i="3"/>
  <c r="AT43" i="3"/>
  <c r="AT97" i="3"/>
  <c r="AT95" i="3"/>
  <c r="AT44" i="3"/>
  <c r="AT98" i="3"/>
  <c r="AT45" i="3"/>
  <c r="AT99" i="3"/>
  <c r="AT96" i="3"/>
  <c r="AT46" i="3"/>
  <c r="AT47" i="3"/>
  <c r="AT100" i="3"/>
  <c r="F294" i="2"/>
  <c r="R294" i="2" s="1"/>
  <c r="F450" i="2"/>
  <c r="S130" i="2"/>
  <c r="AD130" i="2"/>
  <c r="J450" i="2"/>
  <c r="J294" i="2"/>
  <c r="V294" i="2" s="1"/>
  <c r="D450" i="2"/>
  <c r="D294" i="2"/>
  <c r="P294" i="2" s="1"/>
  <c r="AT48" i="3"/>
  <c r="AF130" i="2"/>
  <c r="U130" i="2"/>
  <c r="V130" i="2"/>
  <c r="X130" i="2"/>
  <c r="AG130" i="2"/>
  <c r="T130" i="2"/>
  <c r="AE130" i="2"/>
  <c r="AH130" i="2"/>
  <c r="W130" i="2"/>
  <c r="AQ238" i="3"/>
  <c r="AQ217" i="3"/>
  <c r="B104" i="3"/>
  <c r="B51" i="3"/>
  <c r="C136" i="2"/>
  <c r="D133" i="2"/>
  <c r="AN102" i="3"/>
  <c r="AF102" i="3"/>
  <c r="X102" i="3"/>
  <c r="P102" i="3"/>
  <c r="H102" i="3"/>
  <c r="AU102" i="3"/>
  <c r="AM102" i="3"/>
  <c r="AE102" i="3"/>
  <c r="W102" i="3"/>
  <c r="O102" i="3"/>
  <c r="G102" i="3"/>
  <c r="AT102" i="3"/>
  <c r="AL102" i="3"/>
  <c r="AD102" i="3"/>
  <c r="V102" i="3"/>
  <c r="N102" i="3"/>
  <c r="F102" i="3"/>
  <c r="AS102" i="3"/>
  <c r="AK102" i="3"/>
  <c r="AC102" i="3"/>
  <c r="U102" i="3"/>
  <c r="M102" i="3"/>
  <c r="E102" i="3"/>
  <c r="AR102" i="3"/>
  <c r="AJ102" i="3"/>
  <c r="AB102" i="3"/>
  <c r="T102" i="3"/>
  <c r="L102" i="3"/>
  <c r="D102" i="3"/>
  <c r="AQ102" i="3"/>
  <c r="AI102" i="3"/>
  <c r="AA102" i="3"/>
  <c r="S102" i="3"/>
  <c r="K102" i="3"/>
  <c r="AP102" i="3"/>
  <c r="AH102" i="3"/>
  <c r="Z102" i="3"/>
  <c r="R102" i="3"/>
  <c r="J102" i="3"/>
  <c r="AO102" i="3"/>
  <c r="AG102" i="3"/>
  <c r="Y102" i="3"/>
  <c r="Q102" i="3"/>
  <c r="I102" i="3"/>
  <c r="C294" i="2"/>
  <c r="O294" i="2" s="1"/>
  <c r="C450" i="2"/>
  <c r="AF133" i="2" l="1"/>
  <c r="U133" i="2"/>
  <c r="S133" i="2"/>
  <c r="AD133" i="2"/>
  <c r="AP103" i="3"/>
  <c r="AH103" i="3"/>
  <c r="Z103" i="3"/>
  <c r="R103" i="3"/>
  <c r="J103" i="3"/>
  <c r="AO103" i="3"/>
  <c r="AG103" i="3"/>
  <c r="Y103" i="3"/>
  <c r="Q103" i="3"/>
  <c r="I103" i="3"/>
  <c r="AN103" i="3"/>
  <c r="AF103" i="3"/>
  <c r="X103" i="3"/>
  <c r="P103" i="3"/>
  <c r="H103" i="3"/>
  <c r="AU103" i="3"/>
  <c r="AM103" i="3"/>
  <c r="AE103" i="3"/>
  <c r="W103" i="3"/>
  <c r="O103" i="3"/>
  <c r="G103" i="3"/>
  <c r="AT103" i="3"/>
  <c r="AL103" i="3"/>
  <c r="AD103" i="3"/>
  <c r="V103" i="3"/>
  <c r="N103" i="3"/>
  <c r="F103" i="3"/>
  <c r="AS103" i="3"/>
  <c r="AK103" i="3"/>
  <c r="AC103" i="3"/>
  <c r="U103" i="3"/>
  <c r="M103" i="3"/>
  <c r="E103" i="3"/>
  <c r="AR103" i="3"/>
  <c r="AJ103" i="3"/>
  <c r="AB103" i="3"/>
  <c r="T103" i="3"/>
  <c r="L103" i="3"/>
  <c r="D103" i="3"/>
  <c r="AQ103" i="3"/>
  <c r="AI103" i="3"/>
  <c r="AA103" i="3"/>
  <c r="S103" i="3"/>
  <c r="K103" i="3"/>
  <c r="AU237" i="3"/>
  <c r="AU3" i="3"/>
  <c r="AU157" i="3"/>
  <c r="AU9" i="3"/>
  <c r="AU10" i="3"/>
  <c r="AU12" i="3"/>
  <c r="AU11" i="3"/>
  <c r="AU13" i="3"/>
  <c r="M30" i="1"/>
  <c r="M29" i="1"/>
  <c r="Q30" i="1"/>
  <c r="AU62" i="3"/>
  <c r="AU14" i="3"/>
  <c r="AU15" i="3"/>
  <c r="AU63" i="3"/>
  <c r="AU66" i="3"/>
  <c r="AU65" i="3"/>
  <c r="AU16" i="3"/>
  <c r="Q29" i="1"/>
  <c r="L29" i="1"/>
  <c r="AU64" i="3"/>
  <c r="AU67" i="3"/>
  <c r="AU17" i="3"/>
  <c r="AU68" i="3"/>
  <c r="AU18" i="3"/>
  <c r="AU19" i="3"/>
  <c r="AU20" i="3"/>
  <c r="AU69" i="3"/>
  <c r="AU71" i="3"/>
  <c r="AU70" i="3"/>
  <c r="AU21" i="3"/>
  <c r="AU22" i="3"/>
  <c r="AU23" i="3"/>
  <c r="AU72" i="3"/>
  <c r="AU73" i="3"/>
  <c r="AU24" i="3"/>
  <c r="AU74" i="3"/>
  <c r="AU25" i="3"/>
  <c r="AU75" i="3"/>
  <c r="AU77" i="3"/>
  <c r="AU26" i="3"/>
  <c r="AU27" i="3"/>
  <c r="AU76" i="3"/>
  <c r="AU28" i="3"/>
  <c r="AU78" i="3"/>
  <c r="AU29" i="3"/>
  <c r="AU79" i="3"/>
  <c r="AU30" i="3"/>
  <c r="AU81" i="3"/>
  <c r="AU80" i="3"/>
  <c r="AU31" i="3"/>
  <c r="AU32" i="3"/>
  <c r="AU82" i="3"/>
  <c r="AU83" i="3"/>
  <c r="AU33" i="3"/>
  <c r="AU34" i="3"/>
  <c r="AU84" i="3"/>
  <c r="AU35" i="3"/>
  <c r="AU85" i="3"/>
  <c r="AU36" i="3"/>
  <c r="AU87" i="3"/>
  <c r="AU37" i="3"/>
  <c r="AU86" i="3"/>
  <c r="AU38" i="3"/>
  <c r="AU88" i="3"/>
  <c r="AU89" i="3"/>
  <c r="AU39" i="3"/>
  <c r="AU90" i="3"/>
  <c r="AU40" i="3"/>
  <c r="AU41" i="3"/>
  <c r="AU94" i="3"/>
  <c r="AU92" i="3"/>
  <c r="AU42" i="3"/>
  <c r="AU91" i="3"/>
  <c r="AU43" i="3"/>
  <c r="AU93" i="3"/>
  <c r="AU97" i="3"/>
  <c r="AU44" i="3"/>
  <c r="AU95" i="3"/>
  <c r="AU45" i="3"/>
  <c r="AU98" i="3"/>
  <c r="AU96" i="3"/>
  <c r="AU99" i="3"/>
  <c r="AU46" i="3"/>
  <c r="AU47" i="3"/>
  <c r="AU100" i="3"/>
  <c r="AU101" i="3"/>
  <c r="AU48" i="3"/>
  <c r="J453" i="2"/>
  <c r="J297" i="2"/>
  <c r="V297" i="2" s="1"/>
  <c r="AS190" i="3"/>
  <c r="AS211" i="3"/>
  <c r="V133" i="2"/>
  <c r="X133" i="2"/>
  <c r="AG133" i="2"/>
  <c r="I453" i="2"/>
  <c r="I297" i="2"/>
  <c r="U297" i="2" s="1"/>
  <c r="D297" i="2"/>
  <c r="P297" i="2" s="1"/>
  <c r="D453" i="2"/>
  <c r="C453" i="2"/>
  <c r="C297" i="2"/>
  <c r="O297" i="2" s="1"/>
  <c r="L453" i="2"/>
  <c r="L297" i="2"/>
  <c r="W297" i="2" s="1"/>
  <c r="K297" i="2"/>
  <c r="T133" i="2"/>
  <c r="AE133" i="2"/>
  <c r="B105" i="3"/>
  <c r="B52" i="3"/>
  <c r="C139" i="2"/>
  <c r="D136" i="2"/>
  <c r="AR238" i="3"/>
  <c r="AR217" i="3"/>
  <c r="AS50" i="3"/>
  <c r="AK50" i="3"/>
  <c r="AC50" i="3"/>
  <c r="U50" i="3"/>
  <c r="M50" i="3"/>
  <c r="E50" i="3"/>
  <c r="AR50" i="3"/>
  <c r="AJ50" i="3"/>
  <c r="AB50" i="3"/>
  <c r="T50" i="3"/>
  <c r="L50" i="3"/>
  <c r="D50" i="3"/>
  <c r="AQ50" i="3"/>
  <c r="AI50" i="3"/>
  <c r="AA50" i="3"/>
  <c r="S50" i="3"/>
  <c r="K50" i="3"/>
  <c r="AP50" i="3"/>
  <c r="AH50" i="3"/>
  <c r="Z50" i="3"/>
  <c r="R50" i="3"/>
  <c r="J50" i="3"/>
  <c r="AO50" i="3"/>
  <c r="AG50" i="3"/>
  <c r="Y50" i="3"/>
  <c r="Q50" i="3"/>
  <c r="I50" i="3"/>
  <c r="AN50" i="3"/>
  <c r="AF50" i="3"/>
  <c r="X50" i="3"/>
  <c r="P50" i="3"/>
  <c r="H50" i="3"/>
  <c r="AT50" i="3"/>
  <c r="AL50" i="3"/>
  <c r="AD50" i="3"/>
  <c r="V50" i="3"/>
  <c r="N50" i="3"/>
  <c r="F50" i="3"/>
  <c r="O50" i="3"/>
  <c r="G50" i="3"/>
  <c r="AU50" i="3"/>
  <c r="AM50" i="3"/>
  <c r="AE50" i="3"/>
  <c r="W50" i="3"/>
  <c r="AH133" i="2"/>
  <c r="W133" i="2"/>
  <c r="H453" i="2"/>
  <c r="H297" i="2"/>
  <c r="T297" i="2" s="1"/>
  <c r="E297" i="2"/>
  <c r="Q297" i="2" s="1"/>
  <c r="E453" i="2"/>
  <c r="AC133" i="2"/>
  <c r="AB133" i="2"/>
  <c r="AA133" i="2"/>
  <c r="R133" i="2"/>
  <c r="Z133" i="2"/>
  <c r="Q133" i="2"/>
  <c r="O133" i="2"/>
  <c r="P133" i="2"/>
  <c r="G297" i="2"/>
  <c r="S297" i="2" s="1"/>
  <c r="G453" i="2"/>
  <c r="AU49" i="3"/>
  <c r="C104" i="3"/>
  <c r="C51" i="3"/>
  <c r="AT163" i="3"/>
  <c r="AT184" i="3"/>
  <c r="F297" i="2"/>
  <c r="R297" i="2" s="1"/>
  <c r="F453" i="2"/>
  <c r="Q31" i="1" l="1"/>
  <c r="E300" i="2"/>
  <c r="Q300" i="2" s="1"/>
  <c r="E456" i="2"/>
  <c r="F300" i="2"/>
  <c r="R300" i="2" s="1"/>
  <c r="F456" i="2"/>
  <c r="AR104" i="3"/>
  <c r="AJ104" i="3"/>
  <c r="AB104" i="3"/>
  <c r="T104" i="3"/>
  <c r="L104" i="3"/>
  <c r="D104" i="3"/>
  <c r="AQ104" i="3"/>
  <c r="AI104" i="3"/>
  <c r="AA104" i="3"/>
  <c r="S104" i="3"/>
  <c r="K104" i="3"/>
  <c r="AP104" i="3"/>
  <c r="AH104" i="3"/>
  <c r="Z104" i="3"/>
  <c r="R104" i="3"/>
  <c r="J104" i="3"/>
  <c r="AO104" i="3"/>
  <c r="AG104" i="3"/>
  <c r="Y104" i="3"/>
  <c r="Q104" i="3"/>
  <c r="I104" i="3"/>
  <c r="AN104" i="3"/>
  <c r="AF104" i="3"/>
  <c r="X104" i="3"/>
  <c r="P104" i="3"/>
  <c r="H104" i="3"/>
  <c r="AU104" i="3"/>
  <c r="AM104" i="3"/>
  <c r="AE104" i="3"/>
  <c r="W104" i="3"/>
  <c r="O104" i="3"/>
  <c r="G104" i="3"/>
  <c r="AT104" i="3"/>
  <c r="AL104" i="3"/>
  <c r="AD104" i="3"/>
  <c r="V104" i="3"/>
  <c r="N104" i="3"/>
  <c r="F104" i="3"/>
  <c r="AS104" i="3"/>
  <c r="AK104" i="3"/>
  <c r="AC104" i="3"/>
  <c r="U104" i="3"/>
  <c r="M104" i="3"/>
  <c r="E104" i="3"/>
  <c r="J456" i="2"/>
  <c r="J300" i="2"/>
  <c r="V300" i="2" s="1"/>
  <c r="AT211" i="3"/>
  <c r="AT190" i="3"/>
  <c r="L456" i="2"/>
  <c r="L300" i="2"/>
  <c r="W300" i="2" s="1"/>
  <c r="K300" i="2"/>
  <c r="C105" i="3"/>
  <c r="C52" i="3"/>
  <c r="AC136" i="2"/>
  <c r="AB136" i="2"/>
  <c r="AA136" i="2"/>
  <c r="R136" i="2"/>
  <c r="Z136" i="2"/>
  <c r="Q136" i="2"/>
  <c r="O136" i="2"/>
  <c r="P136" i="2"/>
  <c r="AS217" i="3"/>
  <c r="AS238" i="3"/>
  <c r="D300" i="2"/>
  <c r="P300" i="2" s="1"/>
  <c r="D456" i="2"/>
  <c r="AF136" i="2"/>
  <c r="U136" i="2"/>
  <c r="S136" i="2"/>
  <c r="AD136" i="2"/>
  <c r="H456" i="2"/>
  <c r="H300" i="2"/>
  <c r="T300" i="2" s="1"/>
  <c r="V136" i="2"/>
  <c r="X136" i="2"/>
  <c r="AG136" i="2"/>
  <c r="Q32" i="1"/>
  <c r="AU184" i="3"/>
  <c r="AU163" i="3"/>
  <c r="G456" i="2"/>
  <c r="G300" i="2"/>
  <c r="S300" i="2" s="1"/>
  <c r="C300" i="2"/>
  <c r="O300" i="2" s="1"/>
  <c r="C456" i="2"/>
  <c r="T136" i="2"/>
  <c r="AE136" i="2"/>
  <c r="N29" i="1"/>
  <c r="M31" i="1"/>
  <c r="I456" i="2"/>
  <c r="I300" i="2"/>
  <c r="U300" i="2" s="1"/>
  <c r="AU51" i="3"/>
  <c r="AM51" i="3"/>
  <c r="AE51" i="3"/>
  <c r="W51" i="3"/>
  <c r="O51" i="3"/>
  <c r="G51" i="3"/>
  <c r="AT51" i="3"/>
  <c r="AL51" i="3"/>
  <c r="AD51" i="3"/>
  <c r="V51" i="3"/>
  <c r="N51" i="3"/>
  <c r="F51" i="3"/>
  <c r="AS51" i="3"/>
  <c r="AK51" i="3"/>
  <c r="AC51" i="3"/>
  <c r="U51" i="3"/>
  <c r="M51" i="3"/>
  <c r="E51" i="3"/>
  <c r="AR51" i="3"/>
  <c r="AJ51" i="3"/>
  <c r="AB51" i="3"/>
  <c r="T51" i="3"/>
  <c r="L51" i="3"/>
  <c r="D51" i="3"/>
  <c r="AQ51" i="3"/>
  <c r="AI51" i="3"/>
  <c r="AA51" i="3"/>
  <c r="S51" i="3"/>
  <c r="K51" i="3"/>
  <c r="AP51" i="3"/>
  <c r="AH51" i="3"/>
  <c r="Z51" i="3"/>
  <c r="R51" i="3"/>
  <c r="J51" i="3"/>
  <c r="AN51" i="3"/>
  <c r="AF51" i="3"/>
  <c r="X51" i="3"/>
  <c r="P51" i="3"/>
  <c r="H51" i="3"/>
  <c r="AG51" i="3"/>
  <c r="Y51" i="3"/>
  <c r="Q51" i="3"/>
  <c r="I51" i="3"/>
  <c r="AO51" i="3"/>
  <c r="AH136" i="2"/>
  <c r="W136" i="2"/>
  <c r="B106" i="3"/>
  <c r="B53" i="3"/>
  <c r="C142" i="2"/>
  <c r="D139" i="2"/>
  <c r="AT105" i="3" l="1"/>
  <c r="AL105" i="3"/>
  <c r="AD105" i="3"/>
  <c r="V105" i="3"/>
  <c r="N105" i="3"/>
  <c r="F105" i="3"/>
  <c r="AS105" i="3"/>
  <c r="AK105" i="3"/>
  <c r="AC105" i="3"/>
  <c r="U105" i="3"/>
  <c r="M105" i="3"/>
  <c r="E105" i="3"/>
  <c r="AR105" i="3"/>
  <c r="AJ105" i="3"/>
  <c r="AB105" i="3"/>
  <c r="T105" i="3"/>
  <c r="L105" i="3"/>
  <c r="D105" i="3"/>
  <c r="AQ105" i="3"/>
  <c r="AI105" i="3"/>
  <c r="AA105" i="3"/>
  <c r="S105" i="3"/>
  <c r="K105" i="3"/>
  <c r="AP105" i="3"/>
  <c r="AH105" i="3"/>
  <c r="Z105" i="3"/>
  <c r="R105" i="3"/>
  <c r="J105" i="3"/>
  <c r="AO105" i="3"/>
  <c r="AG105" i="3"/>
  <c r="Y105" i="3"/>
  <c r="Q105" i="3"/>
  <c r="I105" i="3"/>
  <c r="AN105" i="3"/>
  <c r="AF105" i="3"/>
  <c r="X105" i="3"/>
  <c r="P105" i="3"/>
  <c r="H105" i="3"/>
  <c r="AU105" i="3"/>
  <c r="AM105" i="3"/>
  <c r="AE105" i="3"/>
  <c r="W105" i="3"/>
  <c r="O105" i="3"/>
  <c r="G105" i="3"/>
  <c r="S139" i="2"/>
  <c r="AD139" i="2"/>
  <c r="T139" i="2"/>
  <c r="AE139" i="2"/>
  <c r="AH139" i="2"/>
  <c r="W139" i="2"/>
  <c r="L459" i="2"/>
  <c r="L303" i="2"/>
  <c r="W303" i="2" s="1"/>
  <c r="K303" i="2"/>
  <c r="B107" i="3"/>
  <c r="B54" i="3"/>
  <c r="C145" i="2"/>
  <c r="D142" i="2"/>
  <c r="AC139" i="2"/>
  <c r="AB139" i="2"/>
  <c r="AA139" i="2"/>
  <c r="R139" i="2"/>
  <c r="Z139" i="2"/>
  <c r="Q139" i="2"/>
  <c r="O139" i="2"/>
  <c r="P139" i="2"/>
  <c r="F459" i="2"/>
  <c r="F303" i="2"/>
  <c r="R303" i="2" s="1"/>
  <c r="C106" i="3"/>
  <c r="C53" i="3"/>
  <c r="AF139" i="2"/>
  <c r="U139" i="2"/>
  <c r="M32" i="1"/>
  <c r="J459" i="2"/>
  <c r="J303" i="2"/>
  <c r="V303" i="2" s="1"/>
  <c r="AT238" i="3"/>
  <c r="AT217" i="3"/>
  <c r="G303" i="2"/>
  <c r="S303" i="2" s="1"/>
  <c r="G459" i="2"/>
  <c r="D303" i="2"/>
  <c r="P303" i="2" s="1"/>
  <c r="D459" i="2"/>
  <c r="AU211" i="3"/>
  <c r="AU190" i="3"/>
  <c r="I459" i="2"/>
  <c r="I303" i="2"/>
  <c r="U303" i="2" s="1"/>
  <c r="C303" i="2"/>
  <c r="O303" i="2" s="1"/>
  <c r="C459" i="2"/>
  <c r="V139" i="2"/>
  <c r="X139" i="2"/>
  <c r="AG139" i="2"/>
  <c r="AO52" i="3"/>
  <c r="AG52" i="3"/>
  <c r="Y52" i="3"/>
  <c r="Q52" i="3"/>
  <c r="I52" i="3"/>
  <c r="AN52" i="3"/>
  <c r="AF52" i="3"/>
  <c r="X52" i="3"/>
  <c r="P52" i="3"/>
  <c r="H52" i="3"/>
  <c r="AU52" i="3"/>
  <c r="AM52" i="3"/>
  <c r="AE52" i="3"/>
  <c r="W52" i="3"/>
  <c r="O52" i="3"/>
  <c r="G52" i="3"/>
  <c r="AT52" i="3"/>
  <c r="AL52" i="3"/>
  <c r="AD52" i="3"/>
  <c r="V52" i="3"/>
  <c r="N52" i="3"/>
  <c r="F52" i="3"/>
  <c r="AS52" i="3"/>
  <c r="AK52" i="3"/>
  <c r="AC52" i="3"/>
  <c r="U52" i="3"/>
  <c r="M52" i="3"/>
  <c r="E52" i="3"/>
  <c r="AR52" i="3"/>
  <c r="AJ52" i="3"/>
  <c r="AB52" i="3"/>
  <c r="T52" i="3"/>
  <c r="L52" i="3"/>
  <c r="D52" i="3"/>
  <c r="AP52" i="3"/>
  <c r="AH52" i="3"/>
  <c r="Z52" i="3"/>
  <c r="R52" i="3"/>
  <c r="J52" i="3"/>
  <c r="AQ52" i="3"/>
  <c r="AI52" i="3"/>
  <c r="AA52" i="3"/>
  <c r="S52" i="3"/>
  <c r="K52" i="3"/>
  <c r="H459" i="2"/>
  <c r="H303" i="2"/>
  <c r="T303" i="2" s="1"/>
  <c r="E303" i="2"/>
  <c r="Q303" i="2" s="1"/>
  <c r="E459" i="2"/>
  <c r="I462" i="2" l="1"/>
  <c r="I306" i="2"/>
  <c r="U306" i="2" s="1"/>
  <c r="C306" i="2"/>
  <c r="O306" i="2" s="1"/>
  <c r="C462" i="2"/>
  <c r="AC142" i="2"/>
  <c r="AB142" i="2"/>
  <c r="AA142" i="2"/>
  <c r="R142" i="2"/>
  <c r="Z142" i="2"/>
  <c r="Q142" i="2"/>
  <c r="O142" i="2"/>
  <c r="P142" i="2"/>
  <c r="H462" i="2"/>
  <c r="H306" i="2"/>
  <c r="T306" i="2" s="1"/>
  <c r="AQ53" i="3"/>
  <c r="AI53" i="3"/>
  <c r="AA53" i="3"/>
  <c r="S53" i="3"/>
  <c r="K53" i="3"/>
  <c r="AP53" i="3"/>
  <c r="AH53" i="3"/>
  <c r="Z53" i="3"/>
  <c r="R53" i="3"/>
  <c r="J53" i="3"/>
  <c r="AO53" i="3"/>
  <c r="AG53" i="3"/>
  <c r="Y53" i="3"/>
  <c r="Q53" i="3"/>
  <c r="I53" i="3"/>
  <c r="AN53" i="3"/>
  <c r="AF53" i="3"/>
  <c r="X53" i="3"/>
  <c r="P53" i="3"/>
  <c r="H53" i="3"/>
  <c r="AU53" i="3"/>
  <c r="AM53" i="3"/>
  <c r="AE53" i="3"/>
  <c r="W53" i="3"/>
  <c r="O53" i="3"/>
  <c r="G53" i="3"/>
  <c r="AT53" i="3"/>
  <c r="AL53" i="3"/>
  <c r="AD53" i="3"/>
  <c r="V53" i="3"/>
  <c r="N53" i="3"/>
  <c r="F53" i="3"/>
  <c r="AR53" i="3"/>
  <c r="AJ53" i="3"/>
  <c r="AB53" i="3"/>
  <c r="T53" i="3"/>
  <c r="L53" i="3"/>
  <c r="D53" i="3"/>
  <c r="E53" i="3"/>
  <c r="AS53" i="3"/>
  <c r="AK53" i="3"/>
  <c r="AC53" i="3"/>
  <c r="U53" i="3"/>
  <c r="M53" i="3"/>
  <c r="C107" i="3"/>
  <c r="C54" i="3"/>
  <c r="AU238" i="3"/>
  <c r="AU217" i="3"/>
  <c r="E306" i="2"/>
  <c r="Q306" i="2" s="1"/>
  <c r="E462" i="2"/>
  <c r="AF142" i="2"/>
  <c r="U142" i="2"/>
  <c r="S142" i="2"/>
  <c r="AD142" i="2"/>
  <c r="J462" i="2"/>
  <c r="J306" i="2"/>
  <c r="V306" i="2" s="1"/>
  <c r="V142" i="2"/>
  <c r="X142" i="2"/>
  <c r="AG142" i="2"/>
  <c r="AN106" i="3"/>
  <c r="AF106" i="3"/>
  <c r="X106" i="3"/>
  <c r="P106" i="3"/>
  <c r="H106" i="3"/>
  <c r="AU106" i="3"/>
  <c r="AM106" i="3"/>
  <c r="AE106" i="3"/>
  <c r="W106" i="3"/>
  <c r="O106" i="3"/>
  <c r="G106" i="3"/>
  <c r="AT106" i="3"/>
  <c r="AL106" i="3"/>
  <c r="AD106" i="3"/>
  <c r="V106" i="3"/>
  <c r="N106" i="3"/>
  <c r="F106" i="3"/>
  <c r="AS106" i="3"/>
  <c r="AK106" i="3"/>
  <c r="AC106" i="3"/>
  <c r="U106" i="3"/>
  <c r="M106" i="3"/>
  <c r="E106" i="3"/>
  <c r="AR106" i="3"/>
  <c r="AJ106" i="3"/>
  <c r="AB106" i="3"/>
  <c r="T106" i="3"/>
  <c r="L106" i="3"/>
  <c r="D106" i="3"/>
  <c r="AQ106" i="3"/>
  <c r="AI106" i="3"/>
  <c r="AA106" i="3"/>
  <c r="S106" i="3"/>
  <c r="K106" i="3"/>
  <c r="AP106" i="3"/>
  <c r="AH106" i="3"/>
  <c r="Z106" i="3"/>
  <c r="R106" i="3"/>
  <c r="J106" i="3"/>
  <c r="AO106" i="3"/>
  <c r="AG106" i="3"/>
  <c r="Y106" i="3"/>
  <c r="Q106" i="3"/>
  <c r="I106" i="3"/>
  <c r="G462" i="2"/>
  <c r="G306" i="2"/>
  <c r="S306" i="2" s="1"/>
  <c r="F462" i="2"/>
  <c r="F306" i="2"/>
  <c r="R306" i="2" s="1"/>
  <c r="T142" i="2"/>
  <c r="AE142" i="2"/>
  <c r="L306" i="2"/>
  <c r="W306" i="2" s="1"/>
  <c r="L462" i="2"/>
  <c r="K306" i="2"/>
  <c r="AH142" i="2"/>
  <c r="W142" i="2"/>
  <c r="B108" i="3"/>
  <c r="B55" i="3"/>
  <c r="C148" i="2"/>
  <c r="D145" i="2"/>
  <c r="D306" i="2"/>
  <c r="P306" i="2" s="1"/>
  <c r="D462" i="2"/>
  <c r="F465" i="2" l="1"/>
  <c r="F309" i="2"/>
  <c r="R309" i="2" s="1"/>
  <c r="C108" i="3"/>
  <c r="C55" i="3"/>
  <c r="H465" i="2"/>
  <c r="H309" i="2"/>
  <c r="T309" i="2" s="1"/>
  <c r="G465" i="2"/>
  <c r="G309" i="2"/>
  <c r="S309" i="2" s="1"/>
  <c r="D309" i="2"/>
  <c r="P309" i="2" s="1"/>
  <c r="D465" i="2"/>
  <c r="AT107" i="3"/>
  <c r="AL107" i="3"/>
  <c r="AR107" i="3"/>
  <c r="AJ107" i="3"/>
  <c r="AQ107" i="3"/>
  <c r="AP107" i="3"/>
  <c r="AH107" i="3"/>
  <c r="Z107" i="3"/>
  <c r="R107" i="3"/>
  <c r="J107" i="3"/>
  <c r="AU107" i="3"/>
  <c r="AG107" i="3"/>
  <c r="Y107" i="3"/>
  <c r="Q107" i="3"/>
  <c r="I107" i="3"/>
  <c r="AS107" i="3"/>
  <c r="AF107" i="3"/>
  <c r="X107" i="3"/>
  <c r="P107" i="3"/>
  <c r="H107" i="3"/>
  <c r="AO107" i="3"/>
  <c r="AE107" i="3"/>
  <c r="W107" i="3"/>
  <c r="O107" i="3"/>
  <c r="G107" i="3"/>
  <c r="AN107" i="3"/>
  <c r="AD107" i="3"/>
  <c r="V107" i="3"/>
  <c r="N107" i="3"/>
  <c r="F107" i="3"/>
  <c r="AM107" i="3"/>
  <c r="AC107" i="3"/>
  <c r="U107" i="3"/>
  <c r="M107" i="3"/>
  <c r="E107" i="3"/>
  <c r="AK107" i="3"/>
  <c r="AB107" i="3"/>
  <c r="T107" i="3"/>
  <c r="L107" i="3"/>
  <c r="D107" i="3"/>
  <c r="AI107" i="3"/>
  <c r="AA107" i="3"/>
  <c r="S107" i="3"/>
  <c r="K107" i="3"/>
  <c r="I309" i="2"/>
  <c r="U309" i="2" s="1"/>
  <c r="I465" i="2"/>
  <c r="C309" i="2"/>
  <c r="O309" i="2" s="1"/>
  <c r="C465" i="2"/>
  <c r="AC145" i="2"/>
  <c r="AB145" i="2"/>
  <c r="AA145" i="2"/>
  <c r="R145" i="2"/>
  <c r="Z145" i="2"/>
  <c r="Q145" i="2"/>
  <c r="O145" i="2"/>
  <c r="P145" i="2"/>
  <c r="AF145" i="2"/>
  <c r="U145" i="2"/>
  <c r="AS54" i="3"/>
  <c r="AK54" i="3"/>
  <c r="AC54" i="3"/>
  <c r="U54" i="3"/>
  <c r="M54" i="3"/>
  <c r="E54" i="3"/>
  <c r="AR54" i="3"/>
  <c r="AJ54" i="3"/>
  <c r="AB54" i="3"/>
  <c r="T54" i="3"/>
  <c r="L54" i="3"/>
  <c r="D54" i="3"/>
  <c r="AQ54" i="3"/>
  <c r="AI54" i="3"/>
  <c r="AA54" i="3"/>
  <c r="S54" i="3"/>
  <c r="K54" i="3"/>
  <c r="AP54" i="3"/>
  <c r="AH54" i="3"/>
  <c r="Z54" i="3"/>
  <c r="R54" i="3"/>
  <c r="J54" i="3"/>
  <c r="AO54" i="3"/>
  <c r="AG54" i="3"/>
  <c r="Y54" i="3"/>
  <c r="Q54" i="3"/>
  <c r="I54" i="3"/>
  <c r="AN54" i="3"/>
  <c r="AF54" i="3"/>
  <c r="X54" i="3"/>
  <c r="P54" i="3"/>
  <c r="H54" i="3"/>
  <c r="AT54" i="3"/>
  <c r="AL54" i="3"/>
  <c r="AD54" i="3"/>
  <c r="V54" i="3"/>
  <c r="N54" i="3"/>
  <c r="F54" i="3"/>
  <c r="W54" i="3"/>
  <c r="O54" i="3"/>
  <c r="G54" i="3"/>
  <c r="AU54" i="3"/>
  <c r="AM54" i="3"/>
  <c r="AE54" i="3"/>
  <c r="B109" i="3"/>
  <c r="B56" i="3"/>
  <c r="C151" i="2"/>
  <c r="D148" i="2"/>
  <c r="S145" i="2"/>
  <c r="AD145" i="2"/>
  <c r="V145" i="2"/>
  <c r="X145" i="2"/>
  <c r="AG145" i="2"/>
  <c r="E465" i="2"/>
  <c r="E309" i="2"/>
  <c r="Q309" i="2" s="1"/>
  <c r="L465" i="2"/>
  <c r="L309" i="2"/>
  <c r="W309" i="2" s="1"/>
  <c r="K309" i="2"/>
  <c r="T145" i="2"/>
  <c r="AE145" i="2"/>
  <c r="J465" i="2"/>
  <c r="J309" i="2"/>
  <c r="V309" i="2" s="1"/>
  <c r="AH145" i="2"/>
  <c r="W145" i="2"/>
  <c r="AF148" i="2" l="1"/>
  <c r="U148" i="2"/>
  <c r="S148" i="2"/>
  <c r="AD148" i="2"/>
  <c r="E468" i="2"/>
  <c r="E312" i="2"/>
  <c r="Q312" i="2" s="1"/>
  <c r="H468" i="2"/>
  <c r="H312" i="2"/>
  <c r="T312" i="2" s="1"/>
  <c r="V148" i="2"/>
  <c r="X148" i="2"/>
  <c r="AG148" i="2"/>
  <c r="J468" i="2"/>
  <c r="J312" i="2"/>
  <c r="V312" i="2" s="1"/>
  <c r="T148" i="2"/>
  <c r="AE148" i="2"/>
  <c r="I468" i="2"/>
  <c r="I312" i="2"/>
  <c r="U312" i="2" s="1"/>
  <c r="F468" i="2"/>
  <c r="F312" i="2"/>
  <c r="R312" i="2" s="1"/>
  <c r="L468" i="2"/>
  <c r="L312" i="2"/>
  <c r="W312" i="2" s="1"/>
  <c r="K312" i="2"/>
  <c r="B110" i="3"/>
  <c r="B57" i="3"/>
  <c r="C154" i="2"/>
  <c r="D151" i="2"/>
  <c r="AN108" i="3"/>
  <c r="AF108" i="3"/>
  <c r="X108" i="3"/>
  <c r="P108" i="3"/>
  <c r="H108" i="3"/>
  <c r="AT108" i="3"/>
  <c r="AL108" i="3"/>
  <c r="AD108" i="3"/>
  <c r="V108" i="3"/>
  <c r="N108" i="3"/>
  <c r="F108" i="3"/>
  <c r="AS108" i="3"/>
  <c r="AK108" i="3"/>
  <c r="AC108" i="3"/>
  <c r="U108" i="3"/>
  <c r="M108" i="3"/>
  <c r="E108" i="3"/>
  <c r="AR108" i="3"/>
  <c r="AJ108" i="3"/>
  <c r="AB108" i="3"/>
  <c r="T108" i="3"/>
  <c r="L108" i="3"/>
  <c r="D108" i="3"/>
  <c r="AH108" i="3"/>
  <c r="R108" i="3"/>
  <c r="AG108" i="3"/>
  <c r="Q108" i="3"/>
  <c r="AU108" i="3"/>
  <c r="AE108" i="3"/>
  <c r="O108" i="3"/>
  <c r="AQ108" i="3"/>
  <c r="AA108" i="3"/>
  <c r="K108" i="3"/>
  <c r="AP108" i="3"/>
  <c r="Z108" i="3"/>
  <c r="J108" i="3"/>
  <c r="AO108" i="3"/>
  <c r="Y108" i="3"/>
  <c r="I108" i="3"/>
  <c r="AM108" i="3"/>
  <c r="W108" i="3"/>
  <c r="G108" i="3"/>
  <c r="AI108" i="3"/>
  <c r="S108" i="3"/>
  <c r="AH148" i="2"/>
  <c r="W148" i="2"/>
  <c r="D468" i="2"/>
  <c r="D312" i="2"/>
  <c r="P312" i="2" s="1"/>
  <c r="AC148" i="2"/>
  <c r="AB148" i="2"/>
  <c r="AA148" i="2"/>
  <c r="R148" i="2"/>
  <c r="Z148" i="2"/>
  <c r="Q148" i="2"/>
  <c r="O148" i="2"/>
  <c r="P148" i="2"/>
  <c r="C312" i="2"/>
  <c r="O312" i="2" s="1"/>
  <c r="C468" i="2"/>
  <c r="G468" i="2"/>
  <c r="G312" i="2"/>
  <c r="S312" i="2" s="1"/>
  <c r="C109" i="3"/>
  <c r="C56" i="3"/>
  <c r="AU55" i="3"/>
  <c r="AM55" i="3"/>
  <c r="AE55" i="3"/>
  <c r="W55" i="3"/>
  <c r="O55" i="3"/>
  <c r="G55" i="3"/>
  <c r="AT55" i="3"/>
  <c r="AL55" i="3"/>
  <c r="AD55" i="3"/>
  <c r="V55" i="3"/>
  <c r="N55" i="3"/>
  <c r="F55" i="3"/>
  <c r="AS55" i="3"/>
  <c r="AK55" i="3"/>
  <c r="AC55" i="3"/>
  <c r="U55" i="3"/>
  <c r="M55" i="3"/>
  <c r="E55" i="3"/>
  <c r="AR55" i="3"/>
  <c r="AJ55" i="3"/>
  <c r="AB55" i="3"/>
  <c r="T55" i="3"/>
  <c r="L55" i="3"/>
  <c r="D55" i="3"/>
  <c r="AQ55" i="3"/>
  <c r="AI55" i="3"/>
  <c r="AA55" i="3"/>
  <c r="S55" i="3"/>
  <c r="K55" i="3"/>
  <c r="AP55" i="3"/>
  <c r="AH55" i="3"/>
  <c r="Z55" i="3"/>
  <c r="R55" i="3"/>
  <c r="J55" i="3"/>
  <c r="AN55" i="3"/>
  <c r="AF55" i="3"/>
  <c r="X55" i="3"/>
  <c r="P55" i="3"/>
  <c r="H55" i="3"/>
  <c r="AO55" i="3"/>
  <c r="AG55" i="3"/>
  <c r="Y55" i="3"/>
  <c r="Q55" i="3"/>
  <c r="I55" i="3"/>
  <c r="K315" i="2" l="1"/>
  <c r="L471" i="2"/>
  <c r="L315" i="2"/>
  <c r="W315" i="2" s="1"/>
  <c r="AF151" i="2"/>
  <c r="U151" i="2"/>
  <c r="S151" i="2"/>
  <c r="AD151" i="2"/>
  <c r="F471" i="2"/>
  <c r="F315" i="2"/>
  <c r="R315" i="2" s="1"/>
  <c r="V151" i="2"/>
  <c r="X151" i="2"/>
  <c r="AG151" i="2"/>
  <c r="T151" i="2"/>
  <c r="AE151" i="2"/>
  <c r="AH151" i="2"/>
  <c r="W151" i="2"/>
  <c r="D471" i="2"/>
  <c r="D315" i="2"/>
  <c r="P315" i="2" s="1"/>
  <c r="B111" i="3"/>
  <c r="B58" i="3"/>
  <c r="D154" i="2"/>
  <c r="D12" i="1" a="1"/>
  <c r="D12" i="1" s="1"/>
  <c r="G471" i="2"/>
  <c r="G315" i="2"/>
  <c r="S315" i="2" s="1"/>
  <c r="C315" i="2"/>
  <c r="O315" i="2" s="1"/>
  <c r="C471" i="2"/>
  <c r="J471" i="2"/>
  <c r="J315" i="2"/>
  <c r="V315" i="2" s="1"/>
  <c r="I471" i="2"/>
  <c r="I315" i="2"/>
  <c r="U315" i="2" s="1"/>
  <c r="AO56" i="3"/>
  <c r="AG56" i="3"/>
  <c r="Y56" i="3"/>
  <c r="Q56" i="3"/>
  <c r="I56" i="3"/>
  <c r="AN56" i="3"/>
  <c r="AF56" i="3"/>
  <c r="X56" i="3"/>
  <c r="P56" i="3"/>
  <c r="H56" i="3"/>
  <c r="AU56" i="3"/>
  <c r="AM56" i="3"/>
  <c r="AE56" i="3"/>
  <c r="W56" i="3"/>
  <c r="O56" i="3"/>
  <c r="G56" i="3"/>
  <c r="AT56" i="3"/>
  <c r="AL56" i="3"/>
  <c r="AD56" i="3"/>
  <c r="V56" i="3"/>
  <c r="N56" i="3"/>
  <c r="F56" i="3"/>
  <c r="AS56" i="3"/>
  <c r="AK56" i="3"/>
  <c r="AC56" i="3"/>
  <c r="U56" i="3"/>
  <c r="M56" i="3"/>
  <c r="E56" i="3"/>
  <c r="AR56" i="3"/>
  <c r="AJ56" i="3"/>
  <c r="AB56" i="3"/>
  <c r="T56" i="3"/>
  <c r="L56" i="3"/>
  <c r="D56" i="3"/>
  <c r="AP56" i="3"/>
  <c r="AH56" i="3"/>
  <c r="Z56" i="3"/>
  <c r="R56" i="3"/>
  <c r="J56" i="3"/>
  <c r="AQ56" i="3"/>
  <c r="AI56" i="3"/>
  <c r="AA56" i="3"/>
  <c r="S56" i="3"/>
  <c r="K56" i="3"/>
  <c r="C110" i="3"/>
  <c r="C57" i="3"/>
  <c r="AC151" i="2"/>
  <c r="AB151" i="2"/>
  <c r="AA151" i="2"/>
  <c r="R151" i="2"/>
  <c r="Z151" i="2"/>
  <c r="Q151" i="2"/>
  <c r="O151" i="2"/>
  <c r="P151" i="2"/>
  <c r="E471" i="2"/>
  <c r="E315" i="2"/>
  <c r="Q315" i="2" s="1"/>
  <c r="AP109" i="3"/>
  <c r="AH109" i="3"/>
  <c r="Z109" i="3"/>
  <c r="R109" i="3"/>
  <c r="J109" i="3"/>
  <c r="AN109" i="3"/>
  <c r="AF109" i="3"/>
  <c r="X109" i="3"/>
  <c r="P109" i="3"/>
  <c r="H109" i="3"/>
  <c r="AU109" i="3"/>
  <c r="AM109" i="3"/>
  <c r="AE109" i="3"/>
  <c r="W109" i="3"/>
  <c r="O109" i="3"/>
  <c r="G109" i="3"/>
  <c r="AT109" i="3"/>
  <c r="AL109" i="3"/>
  <c r="AD109" i="3"/>
  <c r="V109" i="3"/>
  <c r="N109" i="3"/>
  <c r="F109" i="3"/>
  <c r="AJ109" i="3"/>
  <c r="T109" i="3"/>
  <c r="D109" i="3"/>
  <c r="AI109" i="3"/>
  <c r="S109" i="3"/>
  <c r="AG109" i="3"/>
  <c r="Q109" i="3"/>
  <c r="AS109" i="3"/>
  <c r="AC109" i="3"/>
  <c r="M109" i="3"/>
  <c r="AR109" i="3"/>
  <c r="AB109" i="3"/>
  <c r="L109" i="3"/>
  <c r="AQ109" i="3"/>
  <c r="AA109" i="3"/>
  <c r="K109" i="3"/>
  <c r="AO109" i="3"/>
  <c r="Y109" i="3"/>
  <c r="I109" i="3"/>
  <c r="AK109" i="3"/>
  <c r="U109" i="3"/>
  <c r="E109" i="3"/>
  <c r="H471" i="2"/>
  <c r="H315" i="2"/>
  <c r="T315" i="2" s="1"/>
  <c r="H318" i="2" l="1"/>
  <c r="T318" i="2" s="1"/>
  <c r="H474" i="2"/>
  <c r="D121" i="3"/>
  <c r="AC154" i="2"/>
  <c r="AB154" i="2"/>
  <c r="AA154" i="2"/>
  <c r="R154" i="2"/>
  <c r="Z154" i="2"/>
  <c r="Q154" i="2"/>
  <c r="O154" i="2"/>
  <c r="P154" i="2"/>
  <c r="G318" i="2"/>
  <c r="S318" i="2" s="1"/>
  <c r="G474" i="2"/>
  <c r="C111" i="3"/>
  <c r="C58" i="3"/>
  <c r="I474" i="2"/>
  <c r="I318" i="2"/>
  <c r="U318" i="2" s="1"/>
  <c r="AF154" i="2"/>
  <c r="U154" i="2"/>
  <c r="L474" i="2"/>
  <c r="K318" i="2"/>
  <c r="L318" i="2"/>
  <c r="W318" i="2" s="1"/>
  <c r="J474" i="2"/>
  <c r="J318" i="2"/>
  <c r="V318" i="2" s="1"/>
  <c r="D474" i="2"/>
  <c r="D318" i="2"/>
  <c r="P318" i="2" s="1"/>
  <c r="AR110" i="3"/>
  <c r="AR112" i="3" s="1"/>
  <c r="AR137" i="3" s="1"/>
  <c r="AJ110" i="3"/>
  <c r="AJ112" i="3" s="1"/>
  <c r="AJ137" i="3" s="1"/>
  <c r="AB110" i="3"/>
  <c r="AB112" i="3" s="1"/>
  <c r="AB137" i="3" s="1"/>
  <c r="T110" i="3"/>
  <c r="T112" i="3" s="1"/>
  <c r="T137" i="3" s="1"/>
  <c r="L110" i="3"/>
  <c r="L112" i="3" s="1"/>
  <c r="L137" i="3" s="1"/>
  <c r="D110" i="3"/>
  <c r="D112" i="3" s="1"/>
  <c r="D137" i="3" s="1"/>
  <c r="AP110" i="3"/>
  <c r="AH110" i="3"/>
  <c r="Z110" i="3"/>
  <c r="R110" i="3"/>
  <c r="J110" i="3"/>
  <c r="AO110" i="3"/>
  <c r="AG110" i="3"/>
  <c r="Y110" i="3"/>
  <c r="Q110" i="3"/>
  <c r="I110" i="3"/>
  <c r="AN110" i="3"/>
  <c r="AN112" i="3" s="1"/>
  <c r="AN137" i="3" s="1"/>
  <c r="AF110" i="3"/>
  <c r="AF112" i="3" s="1"/>
  <c r="AF137" i="3" s="1"/>
  <c r="X110" i="3"/>
  <c r="X112" i="3" s="1"/>
  <c r="X137" i="3" s="1"/>
  <c r="P110" i="3"/>
  <c r="P112" i="3" s="1"/>
  <c r="P137" i="3" s="1"/>
  <c r="H110" i="3"/>
  <c r="H112" i="3" s="1"/>
  <c r="H137" i="3" s="1"/>
  <c r="AL110" i="3"/>
  <c r="V110" i="3"/>
  <c r="F110" i="3"/>
  <c r="AK110" i="3"/>
  <c r="U110" i="3"/>
  <c r="E110" i="3"/>
  <c r="AI110" i="3"/>
  <c r="S110" i="3"/>
  <c r="AU110" i="3"/>
  <c r="AE110" i="3"/>
  <c r="O110" i="3"/>
  <c r="AT110" i="3"/>
  <c r="AD110" i="3"/>
  <c r="N110" i="3"/>
  <c r="AS110" i="3"/>
  <c r="AC110" i="3"/>
  <c r="M110" i="3"/>
  <c r="AQ110" i="3"/>
  <c r="AA110" i="3"/>
  <c r="K110" i="3"/>
  <c r="AM110" i="3"/>
  <c r="W110" i="3"/>
  <c r="G110" i="3"/>
  <c r="AG154" i="2"/>
  <c r="V154" i="2"/>
  <c r="X154" i="2"/>
  <c r="T154" i="2"/>
  <c r="AE154" i="2"/>
  <c r="C474" i="2"/>
  <c r="C318" i="2"/>
  <c r="O318" i="2" s="1"/>
  <c r="S154" i="2"/>
  <c r="AD154" i="2"/>
  <c r="AQ57" i="3"/>
  <c r="AI57" i="3"/>
  <c r="AA57" i="3"/>
  <c r="S57" i="3"/>
  <c r="K57" i="3"/>
  <c r="AP57" i="3"/>
  <c r="AH57" i="3"/>
  <c r="Z57" i="3"/>
  <c r="R57" i="3"/>
  <c r="J57" i="3"/>
  <c r="AO57" i="3"/>
  <c r="AG57" i="3"/>
  <c r="Y57" i="3"/>
  <c r="Q57" i="3"/>
  <c r="I57" i="3"/>
  <c r="AN57" i="3"/>
  <c r="AF57" i="3"/>
  <c r="X57" i="3"/>
  <c r="P57" i="3"/>
  <c r="H57" i="3"/>
  <c r="AU57" i="3"/>
  <c r="AM57" i="3"/>
  <c r="AE57" i="3"/>
  <c r="W57" i="3"/>
  <c r="O57" i="3"/>
  <c r="G57" i="3"/>
  <c r="AT57" i="3"/>
  <c r="AL57" i="3"/>
  <c r="AD57" i="3"/>
  <c r="V57" i="3"/>
  <c r="N57" i="3"/>
  <c r="F57" i="3"/>
  <c r="AR57" i="3"/>
  <c r="AJ57" i="3"/>
  <c r="AB57" i="3"/>
  <c r="T57" i="3"/>
  <c r="L57" i="3"/>
  <c r="D57" i="3"/>
  <c r="D59" i="3" s="1"/>
  <c r="M57" i="3"/>
  <c r="E57" i="3"/>
  <c r="AS57" i="3"/>
  <c r="AK57" i="3"/>
  <c r="AC57" i="3"/>
  <c r="U57" i="3"/>
  <c r="E318" i="2"/>
  <c r="Q318" i="2" s="1"/>
  <c r="E474" i="2"/>
  <c r="AH154" i="2"/>
  <c r="W154" i="2"/>
  <c r="F318" i="2"/>
  <c r="R318" i="2" s="1"/>
  <c r="F474" i="2"/>
  <c r="E122" i="3" l="1"/>
  <c r="F122" i="3" s="1"/>
  <c r="I321" i="2"/>
  <c r="U321" i="2" s="1"/>
  <c r="U324" i="2" s="1"/>
  <c r="M121" i="1" s="1"/>
  <c r="I477" i="2"/>
  <c r="I480" i="2" s="1"/>
  <c r="L104" i="1" s="1"/>
  <c r="U164" i="2"/>
  <c r="U159" i="2"/>
  <c r="G16" i="1" s="1"/>
  <c r="J29" i="1" s="1"/>
  <c r="U158" i="2"/>
  <c r="G19" i="1" s="1"/>
  <c r="U157" i="2"/>
  <c r="G20" i="1" s="1"/>
  <c r="AD158" i="2"/>
  <c r="AD159" i="2"/>
  <c r="AD157" i="2"/>
  <c r="AF159" i="2"/>
  <c r="J30" i="1" s="1"/>
  <c r="AF158" i="2"/>
  <c r="AF157" i="2"/>
  <c r="D321" i="2"/>
  <c r="P321" i="2" s="1"/>
  <c r="D477" i="2"/>
  <c r="AC159" i="2"/>
  <c r="AC158" i="2"/>
  <c r="AC157" i="2"/>
  <c r="L477" i="2"/>
  <c r="L480" i="2" s="1"/>
  <c r="L321" i="2"/>
  <c r="W321" i="2" s="1"/>
  <c r="K321" i="2"/>
  <c r="W164" i="2"/>
  <c r="W157" i="2"/>
  <c r="W159" i="2"/>
  <c r="P29" i="1" s="1"/>
  <c r="W158" i="2"/>
  <c r="R160" i="2"/>
  <c r="D17" i="1" s="1"/>
  <c r="U160" i="2"/>
  <c r="G17" i="1" s="1"/>
  <c r="G18" i="1" s="1"/>
  <c r="T160" i="2"/>
  <c r="F17" i="1" s="1"/>
  <c r="V160" i="2"/>
  <c r="H17" i="1" s="1"/>
  <c r="S160" i="2"/>
  <c r="E17" i="1" s="1"/>
  <c r="C477" i="2"/>
  <c r="C321" i="2"/>
  <c r="O321" i="2" s="1"/>
  <c r="O159" i="2"/>
  <c r="Z159" i="2" s="1"/>
  <c r="O164" i="2"/>
  <c r="O158" i="2"/>
  <c r="G321" i="2"/>
  <c r="S321" i="2" s="1"/>
  <c r="S324" i="2" s="1"/>
  <c r="M119" i="1" s="1"/>
  <c r="G477" i="2"/>
  <c r="G480" i="2" s="1"/>
  <c r="L102" i="1" s="1"/>
  <c r="S164" i="2"/>
  <c r="S158" i="2"/>
  <c r="E19" i="1" s="1"/>
  <c r="S159" i="2"/>
  <c r="S157" i="2"/>
  <c r="E20" i="1" s="1"/>
  <c r="J321" i="2"/>
  <c r="V321" i="2" s="1"/>
  <c r="V324" i="2" s="1"/>
  <c r="M122" i="1" s="1"/>
  <c r="J477" i="2"/>
  <c r="J480" i="2" s="1"/>
  <c r="L105" i="1" s="1"/>
  <c r="V164" i="2"/>
  <c r="V159" i="2"/>
  <c r="H16" i="1" s="1"/>
  <c r="K29" i="1" s="1"/>
  <c r="V157" i="2"/>
  <c r="H20" i="1" s="1"/>
  <c r="V158" i="2"/>
  <c r="H19" i="1" s="1"/>
  <c r="AS58" i="3"/>
  <c r="AS59" i="3" s="1"/>
  <c r="AK58" i="3"/>
  <c r="AK59" i="3" s="1"/>
  <c r="AC58" i="3"/>
  <c r="AC59" i="3" s="1"/>
  <c r="U58" i="3"/>
  <c r="U59" i="3" s="1"/>
  <c r="M58" i="3"/>
  <c r="M59" i="3" s="1"/>
  <c r="E58" i="3"/>
  <c r="E59" i="3" s="1"/>
  <c r="AR58" i="3"/>
  <c r="AR59" i="3" s="1"/>
  <c r="AJ58" i="3"/>
  <c r="AJ59" i="3" s="1"/>
  <c r="AB58" i="3"/>
  <c r="AB59" i="3" s="1"/>
  <c r="T58" i="3"/>
  <c r="T59" i="3" s="1"/>
  <c r="L58" i="3"/>
  <c r="L59" i="3" s="1"/>
  <c r="D58" i="3"/>
  <c r="AQ58" i="3"/>
  <c r="AQ59" i="3" s="1"/>
  <c r="AI58" i="3"/>
  <c r="AI59" i="3" s="1"/>
  <c r="AA58" i="3"/>
  <c r="AA59" i="3" s="1"/>
  <c r="S58" i="3"/>
  <c r="S59" i="3" s="1"/>
  <c r="K58" i="3"/>
  <c r="K59" i="3" s="1"/>
  <c r="AP58" i="3"/>
  <c r="AP59" i="3" s="1"/>
  <c r="AH58" i="3"/>
  <c r="AH59" i="3" s="1"/>
  <c r="Z58" i="3"/>
  <c r="Z59" i="3" s="1"/>
  <c r="R58" i="3"/>
  <c r="R59" i="3" s="1"/>
  <c r="J58" i="3"/>
  <c r="J59" i="3" s="1"/>
  <c r="AO58" i="3"/>
  <c r="AO59" i="3" s="1"/>
  <c r="AG58" i="3"/>
  <c r="AG59" i="3" s="1"/>
  <c r="Y58" i="3"/>
  <c r="Y59" i="3" s="1"/>
  <c r="Q58" i="3"/>
  <c r="Q59" i="3" s="1"/>
  <c r="I58" i="3"/>
  <c r="I59" i="3" s="1"/>
  <c r="AN58" i="3"/>
  <c r="AN59" i="3" s="1"/>
  <c r="AF58" i="3"/>
  <c r="AF59" i="3" s="1"/>
  <c r="X58" i="3"/>
  <c r="X59" i="3" s="1"/>
  <c r="P58" i="3"/>
  <c r="P59" i="3" s="1"/>
  <c r="H58" i="3"/>
  <c r="H59" i="3" s="1"/>
  <c r="AU58" i="3"/>
  <c r="AU59" i="3" s="1"/>
  <c r="AT58" i="3"/>
  <c r="AT59" i="3" s="1"/>
  <c r="AL58" i="3"/>
  <c r="AL59" i="3" s="1"/>
  <c r="AD58" i="3"/>
  <c r="AD59" i="3" s="1"/>
  <c r="V58" i="3"/>
  <c r="V59" i="3" s="1"/>
  <c r="N58" i="3"/>
  <c r="N59" i="3" s="1"/>
  <c r="F58" i="3"/>
  <c r="F59" i="3" s="1"/>
  <c r="AE58" i="3"/>
  <c r="AE59" i="3" s="1"/>
  <c r="W58" i="3"/>
  <c r="W59" i="3" s="1"/>
  <c r="O58" i="3"/>
  <c r="O59" i="3" s="1"/>
  <c r="G58" i="3"/>
  <c r="G59" i="3" s="1"/>
  <c r="AM58" i="3"/>
  <c r="AM59" i="3" s="1"/>
  <c r="AT111" i="3"/>
  <c r="AT112" i="3" s="1"/>
  <c r="AT137" i="3" s="1"/>
  <c r="AL111" i="3"/>
  <c r="AL112" i="3" s="1"/>
  <c r="AL137" i="3" s="1"/>
  <c r="AD111" i="3"/>
  <c r="AD112" i="3" s="1"/>
  <c r="AD137" i="3" s="1"/>
  <c r="V111" i="3"/>
  <c r="V112" i="3" s="1"/>
  <c r="V137" i="3" s="1"/>
  <c r="N111" i="3"/>
  <c r="N112" i="3" s="1"/>
  <c r="N137" i="3" s="1"/>
  <c r="F111" i="3"/>
  <c r="F112" i="3" s="1"/>
  <c r="F137" i="3" s="1"/>
  <c r="AR111" i="3"/>
  <c r="AJ111" i="3"/>
  <c r="AB111" i="3"/>
  <c r="T111" i="3"/>
  <c r="L111" i="3"/>
  <c r="D111" i="3"/>
  <c r="AQ111" i="3"/>
  <c r="AQ112" i="3" s="1"/>
  <c r="AQ137" i="3" s="1"/>
  <c r="AI111" i="3"/>
  <c r="AI112" i="3" s="1"/>
  <c r="AI137" i="3" s="1"/>
  <c r="AA111" i="3"/>
  <c r="AA112" i="3" s="1"/>
  <c r="AA137" i="3" s="1"/>
  <c r="S111" i="3"/>
  <c r="S112" i="3" s="1"/>
  <c r="S137" i="3" s="1"/>
  <c r="K111" i="3"/>
  <c r="K112" i="3" s="1"/>
  <c r="K137" i="3" s="1"/>
  <c r="AP111" i="3"/>
  <c r="AP112" i="3" s="1"/>
  <c r="AP137" i="3" s="1"/>
  <c r="AH111" i="3"/>
  <c r="AH112" i="3" s="1"/>
  <c r="AH137" i="3" s="1"/>
  <c r="Z111" i="3"/>
  <c r="Z112" i="3" s="1"/>
  <c r="Z137" i="3" s="1"/>
  <c r="R111" i="3"/>
  <c r="R112" i="3" s="1"/>
  <c r="R137" i="3" s="1"/>
  <c r="J111" i="3"/>
  <c r="J112" i="3" s="1"/>
  <c r="J137" i="3" s="1"/>
  <c r="AN111" i="3"/>
  <c r="X111" i="3"/>
  <c r="H111" i="3"/>
  <c r="AM111" i="3"/>
  <c r="AM112" i="3" s="1"/>
  <c r="AM137" i="3" s="1"/>
  <c r="W111" i="3"/>
  <c r="W112" i="3" s="1"/>
  <c r="W137" i="3" s="1"/>
  <c r="G111" i="3"/>
  <c r="G112" i="3" s="1"/>
  <c r="G137" i="3" s="1"/>
  <c r="AK111" i="3"/>
  <c r="AK112" i="3" s="1"/>
  <c r="AK137" i="3" s="1"/>
  <c r="U111" i="3"/>
  <c r="U112" i="3" s="1"/>
  <c r="U137" i="3" s="1"/>
  <c r="E111" i="3"/>
  <c r="E112" i="3" s="1"/>
  <c r="E137" i="3" s="1"/>
  <c r="AG111" i="3"/>
  <c r="AG112" i="3" s="1"/>
  <c r="AG137" i="3" s="1"/>
  <c r="Q111" i="3"/>
  <c r="Q112" i="3" s="1"/>
  <c r="Q137" i="3" s="1"/>
  <c r="AF111" i="3"/>
  <c r="P111" i="3"/>
  <c r="AU111" i="3"/>
  <c r="AU112" i="3" s="1"/>
  <c r="AU137" i="3" s="1"/>
  <c r="AE111" i="3"/>
  <c r="AE112" i="3" s="1"/>
  <c r="AE137" i="3" s="1"/>
  <c r="O111" i="3"/>
  <c r="O112" i="3" s="1"/>
  <c r="O137" i="3" s="1"/>
  <c r="AS111" i="3"/>
  <c r="AS112" i="3" s="1"/>
  <c r="AS137" i="3" s="1"/>
  <c r="AC111" i="3"/>
  <c r="AC112" i="3" s="1"/>
  <c r="AC137" i="3" s="1"/>
  <c r="M111" i="3"/>
  <c r="M112" i="3" s="1"/>
  <c r="M137" i="3" s="1"/>
  <c r="AO111" i="3"/>
  <c r="AO112" i="3" s="1"/>
  <c r="AO137" i="3" s="1"/>
  <c r="Y111" i="3"/>
  <c r="Y112" i="3" s="1"/>
  <c r="Y137" i="3" s="1"/>
  <c r="I111" i="3"/>
  <c r="I112" i="3" s="1"/>
  <c r="I137" i="3" s="1"/>
  <c r="AH157" i="2"/>
  <c r="AH158" i="2"/>
  <c r="AH159" i="2"/>
  <c r="P30" i="1" s="1"/>
  <c r="O30" i="1" s="1"/>
  <c r="AG158" i="2"/>
  <c r="AG157" i="2"/>
  <c r="AG159" i="2"/>
  <c r="K30" i="1" s="1"/>
  <c r="E321" i="2"/>
  <c r="Q321" i="2" s="1"/>
  <c r="E477" i="2"/>
  <c r="D136" i="3"/>
  <c r="D158" i="3"/>
  <c r="D123" i="3"/>
  <c r="D124" i="3"/>
  <c r="H321" i="2"/>
  <c r="T321" i="2" s="1"/>
  <c r="T324" i="2" s="1"/>
  <c r="M120" i="1" s="1"/>
  <c r="H477" i="2"/>
  <c r="H480" i="2" s="1"/>
  <c r="L103" i="1" s="1"/>
  <c r="T164" i="2"/>
  <c r="T158" i="2"/>
  <c r="F19" i="1" s="1"/>
  <c r="T157" i="2"/>
  <c r="F20" i="1" s="1"/>
  <c r="T159" i="2"/>
  <c r="F16" i="1" s="1"/>
  <c r="I29" i="1" s="1"/>
  <c r="AE159" i="2"/>
  <c r="I30" i="1" s="1"/>
  <c r="AE157" i="2"/>
  <c r="AE158" i="2"/>
  <c r="F321" i="2"/>
  <c r="R321" i="2" s="1"/>
  <c r="R324" i="2" s="1"/>
  <c r="M118" i="1" s="1"/>
  <c r="F477" i="2"/>
  <c r="F480" i="2" s="1"/>
  <c r="R164" i="2"/>
  <c r="R165" i="2" s="1"/>
  <c r="E22" i="1" s="1"/>
  <c r="R159" i="2"/>
  <c r="R158" i="2"/>
  <c r="R157" i="2"/>
  <c r="D20" i="1" s="1"/>
  <c r="G122" i="3" l="1"/>
  <c r="H122" i="3" s="1"/>
  <c r="AS158" i="3"/>
  <c r="AS185" i="3" s="1"/>
  <c r="AS212" i="3" s="1"/>
  <c r="AS136" i="3"/>
  <c r="AS169" i="3" s="1"/>
  <c r="AS196" i="3" s="1"/>
  <c r="AS223" i="3" s="1"/>
  <c r="AR136" i="3"/>
  <c r="AR169" i="3" s="1"/>
  <c r="AR196" i="3" s="1"/>
  <c r="AR223" i="3" s="1"/>
  <c r="AR158" i="3"/>
  <c r="AR185" i="3" s="1"/>
  <c r="AR212" i="3" s="1"/>
  <c r="AP158" i="3"/>
  <c r="AP185" i="3" s="1"/>
  <c r="AP212" i="3" s="1"/>
  <c r="AP136" i="3"/>
  <c r="AP169" i="3" s="1"/>
  <c r="AP196" i="3" s="1"/>
  <c r="AP223" i="3" s="1"/>
  <c r="AO158" i="3"/>
  <c r="AO185" i="3" s="1"/>
  <c r="AO212" i="3" s="1"/>
  <c r="AO136" i="3"/>
  <c r="AO169" i="3" s="1"/>
  <c r="AO196" i="3" s="1"/>
  <c r="AO223" i="3" s="1"/>
  <c r="AQ158" i="3"/>
  <c r="AQ185" i="3" s="1"/>
  <c r="AQ212" i="3" s="1"/>
  <c r="AQ136" i="3"/>
  <c r="AQ169" i="3" s="1"/>
  <c r="AQ196" i="3" s="1"/>
  <c r="AQ223" i="3" s="1"/>
  <c r="AT136" i="3"/>
  <c r="AT169" i="3" s="1"/>
  <c r="AT196" i="3" s="1"/>
  <c r="AT223" i="3" s="1"/>
  <c r="AT158" i="3"/>
  <c r="AT185" i="3" s="1"/>
  <c r="AT212" i="3" s="1"/>
  <c r="AM158" i="3"/>
  <c r="AM185" i="3" s="1"/>
  <c r="AM212" i="3" s="1"/>
  <c r="AM136" i="3"/>
  <c r="AM169" i="3" s="1"/>
  <c r="AM196" i="3" s="1"/>
  <c r="AM223" i="3" s="1"/>
  <c r="AN136" i="3"/>
  <c r="AN169" i="3" s="1"/>
  <c r="AN196" i="3" s="1"/>
  <c r="AN223" i="3" s="1"/>
  <c r="AN158" i="3"/>
  <c r="AN185" i="3" s="1"/>
  <c r="AN212" i="3" s="1"/>
  <c r="AU158" i="3"/>
  <c r="AU185" i="3" s="1"/>
  <c r="AU212" i="3" s="1"/>
  <c r="AU136" i="3"/>
  <c r="AU169" i="3" s="1"/>
  <c r="AU196" i="3" s="1"/>
  <c r="AU223" i="3" s="1"/>
  <c r="AL158" i="3"/>
  <c r="AL185" i="3" s="1"/>
  <c r="AL212" i="3" s="1"/>
  <c r="AL136" i="3"/>
  <c r="AL169" i="3" s="1"/>
  <c r="AL196" i="3" s="1"/>
  <c r="AL223" i="3" s="1"/>
  <c r="I20" i="1"/>
  <c r="T165" i="2"/>
  <c r="G22" i="1" s="1"/>
  <c r="W158" i="3"/>
  <c r="W185" i="3" s="1"/>
  <c r="W212" i="3" s="1"/>
  <c r="W136" i="3"/>
  <c r="W169" i="3" s="1"/>
  <c r="W196" i="3" s="1"/>
  <c r="W223" i="3" s="1"/>
  <c r="Y158" i="3"/>
  <c r="Y185" i="3" s="1"/>
  <c r="Y212" i="3" s="1"/>
  <c r="Y136" i="3"/>
  <c r="Y169" i="3" s="1"/>
  <c r="Y196" i="3" s="1"/>
  <c r="Y223" i="3" s="1"/>
  <c r="K158" i="3"/>
  <c r="K185" i="3" s="1"/>
  <c r="K212" i="3" s="1"/>
  <c r="K136" i="3"/>
  <c r="K169" i="3" s="1"/>
  <c r="K196" i="3" s="1"/>
  <c r="K223" i="3" s="1"/>
  <c r="AB158" i="3"/>
  <c r="AB185" i="3" s="1"/>
  <c r="AB212" i="3" s="1"/>
  <c r="AB136" i="3"/>
  <c r="AB169" i="3" s="1"/>
  <c r="AB196" i="3" s="1"/>
  <c r="AB223" i="3" s="1"/>
  <c r="H30" i="1"/>
  <c r="E30" i="1"/>
  <c r="I31" i="1"/>
  <c r="AE158" i="3"/>
  <c r="AE185" i="3" s="1"/>
  <c r="AE212" i="3" s="1"/>
  <c r="AE136" i="3"/>
  <c r="AE169" i="3" s="1"/>
  <c r="AE196" i="3" s="1"/>
  <c r="AE223" i="3" s="1"/>
  <c r="H158" i="3"/>
  <c r="H185" i="3" s="1"/>
  <c r="H212" i="3" s="1"/>
  <c r="H136" i="3"/>
  <c r="H169" i="3" s="1"/>
  <c r="H196" i="3" s="1"/>
  <c r="H223" i="3" s="1"/>
  <c r="AG158" i="3"/>
  <c r="AG185" i="3" s="1"/>
  <c r="AG212" i="3" s="1"/>
  <c r="AG136" i="3"/>
  <c r="AG169" i="3" s="1"/>
  <c r="AG196" i="3" s="1"/>
  <c r="AG223" i="3" s="1"/>
  <c r="S158" i="3"/>
  <c r="S185" i="3" s="1"/>
  <c r="S212" i="3" s="1"/>
  <c r="S136" i="3"/>
  <c r="S169" i="3" s="1"/>
  <c r="S196" i="3" s="1"/>
  <c r="S223" i="3" s="1"/>
  <c r="AJ158" i="3"/>
  <c r="AJ185" i="3" s="1"/>
  <c r="AJ212" i="3" s="1"/>
  <c r="AJ136" i="3"/>
  <c r="AJ169" i="3" s="1"/>
  <c r="AJ196" i="3" s="1"/>
  <c r="AJ223" i="3" s="1"/>
  <c r="E16" i="1"/>
  <c r="H29" i="1" s="1"/>
  <c r="E29" i="1"/>
  <c r="P31" i="1"/>
  <c r="O29" i="1"/>
  <c r="O31" i="1" s="1"/>
  <c r="D30" i="1"/>
  <c r="G30" i="1"/>
  <c r="D29" i="1"/>
  <c r="D16" i="1"/>
  <c r="D18" i="1" s="1"/>
  <c r="F158" i="3"/>
  <c r="F185" i="3" s="1"/>
  <c r="F212" i="3" s="1"/>
  <c r="F136" i="3"/>
  <c r="F169" i="3" s="1"/>
  <c r="F196" i="3" s="1"/>
  <c r="F223" i="3" s="1"/>
  <c r="P158" i="3"/>
  <c r="P185" i="3" s="1"/>
  <c r="P212" i="3" s="1"/>
  <c r="P136" i="3"/>
  <c r="P169" i="3" s="1"/>
  <c r="P196" i="3" s="1"/>
  <c r="P223" i="3" s="1"/>
  <c r="AA158" i="3"/>
  <c r="AA185" i="3" s="1"/>
  <c r="AA212" i="3" s="1"/>
  <c r="AA136" i="3"/>
  <c r="AA169" i="3" s="1"/>
  <c r="AA196" i="3" s="1"/>
  <c r="AA223" i="3" s="1"/>
  <c r="N136" i="3"/>
  <c r="N169" i="3" s="1"/>
  <c r="N196" i="3" s="1"/>
  <c r="N223" i="3" s="1"/>
  <c r="N158" i="3"/>
  <c r="N185" i="3" s="1"/>
  <c r="N212" i="3" s="1"/>
  <c r="X158" i="3"/>
  <c r="X185" i="3" s="1"/>
  <c r="X212" i="3" s="1"/>
  <c r="X136" i="3"/>
  <c r="X169" i="3" s="1"/>
  <c r="X196" i="3" s="1"/>
  <c r="X223" i="3" s="1"/>
  <c r="J158" i="3"/>
  <c r="J185" i="3" s="1"/>
  <c r="J212" i="3" s="1"/>
  <c r="J136" i="3"/>
  <c r="J169" i="3" s="1"/>
  <c r="J196" i="3" s="1"/>
  <c r="J223" i="3" s="1"/>
  <c r="AI158" i="3"/>
  <c r="AI185" i="3" s="1"/>
  <c r="AI212" i="3" s="1"/>
  <c r="AI136" i="3"/>
  <c r="AI169" i="3" s="1"/>
  <c r="AI196" i="3" s="1"/>
  <c r="AI223" i="3" s="1"/>
  <c r="E158" i="3"/>
  <c r="E185" i="3" s="1"/>
  <c r="E212" i="3" s="1"/>
  <c r="E136" i="3"/>
  <c r="E169" i="3" s="1"/>
  <c r="E196" i="3" s="1"/>
  <c r="E223" i="3" s="1"/>
  <c r="S165" i="2"/>
  <c r="F22" i="1" s="1"/>
  <c r="W165" i="2"/>
  <c r="D159" i="3"/>
  <c r="D185" i="3"/>
  <c r="V136" i="3"/>
  <c r="V169" i="3" s="1"/>
  <c r="V196" i="3" s="1"/>
  <c r="V223" i="3" s="1"/>
  <c r="V158" i="3"/>
  <c r="V185" i="3" s="1"/>
  <c r="V212" i="3" s="1"/>
  <c r="AF158" i="3"/>
  <c r="AF185" i="3" s="1"/>
  <c r="AF212" i="3" s="1"/>
  <c r="AF136" i="3"/>
  <c r="AF169" i="3" s="1"/>
  <c r="AF196" i="3" s="1"/>
  <c r="AF223" i="3" s="1"/>
  <c r="R158" i="3"/>
  <c r="R185" i="3" s="1"/>
  <c r="R212" i="3" s="1"/>
  <c r="R136" i="3"/>
  <c r="R169" i="3" s="1"/>
  <c r="R196" i="3" s="1"/>
  <c r="R223" i="3" s="1"/>
  <c r="M158" i="3"/>
  <c r="M185" i="3" s="1"/>
  <c r="M212" i="3" s="1"/>
  <c r="M136" i="3"/>
  <c r="M169" i="3" s="1"/>
  <c r="M196" i="3" s="1"/>
  <c r="M223" i="3" s="1"/>
  <c r="K31" i="1"/>
  <c r="H18" i="1"/>
  <c r="J31" i="1"/>
  <c r="D169" i="3"/>
  <c r="D145" i="3"/>
  <c r="AD136" i="3"/>
  <c r="AD169" i="3" s="1"/>
  <c r="AD196" i="3" s="1"/>
  <c r="AD223" i="3" s="1"/>
  <c r="AD158" i="3"/>
  <c r="AD185" i="3" s="1"/>
  <c r="AD212" i="3" s="1"/>
  <c r="Z158" i="3"/>
  <c r="Z185" i="3" s="1"/>
  <c r="Z212" i="3" s="1"/>
  <c r="Z136" i="3"/>
  <c r="Z169" i="3" s="1"/>
  <c r="Z196" i="3" s="1"/>
  <c r="Z223" i="3" s="1"/>
  <c r="U136" i="3"/>
  <c r="U169" i="3" s="1"/>
  <c r="U196" i="3" s="1"/>
  <c r="U223" i="3" s="1"/>
  <c r="U158" i="3"/>
  <c r="U185" i="3" s="1"/>
  <c r="U212" i="3" s="1"/>
  <c r="V165" i="2"/>
  <c r="F18" i="1"/>
  <c r="U165" i="2"/>
  <c r="H22" i="1" s="1"/>
  <c r="E121" i="3"/>
  <c r="G158" i="3"/>
  <c r="G185" i="3" s="1"/>
  <c r="G212" i="3" s="1"/>
  <c r="G136" i="3"/>
  <c r="G169" i="3" s="1"/>
  <c r="G196" i="3" s="1"/>
  <c r="G223" i="3" s="1"/>
  <c r="I158" i="3"/>
  <c r="I185" i="3" s="1"/>
  <c r="I212" i="3" s="1"/>
  <c r="I136" i="3"/>
  <c r="I169" i="3" s="1"/>
  <c r="I196" i="3" s="1"/>
  <c r="I223" i="3" s="1"/>
  <c r="AH158" i="3"/>
  <c r="AH185" i="3" s="1"/>
  <c r="AH212" i="3" s="1"/>
  <c r="AH136" i="3"/>
  <c r="AH169" i="3" s="1"/>
  <c r="AH196" i="3" s="1"/>
  <c r="AH223" i="3" s="1"/>
  <c r="L158" i="3"/>
  <c r="L185" i="3" s="1"/>
  <c r="L212" i="3" s="1"/>
  <c r="L136" i="3"/>
  <c r="L169" i="3" s="1"/>
  <c r="L196" i="3" s="1"/>
  <c r="L223" i="3" s="1"/>
  <c r="AC158" i="3"/>
  <c r="AC185" i="3" s="1"/>
  <c r="AC212" i="3" s="1"/>
  <c r="AC136" i="3"/>
  <c r="AC169" i="3" s="1"/>
  <c r="AC196" i="3" s="1"/>
  <c r="AC223" i="3" s="1"/>
  <c r="Z158" i="2"/>
  <c r="G12" i="1"/>
  <c r="G11" i="1"/>
  <c r="D19" i="1"/>
  <c r="I19" i="1" s="1"/>
  <c r="D125" i="3"/>
  <c r="D126" i="3"/>
  <c r="D139" i="3"/>
  <c r="D170" i="3" s="1"/>
  <c r="D197" i="3" s="1"/>
  <c r="D224" i="3" s="1"/>
  <c r="O158" i="3"/>
  <c r="O185" i="3" s="1"/>
  <c r="O212" i="3" s="1"/>
  <c r="O136" i="3"/>
  <c r="O169" i="3" s="1"/>
  <c r="O196" i="3" s="1"/>
  <c r="O223" i="3" s="1"/>
  <c r="Q158" i="3"/>
  <c r="Q185" i="3" s="1"/>
  <c r="Q212" i="3" s="1"/>
  <c r="Q136" i="3"/>
  <c r="Q169" i="3" s="1"/>
  <c r="Q196" i="3" s="1"/>
  <c r="Q223" i="3" s="1"/>
  <c r="T136" i="3"/>
  <c r="T169" i="3" s="1"/>
  <c r="T196" i="3" s="1"/>
  <c r="T223" i="3" s="1"/>
  <c r="T158" i="3"/>
  <c r="T185" i="3" s="1"/>
  <c r="T212" i="3" s="1"/>
  <c r="AK158" i="3"/>
  <c r="AK185" i="3" s="1"/>
  <c r="AK212" i="3" s="1"/>
  <c r="AK136" i="3"/>
  <c r="AK169" i="3" s="1"/>
  <c r="AK196" i="3" s="1"/>
  <c r="AK223" i="3" s="1"/>
  <c r="I17" i="1"/>
  <c r="E159" i="3" l="1"/>
  <c r="G159" i="3"/>
  <c r="G160" i="3" s="1"/>
  <c r="AR159" i="3"/>
  <c r="AR162" i="3" s="1"/>
  <c r="M159" i="3"/>
  <c r="M160" i="3" s="1"/>
  <c r="N159" i="3"/>
  <c r="N162" i="3" s="1"/>
  <c r="AM159" i="3"/>
  <c r="AM160" i="3" s="1"/>
  <c r="U159" i="3"/>
  <c r="U160" i="3" s="1"/>
  <c r="AI159" i="3"/>
  <c r="AI162" i="3" s="1"/>
  <c r="AE159" i="3"/>
  <c r="AE160" i="3" s="1"/>
  <c r="Q159" i="3"/>
  <c r="Q160" i="3" s="1"/>
  <c r="AO159" i="3"/>
  <c r="AO160" i="3" s="1"/>
  <c r="AQ159" i="3"/>
  <c r="AQ160" i="3" s="1"/>
  <c r="V159" i="3"/>
  <c r="V160" i="3" s="1"/>
  <c r="Y159" i="3"/>
  <c r="Y160" i="3" s="1"/>
  <c r="J159" i="3"/>
  <c r="J162" i="3" s="1"/>
  <c r="O159" i="3"/>
  <c r="O160" i="3" s="1"/>
  <c r="W159" i="3"/>
  <c r="W162" i="3" s="1"/>
  <c r="AU159" i="3"/>
  <c r="AU160" i="3" s="1"/>
  <c r="I159" i="3"/>
  <c r="I160" i="3" s="1"/>
  <c r="AL159" i="3"/>
  <c r="AL162" i="3" s="1"/>
  <c r="L159" i="3"/>
  <c r="L160" i="3" s="1"/>
  <c r="AP159" i="3"/>
  <c r="AP160" i="3" s="1"/>
  <c r="AF159" i="3"/>
  <c r="AF160" i="3" s="1"/>
  <c r="AK159" i="3"/>
  <c r="AK162" i="3" s="1"/>
  <c r="AC159" i="3"/>
  <c r="AC162" i="3" s="1"/>
  <c r="AG159" i="3"/>
  <c r="AG162" i="3" s="1"/>
  <c r="AS159" i="3"/>
  <c r="AS162" i="3" s="1"/>
  <c r="X159" i="3"/>
  <c r="X162" i="3" s="1"/>
  <c r="F159" i="3"/>
  <c r="F162" i="3" s="1"/>
  <c r="K159" i="3"/>
  <c r="K162" i="3" s="1"/>
  <c r="T159" i="3"/>
  <c r="T162" i="3" s="1"/>
  <c r="D140" i="3"/>
  <c r="E135" i="3" s="1"/>
  <c r="R159" i="3"/>
  <c r="R162" i="3" s="1"/>
  <c r="H159" i="3"/>
  <c r="H160" i="3" s="1"/>
  <c r="AH159" i="3"/>
  <c r="AH162" i="3" s="1"/>
  <c r="P159" i="3"/>
  <c r="P162" i="3" s="1"/>
  <c r="S159" i="3"/>
  <c r="S162" i="3" s="1"/>
  <c r="AB159" i="3"/>
  <c r="AB160" i="3" s="1"/>
  <c r="AN159" i="3"/>
  <c r="AN160" i="3" s="1"/>
  <c r="AD159" i="3"/>
  <c r="AD162" i="3" s="1"/>
  <c r="AT159" i="3"/>
  <c r="AT160" i="3" s="1"/>
  <c r="Z159" i="3"/>
  <c r="Z162" i="3" s="1"/>
  <c r="AA159" i="3"/>
  <c r="AA160" i="3" s="1"/>
  <c r="AJ159" i="3"/>
  <c r="AJ160" i="3" s="1"/>
  <c r="D31" i="1"/>
  <c r="D32" i="1" s="1"/>
  <c r="F30" i="1"/>
  <c r="H31" i="1"/>
  <c r="H32" i="1" s="1"/>
  <c r="M162" i="3"/>
  <c r="W160" i="3"/>
  <c r="F121" i="3"/>
  <c r="D196" i="3"/>
  <c r="X160" i="3"/>
  <c r="I16" i="1"/>
  <c r="I18" i="1" s="1"/>
  <c r="G29" i="1"/>
  <c r="G31" i="1" s="1"/>
  <c r="D146" i="3"/>
  <c r="E145" i="3"/>
  <c r="D149" i="3"/>
  <c r="D148" i="3"/>
  <c r="K32" i="1"/>
  <c r="E162" i="3"/>
  <c r="E160" i="3"/>
  <c r="F21" i="1"/>
  <c r="L112" i="1" s="1"/>
  <c r="J32" i="1"/>
  <c r="G162" i="3"/>
  <c r="G21" i="1"/>
  <c r="L113" i="1" s="1"/>
  <c r="E21" i="1"/>
  <c r="L111" i="1" s="1"/>
  <c r="O32" i="1"/>
  <c r="D212" i="3"/>
  <c r="AN186" i="3"/>
  <c r="AF186" i="3"/>
  <c r="X186" i="3"/>
  <c r="P186" i="3"/>
  <c r="H186" i="3"/>
  <c r="AU186" i="3"/>
  <c r="AM186" i="3"/>
  <c r="AE186" i="3"/>
  <c r="W186" i="3"/>
  <c r="O186" i="3"/>
  <c r="G186" i="3"/>
  <c r="AT186" i="3"/>
  <c r="AL186" i="3"/>
  <c r="AD186" i="3"/>
  <c r="V186" i="3"/>
  <c r="N186" i="3"/>
  <c r="F186" i="3"/>
  <c r="AS186" i="3"/>
  <c r="AK186" i="3"/>
  <c r="AC186" i="3"/>
  <c r="U186" i="3"/>
  <c r="M186" i="3"/>
  <c r="E186" i="3"/>
  <c r="AR186" i="3"/>
  <c r="AJ186" i="3"/>
  <c r="AQ186" i="3"/>
  <c r="AI186" i="3"/>
  <c r="AA186" i="3"/>
  <c r="S186" i="3"/>
  <c r="K186" i="3"/>
  <c r="AP186" i="3"/>
  <c r="R186" i="3"/>
  <c r="AO186" i="3"/>
  <c r="Q186" i="3"/>
  <c r="AH186" i="3"/>
  <c r="L186" i="3"/>
  <c r="AG186" i="3"/>
  <c r="J186" i="3"/>
  <c r="AB186" i="3"/>
  <c r="I186" i="3"/>
  <c r="Z186" i="3"/>
  <c r="D186" i="3"/>
  <c r="Y186" i="3"/>
  <c r="T186" i="3"/>
  <c r="H21" i="1"/>
  <c r="L114" i="1" s="1"/>
  <c r="P32" i="1"/>
  <c r="E123" i="3"/>
  <c r="E124" i="3"/>
  <c r="AC160" i="3"/>
  <c r="D162" i="3"/>
  <c r="D160" i="3"/>
  <c r="E18" i="1"/>
  <c r="F29" i="1"/>
  <c r="E31" i="1"/>
  <c r="I32" i="1"/>
  <c r="AP162" i="3" l="1"/>
  <c r="Z160" i="3"/>
  <c r="I162" i="3"/>
  <c r="I172" i="3" s="1"/>
  <c r="AA162" i="3"/>
  <c r="K160" i="3"/>
  <c r="AO162" i="3"/>
  <c r="AO172" i="3" s="1"/>
  <c r="Y162" i="3"/>
  <c r="Y172" i="3" s="1"/>
  <c r="V162" i="3"/>
  <c r="V165" i="3" s="1"/>
  <c r="V171" i="3" s="1"/>
  <c r="L162" i="3"/>
  <c r="L165" i="3" s="1"/>
  <c r="L171" i="3" s="1"/>
  <c r="AM162" i="3"/>
  <c r="AM165" i="3" s="1"/>
  <c r="AM171" i="3" s="1"/>
  <c r="AQ162" i="3"/>
  <c r="AQ165" i="3" s="1"/>
  <c r="AQ171" i="3" s="1"/>
  <c r="AF162" i="3"/>
  <c r="AB162" i="3"/>
  <c r="AR160" i="3"/>
  <c r="AS160" i="3"/>
  <c r="AH160" i="3"/>
  <c r="AG160" i="3"/>
  <c r="U162" i="3"/>
  <c r="U165" i="3" s="1"/>
  <c r="U171" i="3" s="1"/>
  <c r="N160" i="3"/>
  <c r="J160" i="3"/>
  <c r="AJ162" i="3"/>
  <c r="O162" i="3"/>
  <c r="O165" i="3" s="1"/>
  <c r="O171" i="3" s="1"/>
  <c r="AI160" i="3"/>
  <c r="AD160" i="3"/>
  <c r="AK160" i="3"/>
  <c r="AN162" i="3"/>
  <c r="AN172" i="3" s="1"/>
  <c r="AL160" i="3"/>
  <c r="P160" i="3"/>
  <c r="T160" i="3"/>
  <c r="AT162" i="3"/>
  <c r="AT165" i="3" s="1"/>
  <c r="AT171" i="3" s="1"/>
  <c r="Q162" i="3"/>
  <c r="Q165" i="3" s="1"/>
  <c r="Q171" i="3" s="1"/>
  <c r="H162" i="3"/>
  <c r="H172" i="3" s="1"/>
  <c r="AU162" i="3"/>
  <c r="AU165" i="3" s="1"/>
  <c r="AU171" i="3" s="1"/>
  <c r="AE162" i="3"/>
  <c r="AE172" i="3" s="1"/>
  <c r="R160" i="3"/>
  <c r="S160" i="3"/>
  <c r="F160" i="3"/>
  <c r="J187" i="3"/>
  <c r="J189" i="3"/>
  <c r="K187" i="3"/>
  <c r="K189" i="3"/>
  <c r="M189" i="3"/>
  <c r="M187" i="3"/>
  <c r="AD189" i="3"/>
  <c r="AD187" i="3"/>
  <c r="AU189" i="3"/>
  <c r="AU187" i="3"/>
  <c r="AO165" i="3"/>
  <c r="AO171" i="3" s="1"/>
  <c r="AI165" i="3"/>
  <c r="AI171" i="3" s="1"/>
  <c r="AI172" i="3"/>
  <c r="AG165" i="3"/>
  <c r="AG171" i="3" s="1"/>
  <c r="AG172" i="3"/>
  <c r="U189" i="3"/>
  <c r="U187" i="3"/>
  <c r="H187" i="3"/>
  <c r="H189" i="3"/>
  <c r="J165" i="3"/>
  <c r="J171" i="3" s="1"/>
  <c r="J172" i="3"/>
  <c r="I165" i="3"/>
  <c r="I171" i="3" s="1"/>
  <c r="AA165" i="3"/>
  <c r="AA171" i="3" s="1"/>
  <c r="AA172" i="3"/>
  <c r="E146" i="3"/>
  <c r="F145" i="3"/>
  <c r="E149" i="3"/>
  <c r="E148" i="3"/>
  <c r="G32" i="1"/>
  <c r="K165" i="3"/>
  <c r="K171" i="3" s="1"/>
  <c r="K172" i="3"/>
  <c r="W165" i="3"/>
  <c r="W171" i="3" s="1"/>
  <c r="W172" i="3"/>
  <c r="T187" i="3"/>
  <c r="T189" i="3"/>
  <c r="P187" i="3"/>
  <c r="P189" i="3"/>
  <c r="AG187" i="3"/>
  <c r="AG189" i="3"/>
  <c r="AA187" i="3"/>
  <c r="AA189" i="3"/>
  <c r="F31" i="1"/>
  <c r="G33" i="1" s="1"/>
  <c r="E32" i="1"/>
  <c r="Y187" i="3"/>
  <c r="Y189" i="3"/>
  <c r="AH187" i="3"/>
  <c r="AH189" i="3"/>
  <c r="AI187" i="3"/>
  <c r="AI189" i="3"/>
  <c r="AK189" i="3"/>
  <c r="AK187" i="3"/>
  <c r="G189" i="3"/>
  <c r="G187" i="3"/>
  <c r="X187" i="3"/>
  <c r="X189" i="3"/>
  <c r="AL165" i="3"/>
  <c r="AL171" i="3" s="1"/>
  <c r="AL172" i="3"/>
  <c r="Z165" i="3"/>
  <c r="Z171" i="3" s="1"/>
  <c r="Z172" i="3"/>
  <c r="P165" i="3"/>
  <c r="P171" i="3" s="1"/>
  <c r="P172" i="3"/>
  <c r="AH165" i="3"/>
  <c r="AH171" i="3" s="1"/>
  <c r="AH172" i="3"/>
  <c r="AS165" i="3"/>
  <c r="AS171" i="3" s="1"/>
  <c r="AS172" i="3"/>
  <c r="AS178" i="3" s="1"/>
  <c r="AS179" i="3" s="1"/>
  <c r="D223" i="3"/>
  <c r="AQ187" i="3"/>
  <c r="AQ189" i="3"/>
  <c r="AF187" i="3"/>
  <c r="AF189" i="3"/>
  <c r="G165" i="3"/>
  <c r="G171" i="3" s="1"/>
  <c r="G172" i="3"/>
  <c r="AR165" i="3"/>
  <c r="AR171" i="3" s="1"/>
  <c r="AR172" i="3"/>
  <c r="AD165" i="3"/>
  <c r="AD171" i="3" s="1"/>
  <c r="AD172" i="3"/>
  <c r="F165" i="3"/>
  <c r="F171" i="3" s="1"/>
  <c r="F172" i="3"/>
  <c r="G121" i="3"/>
  <c r="I122" i="3"/>
  <c r="J122" i="3" s="1"/>
  <c r="K122" i="3" s="1"/>
  <c r="L122" i="3" s="1"/>
  <c r="M122" i="3" s="1"/>
  <c r="N122" i="3" s="1"/>
  <c r="O122" i="3" s="1"/>
  <c r="P122" i="3" s="1"/>
  <c r="Q122" i="3" s="1"/>
  <c r="R122" i="3" s="1"/>
  <c r="S122" i="3" s="1"/>
  <c r="T122" i="3" s="1"/>
  <c r="U122" i="3" s="1"/>
  <c r="V122" i="3" s="1"/>
  <c r="W122" i="3" s="1"/>
  <c r="X122" i="3" s="1"/>
  <c r="Y122" i="3" s="1"/>
  <c r="Z122" i="3" s="1"/>
  <c r="AA122" i="3" s="1"/>
  <c r="AB122" i="3" s="1"/>
  <c r="AC122" i="3" s="1"/>
  <c r="AD122" i="3" s="1"/>
  <c r="AE122" i="3" s="1"/>
  <c r="AF122" i="3" s="1"/>
  <c r="AG122" i="3" s="1"/>
  <c r="AH122" i="3" s="1"/>
  <c r="AI122" i="3" s="1"/>
  <c r="AJ122" i="3" s="1"/>
  <c r="AK122" i="3" s="1"/>
  <c r="AL122" i="3" s="1"/>
  <c r="AM122" i="3" s="1"/>
  <c r="AN122" i="3" s="1"/>
  <c r="AO122" i="3" s="1"/>
  <c r="AP122" i="3" s="1"/>
  <c r="AQ122" i="3" s="1"/>
  <c r="AR122" i="3" s="1"/>
  <c r="AS122" i="3" s="1"/>
  <c r="AT122" i="3" s="1"/>
  <c r="AU122" i="3" s="1"/>
  <c r="AL189" i="3"/>
  <c r="AL187" i="3"/>
  <c r="AC189" i="3"/>
  <c r="AC187" i="3"/>
  <c r="D187" i="3"/>
  <c r="D189" i="3"/>
  <c r="AS189" i="3"/>
  <c r="AS187" i="3"/>
  <c r="O189" i="3"/>
  <c r="O187" i="3"/>
  <c r="E125" i="3"/>
  <c r="E126" i="3"/>
  <c r="E139" i="3"/>
  <c r="E170" i="3" s="1"/>
  <c r="E197" i="3" s="1"/>
  <c r="E224" i="3" s="1"/>
  <c r="Z187" i="3"/>
  <c r="Z189" i="3"/>
  <c r="AO187" i="3"/>
  <c r="AO189" i="3"/>
  <c r="AJ187" i="3"/>
  <c r="AJ189" i="3"/>
  <c r="F189" i="3"/>
  <c r="F187" i="3"/>
  <c r="W189" i="3"/>
  <c r="W187" i="3"/>
  <c r="AN187" i="3"/>
  <c r="AN189" i="3"/>
  <c r="Y165" i="3"/>
  <c r="Y171" i="3" s="1"/>
  <c r="AB165" i="3"/>
  <c r="AB171" i="3" s="1"/>
  <c r="AB172" i="3"/>
  <c r="AJ165" i="3"/>
  <c r="AJ171" i="3" s="1"/>
  <c r="AJ172" i="3"/>
  <c r="T165" i="3"/>
  <c r="T171" i="3" s="1"/>
  <c r="T172" i="3"/>
  <c r="F123" i="3"/>
  <c r="F124" i="3"/>
  <c r="AC165" i="3"/>
  <c r="AC171" i="3" s="1"/>
  <c r="AC172" i="3"/>
  <c r="AT189" i="3"/>
  <c r="AT187" i="3"/>
  <c r="Q187" i="3"/>
  <c r="Q189" i="3"/>
  <c r="AP165" i="3"/>
  <c r="AP171" i="3" s="1"/>
  <c r="AP172" i="3"/>
  <c r="I187" i="3"/>
  <c r="I189" i="3"/>
  <c r="R187" i="3"/>
  <c r="R189" i="3"/>
  <c r="AR187" i="3"/>
  <c r="AR189" i="3"/>
  <c r="N189" i="3"/>
  <c r="N187" i="3"/>
  <c r="AE189" i="3"/>
  <c r="AE187" i="3"/>
  <c r="AN213" i="3"/>
  <c r="AF213" i="3"/>
  <c r="X213" i="3"/>
  <c r="P213" i="3"/>
  <c r="H213" i="3"/>
  <c r="AU213" i="3"/>
  <c r="AM213" i="3"/>
  <c r="AE213" i="3"/>
  <c r="W213" i="3"/>
  <c r="O213" i="3"/>
  <c r="G213" i="3"/>
  <c r="AT213" i="3"/>
  <c r="AS213" i="3"/>
  <c r="AR213" i="3"/>
  <c r="AQ213" i="3"/>
  <c r="AP213" i="3"/>
  <c r="AO213" i="3"/>
  <c r="AL213" i="3"/>
  <c r="AB213" i="3"/>
  <c r="R213" i="3"/>
  <c r="F213" i="3"/>
  <c r="AK213" i="3"/>
  <c r="AA213" i="3"/>
  <c r="Q213" i="3"/>
  <c r="E213" i="3"/>
  <c r="AJ213" i="3"/>
  <c r="Z213" i="3"/>
  <c r="N213" i="3"/>
  <c r="D213" i="3"/>
  <c r="AI213" i="3"/>
  <c r="Y213" i="3"/>
  <c r="M213" i="3"/>
  <c r="AH213" i="3"/>
  <c r="V213" i="3"/>
  <c r="L213" i="3"/>
  <c r="AG213" i="3"/>
  <c r="U213" i="3"/>
  <c r="K213" i="3"/>
  <c r="AD213" i="3"/>
  <c r="T213" i="3"/>
  <c r="J213" i="3"/>
  <c r="AC213" i="3"/>
  <c r="S213" i="3"/>
  <c r="I213" i="3"/>
  <c r="N165" i="3"/>
  <c r="N171" i="3" s="1"/>
  <c r="N172" i="3"/>
  <c r="M165" i="3"/>
  <c r="M171" i="3" s="1"/>
  <c r="M172" i="3"/>
  <c r="D165" i="3"/>
  <c r="D171" i="3" s="1"/>
  <c r="D172" i="3"/>
  <c r="S187" i="3"/>
  <c r="S189" i="3"/>
  <c r="AF165" i="3"/>
  <c r="AF171" i="3" s="1"/>
  <c r="AF172" i="3"/>
  <c r="L187" i="3"/>
  <c r="L189" i="3"/>
  <c r="AK165" i="3"/>
  <c r="AK171" i="3" s="1"/>
  <c r="AK172" i="3"/>
  <c r="AB187" i="3"/>
  <c r="AB189" i="3"/>
  <c r="AP187" i="3"/>
  <c r="AP189" i="3"/>
  <c r="E189" i="3"/>
  <c r="E187" i="3"/>
  <c r="V189" i="3"/>
  <c r="V187" i="3"/>
  <c r="AM189" i="3"/>
  <c r="AM187" i="3"/>
  <c r="E165" i="3"/>
  <c r="E171" i="3" s="1"/>
  <c r="E172" i="3"/>
  <c r="S165" i="3"/>
  <c r="S171" i="3" s="1"/>
  <c r="S172" i="3"/>
  <c r="R165" i="3"/>
  <c r="R171" i="3" s="1"/>
  <c r="R172" i="3"/>
  <c r="X165" i="3"/>
  <c r="X171" i="3" s="1"/>
  <c r="X172" i="3"/>
  <c r="V172" i="3" l="1"/>
  <c r="AM172" i="3"/>
  <c r="AO177" i="3" s="1"/>
  <c r="L172" i="3"/>
  <c r="AN165" i="3"/>
  <c r="AN171" i="3" s="1"/>
  <c r="AQ172" i="3"/>
  <c r="Q172" i="3"/>
  <c r="Q178" i="3" s="1"/>
  <c r="Q179" i="3" s="1"/>
  <c r="H165" i="3"/>
  <c r="H171" i="3" s="1"/>
  <c r="U172" i="3"/>
  <c r="X177" i="3" s="1"/>
  <c r="AE165" i="3"/>
  <c r="AE171" i="3" s="1"/>
  <c r="E140" i="3"/>
  <c r="F135" i="3" s="1"/>
  <c r="AT172" i="3"/>
  <c r="AT178" i="3" s="1"/>
  <c r="AT179" i="3" s="1"/>
  <c r="O172" i="3"/>
  <c r="P180" i="3" s="1"/>
  <c r="AU172" i="3"/>
  <c r="AU178" i="3" s="1"/>
  <c r="AU179" i="3" s="1"/>
  <c r="E33" i="1"/>
  <c r="AD216" i="3"/>
  <c r="AD214" i="3"/>
  <c r="Y214" i="3"/>
  <c r="Y216" i="3"/>
  <c r="AA214" i="3"/>
  <c r="AA216" i="3"/>
  <c r="AQ214" i="3"/>
  <c r="AQ216" i="3"/>
  <c r="AM216" i="3"/>
  <c r="AM214" i="3"/>
  <c r="AE192" i="3"/>
  <c r="AE198" i="3" s="1"/>
  <c r="AE199" i="3"/>
  <c r="W192" i="3"/>
  <c r="W198" i="3" s="1"/>
  <c r="W199" i="3"/>
  <c r="AA192" i="3"/>
  <c r="AA198" i="3" s="1"/>
  <c r="AA199" i="3"/>
  <c r="L178" i="3"/>
  <c r="L179" i="3" s="1"/>
  <c r="H178" i="3"/>
  <c r="H179" i="3" s="1"/>
  <c r="K177" i="3"/>
  <c r="K192" i="3"/>
  <c r="K198" i="3" s="1"/>
  <c r="K199" i="3"/>
  <c r="L192" i="3"/>
  <c r="L198" i="3" s="1"/>
  <c r="L199" i="3"/>
  <c r="K214" i="3"/>
  <c r="K216" i="3"/>
  <c r="AI214" i="3"/>
  <c r="AI216" i="3"/>
  <c r="AK216" i="3"/>
  <c r="AK214" i="3"/>
  <c r="AR214" i="3"/>
  <c r="AR216" i="3"/>
  <c r="AU216" i="3"/>
  <c r="AU214" i="3"/>
  <c r="T178" i="3"/>
  <c r="T179" i="3" s="1"/>
  <c r="Y178" i="3"/>
  <c r="Y179" i="3" s="1"/>
  <c r="AB177" i="3"/>
  <c r="AM178" i="3"/>
  <c r="AM179" i="3" s="1"/>
  <c r="AP177" i="3"/>
  <c r="AR178" i="3"/>
  <c r="AR179" i="3" s="1"/>
  <c r="AQ192" i="3"/>
  <c r="AQ198" i="3" s="1"/>
  <c r="AQ199" i="3"/>
  <c r="AL178" i="3"/>
  <c r="AL179" i="3" s="1"/>
  <c r="AI192" i="3"/>
  <c r="AI198" i="3" s="1"/>
  <c r="AI199" i="3"/>
  <c r="Y192" i="3"/>
  <c r="Y198" i="3" s="1"/>
  <c r="Y199" i="3"/>
  <c r="U192" i="3"/>
  <c r="U198" i="3" s="1"/>
  <c r="U199" i="3"/>
  <c r="AD192" i="3"/>
  <c r="AD198" i="3" s="1"/>
  <c r="AD199" i="3"/>
  <c r="R178" i="3"/>
  <c r="R179" i="3" s="1"/>
  <c r="U216" i="3"/>
  <c r="U214" i="3"/>
  <c r="AS216" i="3"/>
  <c r="AS214" i="3"/>
  <c r="H214" i="3"/>
  <c r="H216" i="3"/>
  <c r="AT192" i="3"/>
  <c r="AT198" i="3" s="1"/>
  <c r="AT199" i="3"/>
  <c r="AT205" i="3" s="1"/>
  <c r="AT206" i="3" s="1"/>
  <c r="AO192" i="3"/>
  <c r="AO198" i="3" s="1"/>
  <c r="AO199" i="3"/>
  <c r="AC192" i="3"/>
  <c r="AC198" i="3" s="1"/>
  <c r="AC199" i="3"/>
  <c r="G192" i="3"/>
  <c r="G198" i="3" s="1"/>
  <c r="G199" i="3"/>
  <c r="P192" i="3"/>
  <c r="P198" i="3" s="1"/>
  <c r="P199" i="3"/>
  <c r="W178" i="3"/>
  <c r="W179" i="3" s="1"/>
  <c r="Z177" i="3"/>
  <c r="F146" i="3"/>
  <c r="G145" i="3"/>
  <c r="F149" i="3"/>
  <c r="F148" i="3"/>
  <c r="J178" i="3"/>
  <c r="J179" i="3" s="1"/>
  <c r="M177" i="3"/>
  <c r="AI178" i="3"/>
  <c r="AI179" i="3" s="1"/>
  <c r="AL177" i="3"/>
  <c r="T177" i="3"/>
  <c r="I214" i="3"/>
  <c r="I216" i="3"/>
  <c r="AG214" i="3"/>
  <c r="AG216" i="3"/>
  <c r="N216" i="3"/>
  <c r="N214" i="3"/>
  <c r="R214" i="3"/>
  <c r="R216" i="3"/>
  <c r="AT216" i="3"/>
  <c r="AT214" i="3"/>
  <c r="P214" i="3"/>
  <c r="P216" i="3"/>
  <c r="R192" i="3"/>
  <c r="R198" i="3" s="1"/>
  <c r="R199" i="3"/>
  <c r="AP178" i="3"/>
  <c r="AP179" i="3" s="1"/>
  <c r="AJ178" i="3"/>
  <c r="AJ179" i="3" s="1"/>
  <c r="AM177" i="3"/>
  <c r="AN192" i="3"/>
  <c r="AN198" i="3" s="1"/>
  <c r="AN199" i="3"/>
  <c r="AS192" i="3"/>
  <c r="AS198" i="3" s="1"/>
  <c r="AS199" i="3"/>
  <c r="AS205" i="3" s="1"/>
  <c r="AS206" i="3" s="1"/>
  <c r="H121" i="3"/>
  <c r="G178" i="3"/>
  <c r="G179" i="3" s="1"/>
  <c r="J177" i="3"/>
  <c r="AH178" i="3"/>
  <c r="AH179" i="3" s="1"/>
  <c r="AK177" i="3"/>
  <c r="AE178" i="3"/>
  <c r="AE179" i="3" s="1"/>
  <c r="AH177" i="3"/>
  <c r="X178" i="3"/>
  <c r="X179" i="3" s="1"/>
  <c r="AA177" i="3"/>
  <c r="D214" i="3"/>
  <c r="D216" i="3"/>
  <c r="E192" i="3"/>
  <c r="E198" i="3" s="1"/>
  <c r="E199" i="3"/>
  <c r="D178" i="3"/>
  <c r="D179" i="3" s="1"/>
  <c r="M180" i="3"/>
  <c r="N180" i="3"/>
  <c r="G180" i="3"/>
  <c r="D180" i="3"/>
  <c r="F180" i="3"/>
  <c r="J180" i="3"/>
  <c r="I180" i="3"/>
  <c r="G177" i="3"/>
  <c r="H180" i="3"/>
  <c r="L180" i="3"/>
  <c r="K180" i="3"/>
  <c r="E180" i="3"/>
  <c r="S178" i="3"/>
  <c r="S179" i="3" s="1"/>
  <c r="D173" i="3"/>
  <c r="S214" i="3"/>
  <c r="S216" i="3"/>
  <c r="L214" i="3"/>
  <c r="L216" i="3"/>
  <c r="Z214" i="3"/>
  <c r="Z216" i="3"/>
  <c r="AB214" i="3"/>
  <c r="AB216" i="3"/>
  <c r="G216" i="3"/>
  <c r="G214" i="3"/>
  <c r="X214" i="3"/>
  <c r="X216" i="3"/>
  <c r="N192" i="3"/>
  <c r="N198" i="3" s="1"/>
  <c r="N199" i="3"/>
  <c r="F192" i="3"/>
  <c r="F198" i="3" s="1"/>
  <c r="F199" i="3"/>
  <c r="G123" i="3"/>
  <c r="G124" i="3"/>
  <c r="AG192" i="3"/>
  <c r="AG198" i="3" s="1"/>
  <c r="AG199" i="3"/>
  <c r="K178" i="3"/>
  <c r="K179" i="3" s="1"/>
  <c r="N177" i="3"/>
  <c r="AA178" i="3"/>
  <c r="AA179" i="3" s="1"/>
  <c r="AD177" i="3"/>
  <c r="H192" i="3"/>
  <c r="H198" i="3" s="1"/>
  <c r="H199" i="3"/>
  <c r="AO178" i="3"/>
  <c r="AO179" i="3" s="1"/>
  <c r="J192" i="3"/>
  <c r="J198" i="3" s="1"/>
  <c r="J199" i="3"/>
  <c r="F216" i="3"/>
  <c r="F214" i="3"/>
  <c r="AF178" i="3"/>
  <c r="AF179" i="3" s="1"/>
  <c r="AI177" i="3"/>
  <c r="V216" i="3"/>
  <c r="V214" i="3"/>
  <c r="AL216" i="3"/>
  <c r="AL214" i="3"/>
  <c r="AF214" i="3"/>
  <c r="AF216" i="3"/>
  <c r="AC178" i="3"/>
  <c r="AC179" i="3" s="1"/>
  <c r="AF177" i="3"/>
  <c r="AB178" i="3"/>
  <c r="AB179" i="3" s="1"/>
  <c r="AE177" i="3"/>
  <c r="F178" i="3"/>
  <c r="F179" i="3" s="1"/>
  <c r="I177" i="3"/>
  <c r="AF192" i="3"/>
  <c r="AF198" i="3" s="1"/>
  <c r="AF199" i="3"/>
  <c r="P178" i="3"/>
  <c r="P179" i="3" s="1"/>
  <c r="X192" i="3"/>
  <c r="X198" i="3" s="1"/>
  <c r="X199" i="3"/>
  <c r="AH192" i="3"/>
  <c r="AH198" i="3" s="1"/>
  <c r="AH199" i="3"/>
  <c r="AU192" i="3"/>
  <c r="AU198" i="3" s="1"/>
  <c r="AU199" i="3"/>
  <c r="AU205" i="3" s="1"/>
  <c r="AU206" i="3" s="1"/>
  <c r="M192" i="3"/>
  <c r="M198" i="3" s="1"/>
  <c r="M199" i="3"/>
  <c r="AB192" i="3"/>
  <c r="AB198" i="3" s="1"/>
  <c r="AB199" i="3"/>
  <c r="AM192" i="3"/>
  <c r="AM198" i="3" s="1"/>
  <c r="AM199" i="3"/>
  <c r="AP192" i="3"/>
  <c r="AP198" i="3" s="1"/>
  <c r="AP199" i="3"/>
  <c r="M178" i="3"/>
  <c r="M179" i="3" s="1"/>
  <c r="AJ214" i="3"/>
  <c r="AJ216" i="3"/>
  <c r="Q192" i="3"/>
  <c r="Q198" i="3" s="1"/>
  <c r="Q199" i="3"/>
  <c r="J214" i="3"/>
  <c r="J216" i="3"/>
  <c r="AH214" i="3"/>
  <c r="AH216" i="3"/>
  <c r="E216" i="3"/>
  <c r="E214" i="3"/>
  <c r="AO214" i="3"/>
  <c r="AO216" i="3"/>
  <c r="W216" i="3"/>
  <c r="W214" i="3"/>
  <c r="AN214" i="3"/>
  <c r="AN216" i="3"/>
  <c r="AJ192" i="3"/>
  <c r="AJ198" i="3" s="1"/>
  <c r="AJ199" i="3"/>
  <c r="Z192" i="3"/>
  <c r="Z198" i="3" s="1"/>
  <c r="Z199" i="3"/>
  <c r="D192" i="3"/>
  <c r="D198" i="3" s="1"/>
  <c r="D199" i="3"/>
  <c r="AL192" i="3"/>
  <c r="AL198" i="3" s="1"/>
  <c r="AL199" i="3"/>
  <c r="AK192" i="3"/>
  <c r="AK198" i="3" s="1"/>
  <c r="AK199" i="3"/>
  <c r="T192" i="3"/>
  <c r="T198" i="3" s="1"/>
  <c r="T199" i="3"/>
  <c r="I178" i="3"/>
  <c r="I179" i="3" s="1"/>
  <c r="L177" i="3"/>
  <c r="AG178" i="3"/>
  <c r="AG179" i="3" s="1"/>
  <c r="AJ177" i="3"/>
  <c r="E178" i="3"/>
  <c r="E179" i="3" s="1"/>
  <c r="H177" i="3"/>
  <c r="AK178" i="3"/>
  <c r="AK179" i="3" s="1"/>
  <c r="AN177" i="3"/>
  <c r="AC216" i="3"/>
  <c r="AC214" i="3"/>
  <c r="O216" i="3"/>
  <c r="O214" i="3"/>
  <c r="AN178" i="3"/>
  <c r="AN179" i="3" s="1"/>
  <c r="V192" i="3"/>
  <c r="V198" i="3" s="1"/>
  <c r="V199" i="3"/>
  <c r="S192" i="3"/>
  <c r="S198" i="3" s="1"/>
  <c r="S199" i="3"/>
  <c r="N178" i="3"/>
  <c r="N179" i="3" s="1"/>
  <c r="T214" i="3"/>
  <c r="T216" i="3"/>
  <c r="M216" i="3"/>
  <c r="M214" i="3"/>
  <c r="Q214" i="3"/>
  <c r="Q216" i="3"/>
  <c r="AP214" i="3"/>
  <c r="AP216" i="3"/>
  <c r="AE216" i="3"/>
  <c r="AE214" i="3"/>
  <c r="AR192" i="3"/>
  <c r="AR198" i="3" s="1"/>
  <c r="AR199" i="3"/>
  <c r="I192" i="3"/>
  <c r="I198" i="3" s="1"/>
  <c r="I199" i="3"/>
  <c r="F126" i="3"/>
  <c r="F139" i="3"/>
  <c r="F170" i="3" s="1"/>
  <c r="F197" i="3" s="1"/>
  <c r="F224" i="3" s="1"/>
  <c r="F125" i="3"/>
  <c r="V178" i="3"/>
  <c r="V179" i="3" s="1"/>
  <c r="Y177" i="3"/>
  <c r="O192" i="3"/>
  <c r="O198" i="3" s="1"/>
  <c r="O199" i="3"/>
  <c r="AD178" i="3"/>
  <c r="AD179" i="3" s="1"/>
  <c r="AG177" i="3"/>
  <c r="Z178" i="3"/>
  <c r="Z179" i="3" s="1"/>
  <c r="AC177" i="3"/>
  <c r="F33" i="1"/>
  <c r="F32" i="1"/>
  <c r="D105" i="1" s="1"/>
  <c r="Q33" i="1"/>
  <c r="M33" i="1"/>
  <c r="J33" i="1"/>
  <c r="P33" i="1"/>
  <c r="H33" i="1"/>
  <c r="D33" i="1"/>
  <c r="O33" i="1"/>
  <c r="I33" i="1"/>
  <c r="K33" i="1"/>
  <c r="O178" i="3" l="1"/>
  <c r="O179" i="3" s="1"/>
  <c r="P177" i="3"/>
  <c r="O180" i="3"/>
  <c r="S180" i="3"/>
  <c r="AT177" i="3"/>
  <c r="AJ180" i="3"/>
  <c r="R180" i="3"/>
  <c r="AA180" i="3"/>
  <c r="T180" i="3"/>
  <c r="Q180" i="3"/>
  <c r="AO180" i="3"/>
  <c r="AL180" i="3"/>
  <c r="Q177" i="3"/>
  <c r="S177" i="3"/>
  <c r="V180" i="3"/>
  <c r="O177" i="3"/>
  <c r="AB180" i="3"/>
  <c r="AP180" i="3"/>
  <c r="AH180" i="3"/>
  <c r="W180" i="3"/>
  <c r="AM180" i="3"/>
  <c r="V177" i="3"/>
  <c r="X180" i="3"/>
  <c r="AI180" i="3"/>
  <c r="Z180" i="3"/>
  <c r="AC180" i="3"/>
  <c r="AD180" i="3"/>
  <c r="AG180" i="3"/>
  <c r="U178" i="3"/>
  <c r="U179" i="3" s="1"/>
  <c r="U177" i="3"/>
  <c r="AK180" i="3"/>
  <c r="AF180" i="3"/>
  <c r="U180" i="3"/>
  <c r="AN180" i="3"/>
  <c r="AE180" i="3"/>
  <c r="Y180" i="3"/>
  <c r="AR180" i="3"/>
  <c r="AU180" i="3"/>
  <c r="AS180" i="3"/>
  <c r="AU177" i="3"/>
  <c r="AQ178" i="3"/>
  <c r="AQ179" i="3" s="1"/>
  <c r="AT180" i="3"/>
  <c r="AQ177" i="3"/>
  <c r="AQ180" i="3"/>
  <c r="AR177" i="3"/>
  <c r="AS177" i="3"/>
  <c r="W177" i="3"/>
  <c r="R177" i="3"/>
  <c r="F140" i="3"/>
  <c r="G135" i="3" s="1"/>
  <c r="D200" i="3"/>
  <c r="D201" i="3" s="1"/>
  <c r="J219" i="3"/>
  <c r="J225" i="3" s="1"/>
  <c r="J226" i="3"/>
  <c r="AB205" i="3"/>
  <c r="AB206" i="3" s="1"/>
  <c r="AE204" i="3"/>
  <c r="X205" i="3"/>
  <c r="X206" i="3" s="1"/>
  <c r="AA204" i="3"/>
  <c r="AF219" i="3"/>
  <c r="AF225" i="3" s="1"/>
  <c r="AF226" i="3"/>
  <c r="G219" i="3"/>
  <c r="G225" i="3" s="1"/>
  <c r="G226" i="3"/>
  <c r="W205" i="3"/>
  <c r="W206" i="3" s="1"/>
  <c r="Z204" i="3"/>
  <c r="Y219" i="3"/>
  <c r="Y225" i="3" s="1"/>
  <c r="Y226" i="3"/>
  <c r="AR205" i="3"/>
  <c r="AR206" i="3" s="1"/>
  <c r="AU204" i="3"/>
  <c r="M219" i="3"/>
  <c r="M225" i="3" s="1"/>
  <c r="M226" i="3"/>
  <c r="S205" i="3"/>
  <c r="S206" i="3" s="1"/>
  <c r="V204" i="3"/>
  <c r="T205" i="3"/>
  <c r="T206" i="3" s="1"/>
  <c r="W204" i="3"/>
  <c r="Z205" i="3"/>
  <c r="Z206" i="3" s="1"/>
  <c r="AC204" i="3"/>
  <c r="V219" i="3"/>
  <c r="V225" i="3" s="1"/>
  <c r="V226" i="3"/>
  <c r="J205" i="3"/>
  <c r="J206" i="3" s="1"/>
  <c r="M204" i="3"/>
  <c r="N205" i="3"/>
  <c r="N206" i="3" s="1"/>
  <c r="Q204" i="3"/>
  <c r="I121" i="3"/>
  <c r="I219" i="3"/>
  <c r="I225" i="3" s="1"/>
  <c r="I226" i="3"/>
  <c r="P205" i="3"/>
  <c r="P206" i="3" s="1"/>
  <c r="S204" i="3"/>
  <c r="AD205" i="3"/>
  <c r="AD206" i="3" s="1"/>
  <c r="AG204" i="3"/>
  <c r="AI219" i="3"/>
  <c r="AI225" i="3" s="1"/>
  <c r="AI226" i="3"/>
  <c r="AQ219" i="3"/>
  <c r="AQ225" i="3" s="1"/>
  <c r="AQ226" i="3"/>
  <c r="M205" i="3"/>
  <c r="M206" i="3" s="1"/>
  <c r="P204" i="3"/>
  <c r="H123" i="3"/>
  <c r="H124" i="3"/>
  <c r="AT219" i="3"/>
  <c r="AT225" i="3" s="1"/>
  <c r="AT226" i="3"/>
  <c r="AT232" i="3" s="1"/>
  <c r="AT233" i="3" s="1"/>
  <c r="N219" i="3"/>
  <c r="N225" i="3" s="1"/>
  <c r="N226" i="3"/>
  <c r="AS219" i="3"/>
  <c r="AS225" i="3" s="1"/>
  <c r="AS226" i="3"/>
  <c r="AS232" i="3" s="1"/>
  <c r="AS233" i="3" s="1"/>
  <c r="AR219" i="3"/>
  <c r="AR225" i="3" s="1"/>
  <c r="AR226" i="3"/>
  <c r="AE205" i="3"/>
  <c r="AE206" i="3" s="1"/>
  <c r="AH204" i="3"/>
  <c r="O219" i="3"/>
  <c r="O225" i="3" s="1"/>
  <c r="O226" i="3"/>
  <c r="Q219" i="3"/>
  <c r="Q225" i="3" s="1"/>
  <c r="Q226" i="3"/>
  <c r="T219" i="3"/>
  <c r="T225" i="3" s="1"/>
  <c r="T226" i="3"/>
  <c r="V205" i="3"/>
  <c r="V206" i="3" s="1"/>
  <c r="Y204" i="3"/>
  <c r="AK205" i="3"/>
  <c r="AK206" i="3" s="1"/>
  <c r="AN204" i="3"/>
  <c r="AJ205" i="3"/>
  <c r="AJ206" i="3" s="1"/>
  <c r="AM204" i="3"/>
  <c r="E219" i="3"/>
  <c r="E225" i="3" s="1"/>
  <c r="E226" i="3"/>
  <c r="AG205" i="3"/>
  <c r="AG206" i="3" s="1"/>
  <c r="AJ204" i="3"/>
  <c r="X219" i="3"/>
  <c r="X225" i="3" s="1"/>
  <c r="X226" i="3"/>
  <c r="L219" i="3"/>
  <c r="L225" i="3" s="1"/>
  <c r="L226" i="3"/>
  <c r="D175" i="3"/>
  <c r="E168" i="3"/>
  <c r="E173" i="3" s="1"/>
  <c r="D174" i="3"/>
  <c r="R205" i="3"/>
  <c r="R206" i="3" s="1"/>
  <c r="U204" i="3"/>
  <c r="G205" i="3"/>
  <c r="G206" i="3" s="1"/>
  <c r="J204" i="3"/>
  <c r="H219" i="3"/>
  <c r="H225" i="3" s="1"/>
  <c r="H226" i="3"/>
  <c r="U205" i="3"/>
  <c r="U206" i="3" s="1"/>
  <c r="X204" i="3"/>
  <c r="AQ205" i="3"/>
  <c r="AQ206" i="3" s="1"/>
  <c r="AT204" i="3"/>
  <c r="L205" i="3"/>
  <c r="L206" i="3" s="1"/>
  <c r="O204" i="3"/>
  <c r="W219" i="3"/>
  <c r="W225" i="3" s="1"/>
  <c r="W226" i="3"/>
  <c r="AB219" i="3"/>
  <c r="AB225" i="3" s="1"/>
  <c r="AB226" i="3"/>
  <c r="E205" i="3"/>
  <c r="E206" i="3" s="1"/>
  <c r="H204" i="3"/>
  <c r="AH219" i="3"/>
  <c r="AH225" i="3" s="1"/>
  <c r="AH226" i="3"/>
  <c r="AP205" i="3"/>
  <c r="AP206" i="3" s="1"/>
  <c r="AS204" i="3"/>
  <c r="AL205" i="3"/>
  <c r="AL206" i="3" s="1"/>
  <c r="AO204" i="3"/>
  <c r="AN219" i="3"/>
  <c r="AN225" i="3" s="1"/>
  <c r="AN226" i="3"/>
  <c r="AO219" i="3"/>
  <c r="AO225" i="3" s="1"/>
  <c r="AO226" i="3"/>
  <c r="AL219" i="3"/>
  <c r="AL225" i="3" s="1"/>
  <c r="AL226" i="3"/>
  <c r="H205" i="3"/>
  <c r="H206" i="3" s="1"/>
  <c r="K204" i="3"/>
  <c r="G126" i="3"/>
  <c r="G139" i="3"/>
  <c r="G170" i="3" s="1"/>
  <c r="G197" i="3" s="1"/>
  <c r="G224" i="3" s="1"/>
  <c r="G125" i="3"/>
  <c r="AN205" i="3"/>
  <c r="AN206" i="3" s="1"/>
  <c r="AQ204" i="3"/>
  <c r="P219" i="3"/>
  <c r="P225" i="3" s="1"/>
  <c r="P226" i="3"/>
  <c r="R219" i="3"/>
  <c r="R225" i="3" s="1"/>
  <c r="R226" i="3"/>
  <c r="AG219" i="3"/>
  <c r="AG225" i="3" s="1"/>
  <c r="AG226" i="3"/>
  <c r="G147" i="3"/>
  <c r="H145" i="3"/>
  <c r="G149" i="3"/>
  <c r="G146" i="3"/>
  <c r="G148" i="3"/>
  <c r="AC205" i="3"/>
  <c r="AC206" i="3" s="1"/>
  <c r="AF204" i="3"/>
  <c r="U219" i="3"/>
  <c r="U225" i="3" s="1"/>
  <c r="U226" i="3"/>
  <c r="Y205" i="3"/>
  <c r="Y206" i="3" s="1"/>
  <c r="AB204" i="3"/>
  <c r="K205" i="3"/>
  <c r="K206" i="3" s="1"/>
  <c r="N204" i="3"/>
  <c r="AA205" i="3"/>
  <c r="AA206" i="3" s="1"/>
  <c r="AD204" i="3"/>
  <c r="AM219" i="3"/>
  <c r="AM225" i="3" s="1"/>
  <c r="AM226" i="3"/>
  <c r="AA219" i="3"/>
  <c r="AA225" i="3" s="1"/>
  <c r="AA226" i="3"/>
  <c r="AD219" i="3"/>
  <c r="AD225" i="3" s="1"/>
  <c r="AD226" i="3"/>
  <c r="AE219" i="3"/>
  <c r="AE225" i="3" s="1"/>
  <c r="AE226" i="3"/>
  <c r="Q205" i="3"/>
  <c r="Q206" i="3" s="1"/>
  <c r="T204" i="3"/>
  <c r="AC219" i="3"/>
  <c r="AC225" i="3" s="1"/>
  <c r="AC226" i="3"/>
  <c r="AJ219" i="3"/>
  <c r="AJ225" i="3" s="1"/>
  <c r="AJ226" i="3"/>
  <c r="AM205" i="3"/>
  <c r="AM206" i="3" s="1"/>
  <c r="AP204" i="3"/>
  <c r="AH205" i="3"/>
  <c r="AH206" i="3" s="1"/>
  <c r="AK204" i="3"/>
  <c r="AU219" i="3"/>
  <c r="AU225" i="3" s="1"/>
  <c r="AU226" i="3"/>
  <c r="AU232" i="3" s="1"/>
  <c r="AU233" i="3" s="1"/>
  <c r="AK219" i="3"/>
  <c r="AK225" i="3" s="1"/>
  <c r="AK226" i="3"/>
  <c r="K219" i="3"/>
  <c r="K225" i="3" s="1"/>
  <c r="K226" i="3"/>
  <c r="O205" i="3"/>
  <c r="O206" i="3" s="1"/>
  <c r="R204" i="3"/>
  <c r="I205" i="3"/>
  <c r="I206" i="3" s="1"/>
  <c r="L204" i="3"/>
  <c r="AP219" i="3"/>
  <c r="AP225" i="3" s="1"/>
  <c r="AP226" i="3"/>
  <c r="D205" i="3"/>
  <c r="D206" i="3" s="1"/>
  <c r="M207" i="3"/>
  <c r="AU207" i="3"/>
  <c r="AH207" i="3"/>
  <c r="X207" i="3"/>
  <c r="AF207" i="3"/>
  <c r="Q207" i="3"/>
  <c r="AP207" i="3"/>
  <c r="AN207" i="3"/>
  <c r="V207" i="3"/>
  <c r="J207" i="3"/>
  <c r="H207" i="3"/>
  <c r="AG207" i="3"/>
  <c r="N207" i="3"/>
  <c r="F207" i="3"/>
  <c r="AS207" i="3"/>
  <c r="R207" i="3"/>
  <c r="P207" i="3"/>
  <c r="AI207" i="3"/>
  <c r="G204" i="3"/>
  <c r="AQ207" i="3"/>
  <c r="AC207" i="3"/>
  <c r="AO207" i="3"/>
  <c r="AT207" i="3"/>
  <c r="L207" i="3"/>
  <c r="AB207" i="3"/>
  <c r="E207" i="3"/>
  <c r="AM207" i="3"/>
  <c r="K207" i="3"/>
  <c r="AD207" i="3"/>
  <c r="U207" i="3"/>
  <c r="AA207" i="3"/>
  <c r="Y207" i="3"/>
  <c r="G207" i="3"/>
  <c r="AR207" i="3"/>
  <c r="S207" i="3"/>
  <c r="T207" i="3"/>
  <c r="AJ207" i="3"/>
  <c r="W207" i="3"/>
  <c r="I207" i="3"/>
  <c r="AE207" i="3"/>
  <c r="AK207" i="3"/>
  <c r="AL207" i="3"/>
  <c r="D207" i="3"/>
  <c r="O207" i="3"/>
  <c r="Z207" i="3"/>
  <c r="AF205" i="3"/>
  <c r="AF206" i="3" s="1"/>
  <c r="AI204" i="3"/>
  <c r="F219" i="3"/>
  <c r="F225" i="3" s="1"/>
  <c r="F226" i="3"/>
  <c r="F205" i="3"/>
  <c r="F206" i="3" s="1"/>
  <c r="I204" i="3"/>
  <c r="Z219" i="3"/>
  <c r="Z225" i="3" s="1"/>
  <c r="Z226" i="3"/>
  <c r="S219" i="3"/>
  <c r="S225" i="3" s="1"/>
  <c r="S226" i="3"/>
  <c r="D219" i="3"/>
  <c r="D225" i="3" s="1"/>
  <c r="D226" i="3"/>
  <c r="AO205" i="3"/>
  <c r="AO206" i="3" s="1"/>
  <c r="AR204" i="3"/>
  <c r="AI205" i="3"/>
  <c r="AI206" i="3" s="1"/>
  <c r="AL204" i="3"/>
  <c r="E195" i="3" l="1"/>
  <c r="E200" i="3" s="1"/>
  <c r="G140" i="3"/>
  <c r="H135" i="3" s="1"/>
  <c r="D202" i="3"/>
  <c r="S232" i="3"/>
  <c r="S233" i="3" s="1"/>
  <c r="V231" i="3"/>
  <c r="P232" i="3"/>
  <c r="P233" i="3" s="1"/>
  <c r="S231" i="3"/>
  <c r="AN232" i="3"/>
  <c r="AN233" i="3" s="1"/>
  <c r="AQ231" i="3"/>
  <c r="X232" i="3"/>
  <c r="X233" i="3" s="1"/>
  <c r="AA231" i="3"/>
  <c r="O232" i="3"/>
  <c r="O233" i="3" s="1"/>
  <c r="R231" i="3"/>
  <c r="N232" i="3"/>
  <c r="N233" i="3" s="1"/>
  <c r="Q231" i="3"/>
  <c r="AQ232" i="3"/>
  <c r="AQ233" i="3" s="1"/>
  <c r="AT231" i="3"/>
  <c r="I232" i="3"/>
  <c r="I233" i="3" s="1"/>
  <c r="L231" i="3"/>
  <c r="V232" i="3"/>
  <c r="V233" i="3" s="1"/>
  <c r="Y231" i="3"/>
  <c r="M232" i="3"/>
  <c r="M233" i="3" s="1"/>
  <c r="P231" i="3"/>
  <c r="AC232" i="3"/>
  <c r="AC233" i="3" s="1"/>
  <c r="AF231" i="3"/>
  <c r="AA232" i="3"/>
  <c r="AA233" i="3" s="1"/>
  <c r="AD231" i="3"/>
  <c r="H149" i="3"/>
  <c r="I145" i="3"/>
  <c r="H146" i="3"/>
  <c r="H147" i="3"/>
  <c r="H148" i="3"/>
  <c r="AI232" i="3"/>
  <c r="AI233" i="3" s="1"/>
  <c r="AL231" i="3"/>
  <c r="J121" i="3"/>
  <c r="G232" i="3"/>
  <c r="G233" i="3" s="1"/>
  <c r="J231" i="3"/>
  <c r="J232" i="3"/>
  <c r="J233" i="3" s="1"/>
  <c r="M231" i="3"/>
  <c r="AL232" i="3"/>
  <c r="AL233" i="3" s="1"/>
  <c r="AO231" i="3"/>
  <c r="AM232" i="3"/>
  <c r="AM233" i="3" s="1"/>
  <c r="AP231" i="3"/>
  <c r="U232" i="3"/>
  <c r="U233" i="3" s="1"/>
  <c r="X231" i="3"/>
  <c r="I123" i="3"/>
  <c r="I124" i="3"/>
  <c r="Z232" i="3"/>
  <c r="Z233" i="3" s="1"/>
  <c r="AC231" i="3"/>
  <c r="AG232" i="3"/>
  <c r="AG233" i="3" s="1"/>
  <c r="AJ231" i="3"/>
  <c r="W232" i="3"/>
  <c r="W233" i="3" s="1"/>
  <c r="Z231" i="3"/>
  <c r="H232" i="3"/>
  <c r="H233" i="3" s="1"/>
  <c r="K231" i="3"/>
  <c r="E175" i="3"/>
  <c r="F168" i="3"/>
  <c r="F173" i="3" s="1"/>
  <c r="E174" i="3"/>
  <c r="E232" i="3"/>
  <c r="E233" i="3" s="1"/>
  <c r="H231" i="3"/>
  <c r="T232" i="3"/>
  <c r="T233" i="3" s="1"/>
  <c r="W231" i="3"/>
  <c r="AR232" i="3"/>
  <c r="AR233" i="3" s="1"/>
  <c r="AU231" i="3"/>
  <c r="H139" i="3"/>
  <c r="H170" i="3" s="1"/>
  <c r="H197" i="3" s="1"/>
  <c r="H224" i="3" s="1"/>
  <c r="H126" i="3"/>
  <c r="H125" i="3"/>
  <c r="AF232" i="3"/>
  <c r="AF233" i="3" s="1"/>
  <c r="AI231" i="3"/>
  <c r="E201" i="3"/>
  <c r="F195" i="3"/>
  <c r="F200" i="3" s="1"/>
  <c r="E202" i="3"/>
  <c r="D232" i="3"/>
  <c r="D233" i="3" s="1"/>
  <c r="AD234" i="3"/>
  <c r="AA234" i="3"/>
  <c r="AM234" i="3"/>
  <c r="R234" i="3"/>
  <c r="AL234" i="3"/>
  <c r="AJ234" i="3"/>
  <c r="Q234" i="3"/>
  <c r="E234" i="3"/>
  <c r="H234" i="3"/>
  <c r="D234" i="3"/>
  <c r="X234" i="3"/>
  <c r="AH234" i="3"/>
  <c r="AE234" i="3"/>
  <c r="M234" i="3"/>
  <c r="AC234" i="3"/>
  <c r="T234" i="3"/>
  <c r="AI234" i="3"/>
  <c r="U234" i="3"/>
  <c r="N234" i="3"/>
  <c r="AT234" i="3"/>
  <c r="L234" i="3"/>
  <c r="W234" i="3"/>
  <c r="AQ234" i="3"/>
  <c r="AB234" i="3"/>
  <c r="V234" i="3"/>
  <c r="AF234" i="3"/>
  <c r="J234" i="3"/>
  <c r="O234" i="3"/>
  <c r="I234" i="3"/>
  <c r="S234" i="3"/>
  <c r="G234" i="3"/>
  <c r="Y234" i="3"/>
  <c r="AR234" i="3"/>
  <c r="AS234" i="3"/>
  <c r="Z234" i="3"/>
  <c r="G231" i="3"/>
  <c r="AP234" i="3"/>
  <c r="K234" i="3"/>
  <c r="AK234" i="3"/>
  <c r="AU234" i="3"/>
  <c r="AG234" i="3"/>
  <c r="P234" i="3"/>
  <c r="F234" i="3"/>
  <c r="AO234" i="3"/>
  <c r="AN234" i="3"/>
  <c r="AE232" i="3"/>
  <c r="AE233" i="3" s="1"/>
  <c r="AH231" i="3"/>
  <c r="F232" i="3"/>
  <c r="F233" i="3" s="1"/>
  <c r="I231" i="3"/>
  <c r="K232" i="3"/>
  <c r="K233" i="3" s="1"/>
  <c r="N231" i="3"/>
  <c r="D227" i="3"/>
  <c r="R232" i="3"/>
  <c r="R233" i="3" s="1"/>
  <c r="U231" i="3"/>
  <c r="AO232" i="3"/>
  <c r="AO233" i="3" s="1"/>
  <c r="AR231" i="3"/>
  <c r="AH232" i="3"/>
  <c r="AH233" i="3" s="1"/>
  <c r="AK231" i="3"/>
  <c r="L232" i="3"/>
  <c r="L233" i="3" s="1"/>
  <c r="O231" i="3"/>
  <c r="Q232" i="3"/>
  <c r="Q233" i="3" s="1"/>
  <c r="T231" i="3"/>
  <c r="Y232" i="3"/>
  <c r="Y233" i="3" s="1"/>
  <c r="AB231" i="3"/>
  <c r="AB232" i="3"/>
  <c r="AB233" i="3" s="1"/>
  <c r="AE231" i="3"/>
  <c r="AP232" i="3"/>
  <c r="AP233" i="3" s="1"/>
  <c r="AS231" i="3"/>
  <c r="AK232" i="3"/>
  <c r="AK233" i="3" s="1"/>
  <c r="AN231" i="3"/>
  <c r="AJ232" i="3"/>
  <c r="AJ233" i="3" s="1"/>
  <c r="AM231" i="3"/>
  <c r="AD232" i="3"/>
  <c r="AD233" i="3" s="1"/>
  <c r="AG231" i="3"/>
  <c r="H140" i="3" l="1"/>
  <c r="I135" i="3" s="1"/>
  <c r="F201" i="3"/>
  <c r="F202" i="3"/>
  <c r="G195" i="3"/>
  <c r="G200" i="3" s="1"/>
  <c r="I139" i="3"/>
  <c r="I170" i="3" s="1"/>
  <c r="I197" i="3" s="1"/>
  <c r="I224" i="3" s="1"/>
  <c r="I126" i="3"/>
  <c r="I125" i="3"/>
  <c r="J145" i="3"/>
  <c r="I149" i="3"/>
  <c r="I146" i="3"/>
  <c r="I147" i="3"/>
  <c r="I148" i="3"/>
  <c r="K121" i="3"/>
  <c r="J123" i="3"/>
  <c r="J124" i="3"/>
  <c r="D228" i="3"/>
  <c r="E222" i="3"/>
  <c r="E227" i="3" s="1"/>
  <c r="D229" i="3"/>
  <c r="G168" i="3"/>
  <c r="G173" i="3" s="1"/>
  <c r="F174" i="3"/>
  <c r="F175" i="3"/>
  <c r="I140" i="3" l="1"/>
  <c r="J135" i="3" s="1"/>
  <c r="G174" i="3"/>
  <c r="G175" i="3"/>
  <c r="H168" i="3"/>
  <c r="H173" i="3" s="1"/>
  <c r="L121" i="3"/>
  <c r="K123" i="3"/>
  <c r="K124" i="3"/>
  <c r="G201" i="3"/>
  <c r="H195" i="3"/>
  <c r="H200" i="3" s="1"/>
  <c r="G202" i="3"/>
  <c r="E229" i="3"/>
  <c r="F222" i="3"/>
  <c r="F227" i="3" s="1"/>
  <c r="E228" i="3"/>
  <c r="J139" i="3"/>
  <c r="J170" i="3" s="1"/>
  <c r="J197" i="3" s="1"/>
  <c r="J224" i="3" s="1"/>
  <c r="J125" i="3"/>
  <c r="J126" i="3"/>
  <c r="J147" i="3"/>
  <c r="J149" i="3"/>
  <c r="J146" i="3"/>
  <c r="K145" i="3"/>
  <c r="J148" i="3"/>
  <c r="J140" i="3" l="1"/>
  <c r="K135" i="3" s="1"/>
  <c r="K149" i="3"/>
  <c r="K146" i="3"/>
  <c r="K147" i="3"/>
  <c r="L145" i="3"/>
  <c r="K148" i="3"/>
  <c r="F228" i="3"/>
  <c r="F229" i="3"/>
  <c r="G222" i="3"/>
  <c r="G227" i="3" s="1"/>
  <c r="K139" i="3"/>
  <c r="K170" i="3" s="1"/>
  <c r="K197" i="3" s="1"/>
  <c r="K224" i="3" s="1"/>
  <c r="K125" i="3"/>
  <c r="K126" i="3"/>
  <c r="H174" i="3"/>
  <c r="H175" i="3"/>
  <c r="I168" i="3"/>
  <c r="I173" i="3" s="1"/>
  <c r="L123" i="3"/>
  <c r="L124" i="3"/>
  <c r="M121" i="3"/>
  <c r="I195" i="3"/>
  <c r="I200" i="3" s="1"/>
  <c r="H202" i="3"/>
  <c r="H201" i="3"/>
  <c r="K140" i="3" l="1"/>
  <c r="L135" i="3" s="1"/>
  <c r="L149" i="3"/>
  <c r="L146" i="3"/>
  <c r="L147" i="3"/>
  <c r="M145" i="3"/>
  <c r="L148" i="3"/>
  <c r="N121" i="3"/>
  <c r="L139" i="3"/>
  <c r="L170" i="3" s="1"/>
  <c r="L197" i="3" s="1"/>
  <c r="L224" i="3" s="1"/>
  <c r="L125" i="3"/>
  <c r="L126" i="3"/>
  <c r="I202" i="3"/>
  <c r="J195" i="3"/>
  <c r="J200" i="3" s="1"/>
  <c r="I201" i="3"/>
  <c r="M123" i="3"/>
  <c r="M124" i="3"/>
  <c r="G228" i="3"/>
  <c r="H222" i="3"/>
  <c r="H227" i="3" s="1"/>
  <c r="G229" i="3"/>
  <c r="I174" i="3"/>
  <c r="J168" i="3"/>
  <c r="J173" i="3" s="1"/>
  <c r="I175" i="3"/>
  <c r="L140" i="3" l="1"/>
  <c r="M135" i="3" s="1"/>
  <c r="N123" i="3"/>
  <c r="N124" i="3"/>
  <c r="K195" i="3"/>
  <c r="K200" i="3" s="1"/>
  <c r="J202" i="3"/>
  <c r="J201" i="3"/>
  <c r="M146" i="3"/>
  <c r="M147" i="3"/>
  <c r="N145" i="3"/>
  <c r="M149" i="3"/>
  <c r="M148" i="3"/>
  <c r="K168" i="3"/>
  <c r="K173" i="3" s="1"/>
  <c r="J175" i="3"/>
  <c r="J174" i="3"/>
  <c r="H229" i="3"/>
  <c r="I222" i="3"/>
  <c r="I227" i="3" s="1"/>
  <c r="H228" i="3"/>
  <c r="M139" i="3"/>
  <c r="M170" i="3" s="1"/>
  <c r="M197" i="3" s="1"/>
  <c r="M224" i="3" s="1"/>
  <c r="M125" i="3"/>
  <c r="M126" i="3"/>
  <c r="O121" i="3"/>
  <c r="M140" i="3" l="1"/>
  <c r="N135" i="3" s="1"/>
  <c r="O123" i="3"/>
  <c r="O124" i="3"/>
  <c r="K202" i="3"/>
  <c r="K201" i="3"/>
  <c r="L195" i="3"/>
  <c r="L200" i="3" s="1"/>
  <c r="L168" i="3"/>
  <c r="L173" i="3" s="1"/>
  <c r="K175" i="3"/>
  <c r="K174" i="3"/>
  <c r="N126" i="3"/>
  <c r="N139" i="3"/>
  <c r="N170" i="3" s="1"/>
  <c r="N197" i="3" s="1"/>
  <c r="N224" i="3" s="1"/>
  <c r="N125" i="3"/>
  <c r="I228" i="3"/>
  <c r="I229" i="3"/>
  <c r="J222" i="3"/>
  <c r="J227" i="3" s="1"/>
  <c r="P121" i="3"/>
  <c r="N146" i="3"/>
  <c r="N147" i="3"/>
  <c r="O145" i="3"/>
  <c r="N149" i="3"/>
  <c r="N148" i="3"/>
  <c r="N140" i="3" l="1"/>
  <c r="O135" i="3" s="1"/>
  <c r="L175" i="3"/>
  <c r="M168" i="3"/>
  <c r="M173" i="3" s="1"/>
  <c r="L174" i="3"/>
  <c r="Q121" i="3"/>
  <c r="L201" i="3"/>
  <c r="L202" i="3"/>
  <c r="M195" i="3"/>
  <c r="M200" i="3" s="1"/>
  <c r="P123" i="3"/>
  <c r="P124" i="3"/>
  <c r="O126" i="3"/>
  <c r="O139" i="3"/>
  <c r="O170" i="3" s="1"/>
  <c r="O197" i="3" s="1"/>
  <c r="O224" i="3" s="1"/>
  <c r="O125" i="3"/>
  <c r="O149" i="3"/>
  <c r="O147" i="3"/>
  <c r="P145" i="3"/>
  <c r="O146" i="3"/>
  <c r="O148" i="3"/>
  <c r="K222" i="3"/>
  <c r="K227" i="3" s="1"/>
  <c r="J229" i="3"/>
  <c r="J228" i="3"/>
  <c r="O140" i="3" l="1"/>
  <c r="P135" i="3" s="1"/>
  <c r="M201" i="3"/>
  <c r="N195" i="3"/>
  <c r="N200" i="3" s="1"/>
  <c r="M202" i="3"/>
  <c r="K229" i="3"/>
  <c r="L222" i="3"/>
  <c r="L227" i="3" s="1"/>
  <c r="K228" i="3"/>
  <c r="Q123" i="3"/>
  <c r="Q124" i="3"/>
  <c r="P139" i="3"/>
  <c r="P170" i="3" s="1"/>
  <c r="P197" i="3" s="1"/>
  <c r="P224" i="3" s="1"/>
  <c r="P126" i="3"/>
  <c r="P125" i="3"/>
  <c r="R121" i="3"/>
  <c r="P149" i="3"/>
  <c r="P147" i="3"/>
  <c r="Q145" i="3"/>
  <c r="P146" i="3"/>
  <c r="P148" i="3"/>
  <c r="M175" i="3"/>
  <c r="N168" i="3"/>
  <c r="N173" i="3" s="1"/>
  <c r="M174" i="3"/>
  <c r="P140" i="3" l="1"/>
  <c r="Q135" i="3" s="1"/>
  <c r="Q139" i="3"/>
  <c r="Q170" i="3" s="1"/>
  <c r="Q197" i="3" s="1"/>
  <c r="Q224" i="3" s="1"/>
  <c r="Q126" i="3"/>
  <c r="Q125" i="3"/>
  <c r="S121" i="3"/>
  <c r="R123" i="3"/>
  <c r="R124" i="3"/>
  <c r="L228" i="3"/>
  <c r="M222" i="3"/>
  <c r="M227" i="3" s="1"/>
  <c r="L229" i="3"/>
  <c r="N201" i="3"/>
  <c r="N202" i="3"/>
  <c r="O195" i="3"/>
  <c r="O200" i="3" s="1"/>
  <c r="O168" i="3"/>
  <c r="O173" i="3" s="1"/>
  <c r="N174" i="3"/>
  <c r="N175" i="3"/>
  <c r="R145" i="3"/>
  <c r="Q149" i="3"/>
  <c r="Q146" i="3"/>
  <c r="Q147" i="3"/>
  <c r="Q148" i="3"/>
  <c r="Q140" i="3" l="1"/>
  <c r="R135" i="3" s="1"/>
  <c r="R139" i="3"/>
  <c r="R170" i="3" s="1"/>
  <c r="R197" i="3" s="1"/>
  <c r="R224" i="3" s="1"/>
  <c r="R125" i="3"/>
  <c r="R126" i="3"/>
  <c r="S123" i="3"/>
  <c r="S124" i="3"/>
  <c r="O201" i="3"/>
  <c r="P195" i="3"/>
  <c r="P200" i="3" s="1"/>
  <c r="O202" i="3"/>
  <c r="R147" i="3"/>
  <c r="R149" i="3"/>
  <c r="R146" i="3"/>
  <c r="S145" i="3"/>
  <c r="R148" i="3"/>
  <c r="M229" i="3"/>
  <c r="N222" i="3"/>
  <c r="N227" i="3" s="1"/>
  <c r="M228" i="3"/>
  <c r="T121" i="3"/>
  <c r="P168" i="3"/>
  <c r="P173" i="3" s="1"/>
  <c r="O174" i="3"/>
  <c r="O175" i="3"/>
  <c r="R140" i="3" l="1"/>
  <c r="S135" i="3" s="1"/>
  <c r="N229" i="3"/>
  <c r="O222" i="3"/>
  <c r="O227" i="3" s="1"/>
  <c r="N228" i="3"/>
  <c r="S149" i="3"/>
  <c r="S146" i="3"/>
  <c r="S147" i="3"/>
  <c r="T145" i="3"/>
  <c r="S148" i="3"/>
  <c r="P174" i="3"/>
  <c r="Q168" i="3"/>
  <c r="Q173" i="3" s="1"/>
  <c r="P175" i="3"/>
  <c r="U121" i="3"/>
  <c r="Q195" i="3"/>
  <c r="Q200" i="3" s="1"/>
  <c r="P202" i="3"/>
  <c r="P201" i="3"/>
  <c r="S125" i="3"/>
  <c r="S139" i="3"/>
  <c r="S170" i="3" s="1"/>
  <c r="S197" i="3" s="1"/>
  <c r="S224" i="3" s="1"/>
  <c r="S126" i="3"/>
  <c r="T123" i="3"/>
  <c r="T124" i="3"/>
  <c r="S140" i="3" l="1"/>
  <c r="T135" i="3" s="1"/>
  <c r="T149" i="3"/>
  <c r="T146" i="3"/>
  <c r="T147" i="3"/>
  <c r="U145" i="3"/>
  <c r="T148" i="3"/>
  <c r="T125" i="3"/>
  <c r="T139" i="3"/>
  <c r="T170" i="3" s="1"/>
  <c r="T197" i="3" s="1"/>
  <c r="T224" i="3" s="1"/>
  <c r="T126" i="3"/>
  <c r="V121" i="3"/>
  <c r="O228" i="3"/>
  <c r="P222" i="3"/>
  <c r="P227" i="3" s="1"/>
  <c r="O229" i="3"/>
  <c r="Q202" i="3"/>
  <c r="Q201" i="3"/>
  <c r="R195" i="3"/>
  <c r="R200" i="3" s="1"/>
  <c r="U123" i="3"/>
  <c r="U124" i="3"/>
  <c r="Q174" i="3"/>
  <c r="R168" i="3"/>
  <c r="R173" i="3" s="1"/>
  <c r="Q175" i="3"/>
  <c r="T140" i="3" l="1"/>
  <c r="U135" i="3" s="1"/>
  <c r="S168" i="3"/>
  <c r="S173" i="3" s="1"/>
  <c r="R175" i="3"/>
  <c r="R174" i="3"/>
  <c r="V123" i="3"/>
  <c r="V124" i="3"/>
  <c r="P229" i="3"/>
  <c r="Q222" i="3"/>
  <c r="Q227" i="3" s="1"/>
  <c r="P228" i="3"/>
  <c r="S195" i="3"/>
  <c r="S200" i="3" s="1"/>
  <c r="R202" i="3"/>
  <c r="R201" i="3"/>
  <c r="W121" i="3"/>
  <c r="U149" i="3"/>
  <c r="U146" i="3"/>
  <c r="U147" i="3"/>
  <c r="V145" i="3"/>
  <c r="U148" i="3"/>
  <c r="U125" i="3"/>
  <c r="U139" i="3"/>
  <c r="U170" i="3" s="1"/>
  <c r="U197" i="3" s="1"/>
  <c r="U224" i="3" s="1"/>
  <c r="U126" i="3"/>
  <c r="U140" i="3" l="1"/>
  <c r="V135" i="3" s="1"/>
  <c r="X121" i="3"/>
  <c r="V139" i="3"/>
  <c r="V170" i="3" s="1"/>
  <c r="V197" i="3" s="1"/>
  <c r="V224" i="3" s="1"/>
  <c r="V126" i="3"/>
  <c r="V125" i="3"/>
  <c r="W123" i="3"/>
  <c r="W124" i="3"/>
  <c r="Q228" i="3"/>
  <c r="R222" i="3"/>
  <c r="R227" i="3" s="1"/>
  <c r="Q229" i="3"/>
  <c r="V146" i="3"/>
  <c r="V149" i="3"/>
  <c r="V147" i="3"/>
  <c r="W145" i="3"/>
  <c r="V148" i="3"/>
  <c r="S202" i="3"/>
  <c r="S201" i="3"/>
  <c r="T195" i="3"/>
  <c r="T200" i="3" s="1"/>
  <c r="S174" i="3"/>
  <c r="S175" i="3"/>
  <c r="T168" i="3"/>
  <c r="T173" i="3" s="1"/>
  <c r="V140" i="3" l="1"/>
  <c r="W135" i="3" s="1"/>
  <c r="T201" i="3"/>
  <c r="T202" i="3"/>
  <c r="U195" i="3"/>
  <c r="U200" i="3" s="1"/>
  <c r="W139" i="3"/>
  <c r="W170" i="3" s="1"/>
  <c r="W197" i="3" s="1"/>
  <c r="W224" i="3" s="1"/>
  <c r="W126" i="3"/>
  <c r="W125" i="3"/>
  <c r="Y121" i="3"/>
  <c r="S222" i="3"/>
  <c r="S227" i="3" s="1"/>
  <c r="R229" i="3"/>
  <c r="R228" i="3"/>
  <c r="W149" i="3"/>
  <c r="W147" i="3"/>
  <c r="X145" i="3"/>
  <c r="W146" i="3"/>
  <c r="W148" i="3"/>
  <c r="T175" i="3"/>
  <c r="U168" i="3"/>
  <c r="U173" i="3" s="1"/>
  <c r="T174" i="3"/>
  <c r="X123" i="3"/>
  <c r="X124" i="3"/>
  <c r="W140" i="3" l="1"/>
  <c r="X135" i="3" s="1"/>
  <c r="U175" i="3"/>
  <c r="V168" i="3"/>
  <c r="V173" i="3" s="1"/>
  <c r="U174" i="3"/>
  <c r="Y123" i="3"/>
  <c r="Y124" i="3"/>
  <c r="U201" i="3"/>
  <c r="V195" i="3"/>
  <c r="V200" i="3" s="1"/>
  <c r="U202" i="3"/>
  <c r="S229" i="3"/>
  <c r="S228" i="3"/>
  <c r="T222" i="3"/>
  <c r="T227" i="3" s="1"/>
  <c r="X139" i="3"/>
  <c r="X170" i="3" s="1"/>
  <c r="X197" i="3" s="1"/>
  <c r="X224" i="3" s="1"/>
  <c r="X126" i="3"/>
  <c r="X125" i="3"/>
  <c r="X149" i="3"/>
  <c r="X147" i="3"/>
  <c r="Y145" i="3"/>
  <c r="X146" i="3"/>
  <c r="X148" i="3"/>
  <c r="Z121" i="3"/>
  <c r="X140" i="3" l="1"/>
  <c r="Y135" i="3" s="1"/>
  <c r="V201" i="3"/>
  <c r="V202" i="3"/>
  <c r="W195" i="3"/>
  <c r="W200" i="3" s="1"/>
  <c r="Z123" i="3"/>
  <c r="Z124" i="3"/>
  <c r="T228" i="3"/>
  <c r="U222" i="3"/>
  <c r="U227" i="3" s="1"/>
  <c r="T229" i="3"/>
  <c r="Y139" i="3"/>
  <c r="Y170" i="3" s="1"/>
  <c r="Y197" i="3" s="1"/>
  <c r="Y224" i="3" s="1"/>
  <c r="Y126" i="3"/>
  <c r="Y125" i="3"/>
  <c r="Y149" i="3"/>
  <c r="Y147" i="3"/>
  <c r="Z145" i="3"/>
  <c r="Y146" i="3"/>
  <c r="Y148" i="3"/>
  <c r="V175" i="3"/>
  <c r="V174" i="3"/>
  <c r="W168" i="3"/>
  <c r="W173" i="3" s="1"/>
  <c r="AA121" i="3"/>
  <c r="Y140" i="3" l="1"/>
  <c r="Z135" i="3" s="1"/>
  <c r="U229" i="3"/>
  <c r="V222" i="3"/>
  <c r="V227" i="3" s="1"/>
  <c r="U228" i="3"/>
  <c r="Z147" i="3"/>
  <c r="Z146" i="3"/>
  <c r="Z149" i="3"/>
  <c r="AA145" i="3"/>
  <c r="Z148" i="3"/>
  <c r="AA123" i="3"/>
  <c r="AA124" i="3"/>
  <c r="Z139" i="3"/>
  <c r="Z170" i="3" s="1"/>
  <c r="Z197" i="3" s="1"/>
  <c r="Z224" i="3" s="1"/>
  <c r="Z125" i="3"/>
  <c r="Z126" i="3"/>
  <c r="W201" i="3"/>
  <c r="X195" i="3"/>
  <c r="X200" i="3" s="1"/>
  <c r="W202" i="3"/>
  <c r="X168" i="3"/>
  <c r="X173" i="3" s="1"/>
  <c r="W174" i="3"/>
  <c r="W175" i="3"/>
  <c r="AB121" i="3"/>
  <c r="Z140" i="3" l="1"/>
  <c r="AA135" i="3" s="1"/>
  <c r="W222" i="3"/>
  <c r="W227" i="3" s="1"/>
  <c r="V229" i="3"/>
  <c r="V228" i="3"/>
  <c r="AC121" i="3"/>
  <c r="X174" i="3"/>
  <c r="Y168" i="3"/>
  <c r="Y173" i="3" s="1"/>
  <c r="X175" i="3"/>
  <c r="AA139" i="3"/>
  <c r="AA170" i="3" s="1"/>
  <c r="AA197" i="3" s="1"/>
  <c r="AA224" i="3" s="1"/>
  <c r="AA125" i="3"/>
  <c r="AA126" i="3"/>
  <c r="Y195" i="3"/>
  <c r="Y200" i="3" s="1"/>
  <c r="X202" i="3"/>
  <c r="X201" i="3"/>
  <c r="AA146" i="3"/>
  <c r="AA149" i="3"/>
  <c r="AB145" i="3"/>
  <c r="AA147" i="3"/>
  <c r="AA148" i="3"/>
  <c r="AB123" i="3"/>
  <c r="AB124" i="3"/>
  <c r="AA140" i="3" l="1"/>
  <c r="AB135" i="3" s="1"/>
  <c r="Y174" i="3"/>
  <c r="Z168" i="3"/>
  <c r="Z173" i="3" s="1"/>
  <c r="Y175" i="3"/>
  <c r="AB125" i="3"/>
  <c r="AB126" i="3"/>
  <c r="AB139" i="3"/>
  <c r="AB170" i="3" s="1"/>
  <c r="AB197" i="3" s="1"/>
  <c r="AB224" i="3" s="1"/>
  <c r="Y202" i="3"/>
  <c r="Z195" i="3"/>
  <c r="Z200" i="3" s="1"/>
  <c r="Y201" i="3"/>
  <c r="AB146" i="3"/>
  <c r="AB149" i="3"/>
  <c r="AC145" i="3"/>
  <c r="AB147" i="3"/>
  <c r="AB148" i="3"/>
  <c r="AC123" i="3"/>
  <c r="AC124" i="3"/>
  <c r="AD121" i="3"/>
  <c r="W228" i="3"/>
  <c r="X222" i="3"/>
  <c r="X227" i="3" s="1"/>
  <c r="W229" i="3"/>
  <c r="AB140" i="3" l="1"/>
  <c r="AC135" i="3" s="1"/>
  <c r="AE121" i="3"/>
  <c r="AD123" i="3"/>
  <c r="AD124" i="3"/>
  <c r="AA168" i="3"/>
  <c r="AA173" i="3" s="1"/>
  <c r="Z175" i="3"/>
  <c r="Z174" i="3"/>
  <c r="AC146" i="3"/>
  <c r="AC149" i="3"/>
  <c r="AD145" i="3"/>
  <c r="AC147" i="3"/>
  <c r="AC148" i="3"/>
  <c r="X229" i="3"/>
  <c r="Y222" i="3"/>
  <c r="Y227" i="3" s="1"/>
  <c r="X228" i="3"/>
  <c r="AC125" i="3"/>
  <c r="AC126" i="3"/>
  <c r="AC139" i="3"/>
  <c r="AC170" i="3" s="1"/>
  <c r="AC197" i="3" s="1"/>
  <c r="AC224" i="3" s="1"/>
  <c r="AA195" i="3"/>
  <c r="AA200" i="3" s="1"/>
  <c r="Z202" i="3"/>
  <c r="Z201" i="3"/>
  <c r="AC140" i="3" l="1"/>
  <c r="AD135" i="3" s="1"/>
  <c r="AA202" i="3"/>
  <c r="AA201" i="3"/>
  <c r="AB195" i="3"/>
  <c r="AB200" i="3" s="1"/>
  <c r="AD126" i="3"/>
  <c r="AD139" i="3"/>
  <c r="AD170" i="3" s="1"/>
  <c r="AD197" i="3" s="1"/>
  <c r="AD224" i="3" s="1"/>
  <c r="AD125" i="3"/>
  <c r="Y228" i="3"/>
  <c r="Z222" i="3"/>
  <c r="Z227" i="3" s="1"/>
  <c r="Y229" i="3"/>
  <c r="AF121" i="3"/>
  <c r="AB168" i="3"/>
  <c r="AB173" i="3" s="1"/>
  <c r="AA174" i="3"/>
  <c r="AA175" i="3"/>
  <c r="AD146" i="3"/>
  <c r="AD149" i="3"/>
  <c r="AE145" i="3"/>
  <c r="AD147" i="3"/>
  <c r="AD148" i="3"/>
  <c r="AE123" i="3"/>
  <c r="AE124" i="3"/>
  <c r="AD140" i="3" l="1"/>
  <c r="AE135" i="3" s="1"/>
  <c r="AG121" i="3"/>
  <c r="AB175" i="3"/>
  <c r="AC168" i="3"/>
  <c r="AC173" i="3" s="1"/>
  <c r="AB174" i="3"/>
  <c r="AE149" i="3"/>
  <c r="AF145" i="3"/>
  <c r="AE147" i="3"/>
  <c r="AE146" i="3"/>
  <c r="AE148" i="3"/>
  <c r="AB201" i="3"/>
  <c r="AB202" i="3"/>
  <c r="AC195" i="3"/>
  <c r="AC200" i="3" s="1"/>
  <c r="AF123" i="3"/>
  <c r="AF124" i="3"/>
  <c r="AE139" i="3"/>
  <c r="AE170" i="3" s="1"/>
  <c r="AE197" i="3" s="1"/>
  <c r="AE224" i="3" s="1"/>
  <c r="AE126" i="3"/>
  <c r="AE125" i="3"/>
  <c r="AA222" i="3"/>
  <c r="AA227" i="3" s="1"/>
  <c r="Z229" i="3"/>
  <c r="Z228" i="3"/>
  <c r="AE140" i="3" l="1"/>
  <c r="AF135" i="3" s="1"/>
  <c r="AA229" i="3"/>
  <c r="AB222" i="3"/>
  <c r="AB227" i="3" s="1"/>
  <c r="AA228" i="3"/>
  <c r="AC175" i="3"/>
  <c r="AC174" i="3"/>
  <c r="AD168" i="3"/>
  <c r="AD173" i="3" s="1"/>
  <c r="AF139" i="3"/>
  <c r="AF170" i="3" s="1"/>
  <c r="AF197" i="3" s="1"/>
  <c r="AF224" i="3" s="1"/>
  <c r="AF126" i="3"/>
  <c r="AF125" i="3"/>
  <c r="AC201" i="3"/>
  <c r="AD195" i="3"/>
  <c r="AD200" i="3" s="1"/>
  <c r="AC202" i="3"/>
  <c r="AH121" i="3"/>
  <c r="AF149" i="3"/>
  <c r="AG145" i="3"/>
  <c r="AF147" i="3"/>
  <c r="AF146" i="3"/>
  <c r="AF148" i="3"/>
  <c r="AG123" i="3"/>
  <c r="AG124" i="3"/>
  <c r="AF140" i="3" l="1"/>
  <c r="AG135" i="3" s="1"/>
  <c r="AI121" i="3"/>
  <c r="AH123" i="3"/>
  <c r="AH124" i="3"/>
  <c r="AG139" i="3"/>
  <c r="AG170" i="3" s="1"/>
  <c r="AG197" i="3" s="1"/>
  <c r="AG224" i="3" s="1"/>
  <c r="AG126" i="3"/>
  <c r="AG125" i="3"/>
  <c r="AB228" i="3"/>
  <c r="AC222" i="3"/>
  <c r="AC227" i="3" s="1"/>
  <c r="AB229" i="3"/>
  <c r="AD175" i="3"/>
  <c r="AD174" i="3"/>
  <c r="AE168" i="3"/>
  <c r="AE173" i="3" s="1"/>
  <c r="AD201" i="3"/>
  <c r="AD202" i="3"/>
  <c r="AE195" i="3"/>
  <c r="AE200" i="3" s="1"/>
  <c r="AG149" i="3"/>
  <c r="AH145" i="3"/>
  <c r="AG147" i="3"/>
  <c r="AG146" i="3"/>
  <c r="AG148" i="3"/>
  <c r="AG140" i="3" l="1"/>
  <c r="AH135" i="3" s="1"/>
  <c r="AH147" i="3"/>
  <c r="AH149" i="3"/>
  <c r="AH146" i="3"/>
  <c r="AI145" i="3"/>
  <c r="AH148" i="3"/>
  <c r="AC229" i="3"/>
  <c r="AD222" i="3"/>
  <c r="AD227" i="3" s="1"/>
  <c r="AC228" i="3"/>
  <c r="AE175" i="3"/>
  <c r="AF168" i="3"/>
  <c r="AF173" i="3" s="1"/>
  <c r="AE174" i="3"/>
  <c r="AJ121" i="3"/>
  <c r="AH139" i="3"/>
  <c r="AH170" i="3" s="1"/>
  <c r="AH197" i="3" s="1"/>
  <c r="AH224" i="3" s="1"/>
  <c r="AH125" i="3"/>
  <c r="AH126" i="3"/>
  <c r="AE201" i="3"/>
  <c r="AF195" i="3"/>
  <c r="AF200" i="3" s="1"/>
  <c r="AE202" i="3"/>
  <c r="AI123" i="3"/>
  <c r="AI124" i="3"/>
  <c r="AH140" i="3" l="1"/>
  <c r="AI135" i="3" s="1"/>
  <c r="AG195" i="3"/>
  <c r="AG200" i="3" s="1"/>
  <c r="AF202" i="3"/>
  <c r="AF201" i="3"/>
  <c r="AI125" i="3"/>
  <c r="AI139" i="3"/>
  <c r="AI170" i="3" s="1"/>
  <c r="AI197" i="3" s="1"/>
  <c r="AI224" i="3" s="1"/>
  <c r="AI126" i="3"/>
  <c r="AJ123" i="3"/>
  <c r="AJ124" i="3"/>
  <c r="AK121" i="3"/>
  <c r="AI146" i="3"/>
  <c r="AI147" i="3"/>
  <c r="AI149" i="3"/>
  <c r="AJ145" i="3"/>
  <c r="AI148" i="3"/>
  <c r="AE222" i="3"/>
  <c r="AE227" i="3" s="1"/>
  <c r="AD228" i="3"/>
  <c r="AD229" i="3"/>
  <c r="AF174" i="3"/>
  <c r="AF175" i="3"/>
  <c r="AG168" i="3"/>
  <c r="AG173" i="3" s="1"/>
  <c r="AI140" i="3" l="1"/>
  <c r="AJ135" i="3" s="1"/>
  <c r="AJ149" i="3"/>
  <c r="AJ146" i="3"/>
  <c r="AK145" i="3"/>
  <c r="AJ147" i="3"/>
  <c r="AJ148" i="3"/>
  <c r="AK123" i="3"/>
  <c r="AK124" i="3"/>
  <c r="AG174" i="3"/>
  <c r="AH168" i="3"/>
  <c r="AH173" i="3" s="1"/>
  <c r="AG175" i="3"/>
  <c r="AL121" i="3"/>
  <c r="AE228" i="3"/>
  <c r="AF222" i="3"/>
  <c r="AF227" i="3" s="1"/>
  <c r="AE229" i="3"/>
  <c r="AJ125" i="3"/>
  <c r="AJ139" i="3"/>
  <c r="AJ170" i="3" s="1"/>
  <c r="AJ197" i="3" s="1"/>
  <c r="AJ224" i="3" s="1"/>
  <c r="AJ126" i="3"/>
  <c r="AG202" i="3"/>
  <c r="AG201" i="3"/>
  <c r="AH195" i="3"/>
  <c r="AH200" i="3" s="1"/>
  <c r="AJ140" i="3" l="1"/>
  <c r="AK135" i="3" s="1"/>
  <c r="AI195" i="3"/>
  <c r="AI200" i="3" s="1"/>
  <c r="AH202" i="3"/>
  <c r="AH201" i="3"/>
  <c r="AF229" i="3"/>
  <c r="AF228" i="3"/>
  <c r="AG222" i="3"/>
  <c r="AG227" i="3" s="1"/>
  <c r="AK146" i="3"/>
  <c r="AL145" i="3"/>
  <c r="AK147" i="3"/>
  <c r="AK149" i="3"/>
  <c r="AK148" i="3"/>
  <c r="AI168" i="3"/>
  <c r="AI173" i="3" s="1"/>
  <c r="AH175" i="3"/>
  <c r="AH174" i="3"/>
  <c r="AM121" i="3"/>
  <c r="AL123" i="3"/>
  <c r="AL124" i="3"/>
  <c r="AK139" i="3"/>
  <c r="AK170" i="3" s="1"/>
  <c r="AK197" i="3" s="1"/>
  <c r="AK224" i="3" s="1"/>
  <c r="AK125" i="3"/>
  <c r="AK126" i="3"/>
  <c r="AK140" i="3" l="1"/>
  <c r="AL135" i="3" s="1"/>
  <c r="AG228" i="3"/>
  <c r="AG229" i="3"/>
  <c r="AH222" i="3"/>
  <c r="AH227" i="3" s="1"/>
  <c r="AL139" i="3"/>
  <c r="AL170" i="3" s="1"/>
  <c r="AL197" i="3" s="1"/>
  <c r="AL224" i="3" s="1"/>
  <c r="AL126" i="3"/>
  <c r="AL125" i="3"/>
  <c r="AI202" i="3"/>
  <c r="AI201" i="3"/>
  <c r="AJ195" i="3"/>
  <c r="AJ200" i="3" s="1"/>
  <c r="AJ168" i="3"/>
  <c r="AJ173" i="3" s="1"/>
  <c r="AI175" i="3"/>
  <c r="AI174" i="3"/>
  <c r="AN121" i="3"/>
  <c r="AL146" i="3"/>
  <c r="AM145" i="3"/>
  <c r="AL147" i="3"/>
  <c r="AL149" i="3"/>
  <c r="AL148" i="3"/>
  <c r="AM123" i="3"/>
  <c r="AM124" i="3"/>
  <c r="AL140" i="3" l="1"/>
  <c r="AM135" i="3" s="1"/>
  <c r="AM139" i="3"/>
  <c r="AM170" i="3" s="1"/>
  <c r="AM197" i="3" s="1"/>
  <c r="AM224" i="3" s="1"/>
  <c r="AM126" i="3"/>
  <c r="AM125" i="3"/>
  <c r="AM149" i="3"/>
  <c r="AM146" i="3"/>
  <c r="AN145" i="3"/>
  <c r="AM147" i="3"/>
  <c r="AM148" i="3"/>
  <c r="AJ175" i="3"/>
  <c r="AK168" i="3"/>
  <c r="AK173" i="3" s="1"/>
  <c r="AJ174" i="3"/>
  <c r="AI222" i="3"/>
  <c r="AI227" i="3" s="1"/>
  <c r="AH229" i="3"/>
  <c r="AH228" i="3"/>
  <c r="AN123" i="3"/>
  <c r="AN124" i="3"/>
  <c r="AJ201" i="3"/>
  <c r="AJ202" i="3"/>
  <c r="AK195" i="3"/>
  <c r="AK200" i="3" s="1"/>
  <c r="AO121" i="3"/>
  <c r="AM140" i="3" l="1"/>
  <c r="AN135" i="3" s="1"/>
  <c r="AO123" i="3"/>
  <c r="AO124" i="3"/>
  <c r="AI229" i="3"/>
  <c r="AJ222" i="3"/>
  <c r="AJ227" i="3" s="1"/>
  <c r="AI228" i="3"/>
  <c r="AK175" i="3"/>
  <c r="AL168" i="3"/>
  <c r="AL173" i="3" s="1"/>
  <c r="AK174" i="3"/>
  <c r="AP121" i="3"/>
  <c r="AK201" i="3"/>
  <c r="AL195" i="3"/>
  <c r="AL200" i="3" s="1"/>
  <c r="AK202" i="3"/>
  <c r="AN139" i="3"/>
  <c r="AN170" i="3" s="1"/>
  <c r="AN197" i="3" s="1"/>
  <c r="AN224" i="3" s="1"/>
  <c r="AN126" i="3"/>
  <c r="AN125" i="3"/>
  <c r="AN149" i="3"/>
  <c r="AO145" i="3"/>
  <c r="AN147" i="3"/>
  <c r="AN146" i="3"/>
  <c r="AN148" i="3"/>
  <c r="AN140" i="3" l="1"/>
  <c r="AO135" i="3" s="1"/>
  <c r="AL201" i="3"/>
  <c r="AL202" i="3"/>
  <c r="AM195" i="3"/>
  <c r="AM200" i="3" s="1"/>
  <c r="AP145" i="3"/>
  <c r="AO147" i="3"/>
  <c r="AO149" i="3"/>
  <c r="AO146" i="3"/>
  <c r="AO148" i="3"/>
  <c r="AJ228" i="3"/>
  <c r="AK222" i="3"/>
  <c r="AK227" i="3" s="1"/>
  <c r="AJ229" i="3"/>
  <c r="AP123" i="3"/>
  <c r="AP124" i="3"/>
  <c r="AO139" i="3"/>
  <c r="AO170" i="3" s="1"/>
  <c r="AO197" i="3" s="1"/>
  <c r="AO224" i="3" s="1"/>
  <c r="AO126" i="3"/>
  <c r="AO125" i="3"/>
  <c r="AQ121" i="3"/>
  <c r="AM168" i="3"/>
  <c r="AM173" i="3" s="1"/>
  <c r="AL174" i="3"/>
  <c r="AL175" i="3"/>
  <c r="AO140" i="3" l="1"/>
  <c r="AP135" i="3" s="1"/>
  <c r="AP139" i="3"/>
  <c r="AP170" i="3" s="1"/>
  <c r="AP197" i="3" s="1"/>
  <c r="AP224" i="3" s="1"/>
  <c r="AP125" i="3"/>
  <c r="AP126" i="3"/>
  <c r="AM201" i="3"/>
  <c r="AN195" i="3"/>
  <c r="AN200" i="3" s="1"/>
  <c r="AM202" i="3"/>
  <c r="AM174" i="3"/>
  <c r="AN168" i="3"/>
  <c r="AN173" i="3" s="1"/>
  <c r="AM175" i="3"/>
  <c r="AQ123" i="3"/>
  <c r="AQ124" i="3"/>
  <c r="AP147" i="3"/>
  <c r="AP149" i="3"/>
  <c r="AP146" i="3"/>
  <c r="AQ145" i="3"/>
  <c r="AP148" i="3"/>
  <c r="AR121" i="3"/>
  <c r="AK229" i="3"/>
  <c r="AL222" i="3"/>
  <c r="AL227" i="3" s="1"/>
  <c r="AK228" i="3"/>
  <c r="AP140" i="3" l="1"/>
  <c r="AQ135" i="3" s="1"/>
  <c r="AQ149" i="3"/>
  <c r="AQ146" i="3"/>
  <c r="AQ147" i="3"/>
  <c r="AR145" i="3"/>
  <c r="AQ148" i="3"/>
  <c r="AO195" i="3"/>
  <c r="AO200" i="3" s="1"/>
  <c r="AN202" i="3"/>
  <c r="AN201" i="3"/>
  <c r="AQ139" i="3"/>
  <c r="AQ170" i="3" s="1"/>
  <c r="AQ197" i="3" s="1"/>
  <c r="AQ224" i="3" s="1"/>
  <c r="AQ125" i="3"/>
  <c r="AQ126" i="3"/>
  <c r="AM222" i="3"/>
  <c r="AM227" i="3" s="1"/>
  <c r="AL228" i="3"/>
  <c r="AL229" i="3"/>
  <c r="AR123" i="3"/>
  <c r="AR124" i="3"/>
  <c r="AS121" i="3"/>
  <c r="AN174" i="3"/>
  <c r="AO168" i="3"/>
  <c r="AO173" i="3" s="1"/>
  <c r="AN175" i="3"/>
  <c r="AQ140" i="3" l="1"/>
  <c r="AR135" i="3" s="1"/>
  <c r="AO174" i="3"/>
  <c r="AP168" i="3"/>
  <c r="AP173" i="3" s="1"/>
  <c r="AO175" i="3"/>
  <c r="AS123" i="3"/>
  <c r="AS124" i="3"/>
  <c r="AM228" i="3"/>
  <c r="AN222" i="3"/>
  <c r="AN227" i="3" s="1"/>
  <c r="AM229" i="3"/>
  <c r="AR147" i="3"/>
  <c r="AR149" i="3"/>
  <c r="AR146" i="3"/>
  <c r="AS145" i="3"/>
  <c r="AR148" i="3"/>
  <c r="AT121" i="3"/>
  <c r="L30" i="1" s="1"/>
  <c r="AU121" i="3"/>
  <c r="AO202" i="3"/>
  <c r="AO201" i="3"/>
  <c r="AP195" i="3"/>
  <c r="AP200" i="3" s="1"/>
  <c r="AR139" i="3"/>
  <c r="AR170" i="3" s="1"/>
  <c r="AR197" i="3" s="1"/>
  <c r="AR224" i="3" s="1"/>
  <c r="AR125" i="3"/>
  <c r="AR126" i="3"/>
  <c r="N30" i="1" l="1"/>
  <c r="L31" i="1"/>
  <c r="AR140" i="3"/>
  <c r="AS135" i="3" s="1"/>
  <c r="AU123" i="3"/>
  <c r="AU124" i="3"/>
  <c r="AN229" i="3"/>
  <c r="AO222" i="3"/>
  <c r="AO227" i="3" s="1"/>
  <c r="AN228" i="3"/>
  <c r="AS149" i="3"/>
  <c r="AS146" i="3"/>
  <c r="AT145" i="3"/>
  <c r="AS147" i="3"/>
  <c r="AS148" i="3"/>
  <c r="AS139" i="3"/>
  <c r="AS170" i="3" s="1"/>
  <c r="AS197" i="3" s="1"/>
  <c r="AS224" i="3" s="1"/>
  <c r="AS125" i="3"/>
  <c r="AS126" i="3"/>
  <c r="AQ195" i="3"/>
  <c r="AQ200" i="3" s="1"/>
  <c r="AP202" i="3"/>
  <c r="AP201" i="3"/>
  <c r="AQ168" i="3"/>
  <c r="AQ173" i="3" s="1"/>
  <c r="AP175" i="3"/>
  <c r="AP174" i="3"/>
  <c r="AT123" i="3"/>
  <c r="AT124" i="3"/>
  <c r="L141" i="3" l="1"/>
  <c r="L142" i="3" s="1"/>
  <c r="X141" i="3"/>
  <c r="X142" i="3" s="1"/>
  <c r="AM141" i="3"/>
  <c r="AM142" i="3" s="1"/>
  <c r="AC141" i="3"/>
  <c r="AC142" i="3" s="1"/>
  <c r="N141" i="3"/>
  <c r="N142" i="3" s="1"/>
  <c r="P141" i="3"/>
  <c r="P142" i="3" s="1"/>
  <c r="Q141" i="3"/>
  <c r="Q142" i="3" s="1"/>
  <c r="AI141" i="3"/>
  <c r="AI142" i="3" s="1"/>
  <c r="AQ141" i="3"/>
  <c r="AQ142" i="3" s="1"/>
  <c r="W141" i="3"/>
  <c r="W142" i="3" s="1"/>
  <c r="D141" i="3"/>
  <c r="D142" i="3" s="1"/>
  <c r="AR141" i="3"/>
  <c r="AR142" i="3" s="1"/>
  <c r="AG141" i="3"/>
  <c r="AG142" i="3" s="1"/>
  <c r="U141" i="3"/>
  <c r="U142" i="3" s="1"/>
  <c r="AL141" i="3"/>
  <c r="AL142" i="3" s="1"/>
  <c r="T141" i="3"/>
  <c r="T142" i="3" s="1"/>
  <c r="AK141" i="3"/>
  <c r="AK142" i="3" s="1"/>
  <c r="E141" i="3"/>
  <c r="E142" i="3" s="1"/>
  <c r="AH141" i="3"/>
  <c r="AH142" i="3" s="1"/>
  <c r="AO141" i="3"/>
  <c r="AO142" i="3" s="1"/>
  <c r="AJ141" i="3"/>
  <c r="AJ142" i="3" s="1"/>
  <c r="J141" i="3"/>
  <c r="J142" i="3" s="1"/>
  <c r="AB141" i="3"/>
  <c r="AB142" i="3" s="1"/>
  <c r="AD141" i="3"/>
  <c r="AD142" i="3" s="1"/>
  <c r="L33" i="1"/>
  <c r="N31" i="1"/>
  <c r="L32" i="1"/>
  <c r="Y141" i="3"/>
  <c r="Y142" i="3" s="1"/>
  <c r="AN141" i="3"/>
  <c r="AN142" i="3" s="1"/>
  <c r="V141" i="3"/>
  <c r="V142" i="3" s="1"/>
  <c r="O141" i="3"/>
  <c r="O142" i="3" s="1"/>
  <c r="R141" i="3"/>
  <c r="R142" i="3" s="1"/>
  <c r="K141" i="3"/>
  <c r="K142" i="3" s="1"/>
  <c r="AA141" i="3"/>
  <c r="AA142" i="3" s="1"/>
  <c r="AP141" i="3"/>
  <c r="AP142" i="3" s="1"/>
  <c r="AE141" i="3"/>
  <c r="AE142" i="3" s="1"/>
  <c r="AS140" i="3"/>
  <c r="AT135" i="3" s="1"/>
  <c r="F141" i="3"/>
  <c r="F142" i="3" s="1"/>
  <c r="G141" i="3"/>
  <c r="G142" i="3" s="1"/>
  <c r="AF141" i="3"/>
  <c r="AF142" i="3" s="1"/>
  <c r="H141" i="3"/>
  <c r="H142" i="3" s="1"/>
  <c r="Z141" i="3"/>
  <c r="Z142" i="3" s="1"/>
  <c r="M141" i="3"/>
  <c r="M142" i="3" s="1"/>
  <c r="S141" i="3"/>
  <c r="S142" i="3" s="1"/>
  <c r="I141" i="3"/>
  <c r="I142" i="3" s="1"/>
  <c r="AT149" i="3"/>
  <c r="AT146" i="3"/>
  <c r="AU145" i="3"/>
  <c r="AT147" i="3"/>
  <c r="AT148" i="3"/>
  <c r="AU141" i="3"/>
  <c r="AU139" i="3"/>
  <c r="AU170" i="3" s="1"/>
  <c r="AU197" i="3" s="1"/>
  <c r="AU224" i="3" s="1"/>
  <c r="AT141" i="3"/>
  <c r="AU126" i="3"/>
  <c r="AU125" i="3"/>
  <c r="AS141" i="3"/>
  <c r="AT126" i="3"/>
  <c r="AT139" i="3"/>
  <c r="AT170" i="3" s="1"/>
  <c r="AT197" i="3" s="1"/>
  <c r="AT224" i="3" s="1"/>
  <c r="AT125" i="3"/>
  <c r="AO228" i="3"/>
  <c r="AP222" i="3"/>
  <c r="AP227" i="3" s="1"/>
  <c r="AO229" i="3"/>
  <c r="AQ175" i="3"/>
  <c r="AR168" i="3"/>
  <c r="AR173" i="3" s="1"/>
  <c r="AQ174" i="3"/>
  <c r="AQ202" i="3"/>
  <c r="AQ201" i="3"/>
  <c r="AR195" i="3"/>
  <c r="AR200" i="3" s="1"/>
  <c r="AT140" i="3" l="1"/>
  <c r="AU135" i="3" s="1"/>
  <c r="AU140" i="3" s="1"/>
  <c r="N32" i="1"/>
  <c r="N33" i="1"/>
  <c r="AS142" i="3"/>
  <c r="AU149" i="3"/>
  <c r="AU146" i="3"/>
  <c r="E41" i="1" s="1"/>
  <c r="AU147" i="3"/>
  <c r="AU148" i="3"/>
  <c r="AR175" i="3"/>
  <c r="AR174" i="3"/>
  <c r="AS168" i="3"/>
  <c r="AS173" i="3" s="1"/>
  <c r="AU142" i="3"/>
  <c r="L37" i="1" s="1" a="1"/>
  <c r="L37" i="1" s="1"/>
  <c r="E37" i="1" a="1"/>
  <c r="E37" i="1" s="1"/>
  <c r="AQ222" i="3"/>
  <c r="AQ227" i="3" s="1"/>
  <c r="AP228" i="3"/>
  <c r="AP229" i="3"/>
  <c r="AR201" i="3"/>
  <c r="AR202" i="3"/>
  <c r="AS195" i="3"/>
  <c r="AS200" i="3" s="1"/>
  <c r="AT142" i="3" l="1"/>
  <c r="L40" i="1" a="1"/>
  <c r="L40" i="1" s="1"/>
  <c r="L38" i="1"/>
  <c r="L39" i="1"/>
  <c r="AS201" i="3"/>
  <c r="AT195" i="3"/>
  <c r="AT200" i="3" s="1"/>
  <c r="AS202" i="3"/>
  <c r="AS175" i="3"/>
  <c r="AT168" i="3"/>
  <c r="AT173" i="3" s="1"/>
  <c r="AS174" i="3"/>
  <c r="AQ229" i="3"/>
  <c r="AQ228" i="3"/>
  <c r="AR222" i="3"/>
  <c r="AR227" i="3" s="1"/>
  <c r="L41" i="1" a="1"/>
  <c r="L41" i="1" s="1"/>
  <c r="E40" i="1" a="1"/>
  <c r="E40" i="1" s="1"/>
  <c r="E39" i="1"/>
  <c r="E38" i="1"/>
  <c r="AT201" i="3" l="1"/>
  <c r="AT202" i="3"/>
  <c r="AU195" i="3"/>
  <c r="AU200" i="3" s="1"/>
  <c r="AT174" i="3"/>
  <c r="AT175" i="3"/>
  <c r="AU168" i="3"/>
  <c r="AU173" i="3" s="1"/>
  <c r="AR228" i="3"/>
  <c r="AS222" i="3"/>
  <c r="AS227" i="3" s="1"/>
  <c r="AR229" i="3"/>
  <c r="AU201" i="3" l="1"/>
  <c r="AU202" i="3"/>
  <c r="K70" i="1" a="1"/>
  <c r="K70" i="1" s="1"/>
  <c r="AU175" i="3"/>
  <c r="AU174" i="3"/>
  <c r="E70" i="1" a="1"/>
  <c r="E70" i="1" s="1"/>
  <c r="AS229" i="3"/>
  <c r="AS228" i="3"/>
  <c r="AT222" i="3"/>
  <c r="AT227" i="3" s="1"/>
  <c r="E73" i="1" l="1" a="1"/>
  <c r="E73" i="1" s="1"/>
  <c r="E71" i="1"/>
  <c r="E72" i="1"/>
  <c r="K73" i="1" a="1"/>
  <c r="K73" i="1" s="1"/>
  <c r="K72" i="1"/>
  <c r="K71" i="1"/>
  <c r="AT228" i="3"/>
  <c r="AT229" i="3"/>
  <c r="AU222" i="3"/>
  <c r="AU227" i="3" s="1"/>
  <c r="AU228" i="3" l="1"/>
  <c r="AU229" i="3"/>
  <c r="R70" i="1" a="1"/>
  <c r="R70" i="1" s="1"/>
  <c r="R73" i="1" l="1" a="1"/>
  <c r="R73" i="1" s="1"/>
  <c r="R71" i="1"/>
  <c r="R7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5" authorId="0" shapeId="0" xr:uid="{00000000-0006-0000-0000-000011000000}">
      <text>
        <r>
          <rPr>
            <sz val="12"/>
            <color rgb="FF000000"/>
            <rFont val="Arial"/>
            <family val="2"/>
          </rPr>
          <t xml:space="preserve">For example, the portfolio table (portfolio tab) is pulling from assumptions, but once an investment occurs, data can be manually entered into each row. Similarly, if actual expenses (in the model tab) for a quarter end up different than assumptions, then the cash flow model can be manually updated with actual expenses, otherwise they will pull from the overview tab assumptions.
</t>
        </r>
        <r>
          <rPr>
            <sz val="12"/>
            <color rgb="FF000000"/>
            <rFont val="Arial"/>
            <family val="2"/>
          </rPr>
          <t xml:space="preserve">	</t>
        </r>
      </text>
    </comment>
    <comment ref="E37" authorId="0" shapeId="0" xr:uid="{00000000-0006-0000-0000-000013000000}">
      <text>
        <r>
          <rPr>
            <sz val="12"/>
            <color rgb="FF000000"/>
            <rFont val="Arial"/>
            <family val="2"/>
          </rPr>
          <t>MUST exit with "CTRL+SHIFT+RETURN"</t>
        </r>
      </text>
    </comment>
    <comment ref="L37" authorId="0" shapeId="0" xr:uid="{AA098B24-2D73-924A-8840-C46D5E90BDD8}">
      <text>
        <r>
          <rPr>
            <sz val="12"/>
            <color rgb="FF000000"/>
            <rFont val="Arial"/>
            <family val="2"/>
          </rPr>
          <t>MUST exit with "CTRL+SHIFT+RETURN"</t>
        </r>
      </text>
    </comment>
    <comment ref="E70" authorId="0" shapeId="0" xr:uid="{2BF0DBE4-2D0F-0948-B94A-576895B12395}">
      <text>
        <r>
          <rPr>
            <sz val="12"/>
            <color rgb="FF000000"/>
            <rFont val="Arial"/>
            <family val="2"/>
          </rPr>
          <t>MUST exit with "CTRL+SHIFT+RETURN"</t>
        </r>
      </text>
    </comment>
    <comment ref="K70" authorId="0" shapeId="0" xr:uid="{58D9F11F-1C9E-2047-B978-1A5D7A558269}">
      <text>
        <r>
          <rPr>
            <sz val="12"/>
            <color rgb="FF000000"/>
            <rFont val="Arial"/>
            <family val="2"/>
          </rPr>
          <t>MUST exit with "CTRL+SHIFT+RETURN"</t>
        </r>
      </text>
    </comment>
    <comment ref="R70" authorId="0" shapeId="0" xr:uid="{E16FA045-6D3A-1D44-81C6-EEC9A52A9682}">
      <text>
        <r>
          <rPr>
            <sz val="12"/>
            <color rgb="FF000000"/>
            <rFont val="Arial"/>
            <family val="2"/>
          </rPr>
          <t>MUST exit with "CTRL+SHIFT+RETURN"</t>
        </r>
      </text>
    </comment>
    <comment ref="N101" authorId="0" shapeId="0" xr:uid="{00000000-0006-0000-0000-000006000000}">
      <text>
        <r>
          <rPr>
            <sz val="12"/>
            <color rgb="FF000000"/>
            <rFont val="Arial"/>
            <family val="2"/>
          </rPr>
          <t>Shows you what the average check size would be for each round based on your projections.</t>
        </r>
      </text>
    </comment>
    <comment ref="C102" authorId="0" shapeId="0" xr:uid="{00000000-0006-0000-0000-00000D000000}">
      <text>
        <r>
          <rPr>
            <sz val="12"/>
            <color rgb="FF000000"/>
            <rFont val="Arial"/>
            <family val="2"/>
          </rPr>
          <t>The MAX is 50</t>
        </r>
      </text>
    </comment>
    <comment ref="C103" authorId="0" shapeId="0" xr:uid="{00000000-0006-0000-0000-00000C000000}">
      <text>
        <r>
          <rPr>
            <sz val="12"/>
            <color rgb="FF000000"/>
            <rFont val="Arial"/>
            <family val="2"/>
          </rPr>
          <t xml:space="preserve">This drives average expected returns on the portfolio page (column L) and so will be taken into account in the cash flow model. It does NOT impact the return scenarios. For example, if you assume on average you can double your fund, this would be at 100%. We do not use this ourselves as we have modeled no forecasted returns into our cash flow model (only realized returns), so we've left this at -100%.
</t>
        </r>
        <r>
          <rPr>
            <sz val="12"/>
            <color rgb="FF000000"/>
            <rFont val="Arial"/>
            <family val="2"/>
          </rPr>
          <t xml:space="preserve">	</t>
        </r>
      </text>
    </comment>
    <comment ref="C104" authorId="0" shapeId="0" xr:uid="{00000000-0006-0000-0000-00000B000000}">
      <text>
        <r>
          <rPr>
            <sz val="12"/>
            <color rgb="FF000000"/>
            <rFont val="Arial"/>
            <family val="2"/>
          </rPr>
          <t>In the returns scenarios (NOT in the cash flow model), this toggle determines whether projected future returns are recycled into the fund or paid out as distributions.</t>
        </r>
      </text>
    </comment>
    <comment ref="C105" authorId="0" shapeId="0" xr:uid="{00000000-0006-0000-0000-000001000000}">
      <text>
        <r>
          <rPr>
            <sz val="12"/>
            <color rgb="FF000000"/>
            <rFont val="Arial"/>
            <family val="2"/>
          </rPr>
          <t>This is the % of your original fund that will be invested based on the other variables you have selected, aka your target recycle rate.</t>
        </r>
      </text>
    </comment>
    <comment ref="N106" authorId="0" shapeId="0" xr:uid="{00000000-0006-0000-0000-000004000000}">
      <text>
        <r>
          <rPr>
            <sz val="12"/>
            <color rgb="FF000000"/>
            <rFont val="Arial"/>
            <family val="2"/>
          </rPr>
          <t>Shows the total amount expected to invest into a company excluding a potential extension.</t>
        </r>
      </text>
    </comment>
    <comment ref="D107" authorId="0" shapeId="0" xr:uid="{00000000-0006-0000-0000-00000A000000}">
      <text>
        <r>
          <rPr>
            <sz val="12"/>
            <color rgb="FF000000"/>
            <rFont val="Arial"/>
            <family val="2"/>
          </rPr>
          <t xml:space="preserve">This table shows the annual returns for each scenario as modeled in the return scenario graphs above. If a year has already passed, it will pull the returns that were modeled for that year in the cash flow model. For future years it will pull from the assumptions listed in the table below.
</t>
        </r>
        <r>
          <rPr>
            <sz val="12"/>
            <color rgb="FF000000"/>
            <rFont val="Arial"/>
            <family val="2"/>
          </rPr>
          <t xml:space="preserve">
</t>
        </r>
        <r>
          <rPr>
            <sz val="12"/>
            <color rgb="FF000000"/>
            <rFont val="Arial"/>
            <family val="2"/>
          </rPr>
          <t xml:space="preserve">This table should not be edited, as it is merely reflecing the returns as modeled in the charts above. To change forecasted returns, go to the Annualized Return Scenario Assumptions table. 
</t>
        </r>
        <r>
          <rPr>
            <sz val="12"/>
            <color rgb="FF000000"/>
            <rFont val="Arial"/>
            <family val="2"/>
          </rPr>
          <t xml:space="preserve">	</t>
        </r>
      </text>
    </comment>
    <comment ref="N110" authorId="0" shapeId="0" xr:uid="{00000000-0006-0000-0000-000005000000}">
      <text>
        <r>
          <rPr>
            <sz val="12"/>
            <color rgb="FF000000"/>
            <rFont val="Arial"/>
            <family val="2"/>
          </rPr>
          <t>Shows you the expected number of each type of deal you will do based on your expected conversion rate.</t>
        </r>
      </text>
    </comment>
    <comment ref="J117" authorId="0" shapeId="0" xr:uid="{00000000-0006-0000-0000-000009000000}">
      <text>
        <r>
          <rPr>
            <sz val="12"/>
            <color rgb="FF000000"/>
            <rFont val="Arial"/>
            <family val="2"/>
          </rPr>
          <t>This allows you to change the average time between new seed deals and the average time between each round for a company. It must be in increments of whole weeks (whole integers, no decimals).</t>
        </r>
      </text>
    </comment>
    <comment ref="J120" authorId="0" shapeId="0" xr:uid="{00000000-0006-0000-0000-000002000000}">
      <text>
        <r>
          <rPr>
            <sz val="12"/>
            <color rgb="FF000000"/>
            <rFont val="Arial"/>
            <family val="2"/>
          </rPr>
          <t>Avg S to A time regardless of whether or not there was an extension.</t>
        </r>
      </text>
    </comment>
    <comment ref="D122" authorId="0" shapeId="0" xr:uid="{00000000-0006-0000-0000-000007000000}">
      <text>
        <r>
          <rPr>
            <sz val="12"/>
            <color rgb="FF000000"/>
            <rFont val="Arial"/>
            <family val="2"/>
          </rPr>
          <t>Here you can enter your assumptions for expected returns for different years in the life of the fund.</t>
        </r>
      </text>
    </comment>
    <comment ref="J123" authorId="0" shapeId="0" xr:uid="{00000000-0006-0000-0000-000008000000}">
      <text>
        <r>
          <rPr>
            <sz val="12"/>
            <color rgb="FF000000"/>
            <rFont val="Arial"/>
            <family val="2"/>
          </rPr>
          <t xml:space="preserve">Only relevant if C103 (forecasted returns in cash flow model) is &gt;-100%
</t>
        </r>
      </text>
    </comment>
    <comment ref="E143" authorId="0" shapeId="0" xr:uid="{00000000-0006-0000-0000-000003000000}">
      <text>
        <r>
          <rPr>
            <sz val="12"/>
            <color rgb="FF000000"/>
            <rFont val="Arial"/>
            <family val="2"/>
          </rPr>
          <t>After the initial investment period has ended, the model will lower your management fee by this amount each quarter until you hit your lowest annual fee.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100-000006000000}">
      <text>
        <r>
          <rPr>
            <sz val="12"/>
            <color theme="1"/>
            <rFont val="Arial"/>
          </rPr>
          <t>Dates for forecasted deals are calculted based on an average spread between each deal, however if that spread would imply that the round already took place, the formula will instead insert today's date plus this many number of days to show that it will take place in the future
	-Kristin McDonald</t>
        </r>
      </text>
    </comment>
    <comment ref="O5" authorId="0" shapeId="0" xr:uid="{00000000-0006-0000-0100-000002000000}">
      <text>
        <r>
          <rPr>
            <sz val="12"/>
            <color theme="1"/>
            <rFont val="Arial"/>
          </rPr>
          <t>This segment collects analytics on the portfolio deals that have already been executed, to drive the summary information on the summary and assumptions tab. It will autopopulate as you enter in real deals that have occurred before today's date. You do not need to enter or edit any information in these rows.
	-Kristin McDonald</t>
        </r>
      </text>
    </comment>
    <comment ref="B6" authorId="0" shapeId="0" xr:uid="{00000000-0006-0000-0100-000007000000}">
      <text>
        <r>
          <rPr>
            <sz val="12"/>
            <color theme="1"/>
            <rFont val="Arial"/>
          </rPr>
          <t>Is the deal forecasted or executed.
	-Kristin McDonald</t>
        </r>
      </text>
    </comment>
    <comment ref="K6" authorId="0" shapeId="0" xr:uid="{00000000-0006-0000-0100-000003000000}">
      <text>
        <r>
          <rPr>
            <sz val="12"/>
            <color theme="1"/>
            <rFont val="Arial"/>
          </rPr>
          <t>What stage the deal last completed, must match headers exactly otherwise will not be properly added
	-Kristin McDonald</t>
        </r>
      </text>
    </comment>
    <comment ref="E7" authorId="0" shapeId="0" xr:uid="{00000000-0006-0000-0100-000001000000}">
      <text>
        <r>
          <rPr>
            <sz val="12"/>
            <color theme="1"/>
            <rFont val="Arial"/>
          </rPr>
          <t>The end date of the fiscal quarter that the investment occurred in.
	-Kristin McDonald</t>
        </r>
      </text>
    </comment>
    <comment ref="A168" authorId="0" shapeId="0" xr:uid="{00000000-0006-0000-0100-000005000000}">
      <text>
        <r>
          <rPr>
            <sz val="12"/>
            <color theme="1"/>
            <rFont val="Arial"/>
          </rPr>
          <t>This segment collects analytics on the portfolio deals that have already been executed, to drive the summary information on the summary and assumptions tab. It will autopopulate as you enter in real deals that have occurred before today's date. You do not need to enter or edit any information in these rows.
	-Kristin McDonald</t>
        </r>
      </text>
    </comment>
    <comment ref="R173" authorId="0" shapeId="0" xr:uid="{00000000-0006-0000-0100-000004000000}">
      <text>
        <r>
          <rPr>
            <sz val="12"/>
            <color theme="1"/>
            <rFont val="Arial"/>
          </rPr>
          <t>This is measuring the time in between each seed deal
	-Kristin McDonald</t>
        </r>
      </text>
    </comment>
  </commentList>
</comments>
</file>

<file path=xl/sharedStrings.xml><?xml version="1.0" encoding="utf-8"?>
<sst xmlns="http://schemas.openxmlformats.org/spreadsheetml/2006/main" count="539" uniqueCount="200">
  <si>
    <t>Portfolio</t>
  </si>
  <si>
    <t>Today</t>
  </si>
  <si>
    <t># of Invst.</t>
  </si>
  <si>
    <t>Start Date</t>
  </si>
  <si>
    <t>Days to add if overdue</t>
  </si>
  <si>
    <t>Executed Deals</t>
  </si>
  <si>
    <t>Forecast Deals</t>
  </si>
  <si>
    <t>F/E?</t>
  </si>
  <si>
    <t>Companies</t>
  </si>
  <si>
    <t>Info</t>
  </si>
  <si>
    <t>Seed</t>
  </si>
  <si>
    <t xml:space="preserve">Ext. </t>
  </si>
  <si>
    <t>A</t>
  </si>
  <si>
    <t>B</t>
  </si>
  <si>
    <t>C</t>
  </si>
  <si>
    <t>Stage</t>
  </si>
  <si>
    <t>Returns</t>
  </si>
  <si>
    <t>Intl Inv Date</t>
  </si>
  <si>
    <t>F</t>
  </si>
  <si>
    <t>FQ End Date</t>
  </si>
  <si>
    <t>Date</t>
  </si>
  <si>
    <t>Amount</t>
  </si>
  <si>
    <t>Model</t>
  </si>
  <si>
    <t>Start</t>
  </si>
  <si>
    <t>Fund</t>
  </si>
  <si>
    <t>Q1 E</t>
  </si>
  <si>
    <t>Q2 E</t>
  </si>
  <si>
    <t>Q3 E</t>
  </si>
  <si>
    <t>Q4 E</t>
  </si>
  <si>
    <t>Cash Flow Model</t>
  </si>
  <si>
    <t>x</t>
  </si>
  <si>
    <t>Investments</t>
  </si>
  <si>
    <t>Model Key</t>
  </si>
  <si>
    <t>Portfolio Model</t>
  </si>
  <si>
    <r>
      <t xml:space="preserve">Hardcoded assumption, </t>
    </r>
    <r>
      <rPr>
        <b/>
        <sz val="12"/>
        <color rgb="FF00009B"/>
        <rFont val="Calibri"/>
        <family val="2"/>
      </rPr>
      <t>can edit</t>
    </r>
  </si>
  <si>
    <r>
      <t xml:space="preserve">Formula, </t>
    </r>
    <r>
      <rPr>
        <b/>
        <sz val="12"/>
        <color theme="1"/>
        <rFont val="Calibri"/>
        <family val="2"/>
      </rPr>
      <t>do not edit</t>
    </r>
  </si>
  <si>
    <r>
      <t xml:space="preserve">Pull from another tab, </t>
    </r>
    <r>
      <rPr>
        <b/>
        <sz val="12"/>
        <color rgb="FF007C00"/>
        <rFont val="Calibri"/>
        <family val="2"/>
      </rPr>
      <t>do not edit</t>
    </r>
  </si>
  <si>
    <r>
      <t xml:space="preserve">Pull from another tab, </t>
    </r>
    <r>
      <rPr>
        <b/>
        <sz val="12"/>
        <color rgb="FF007C00"/>
        <rFont val="Calibri"/>
        <family val="2"/>
      </rPr>
      <t>can be updated</t>
    </r>
  </si>
  <si>
    <t>Fund Characteristics</t>
  </si>
  <si>
    <t>Name</t>
  </si>
  <si>
    <t>Fund Name</t>
  </si>
  <si>
    <t># of target initial investments:</t>
  </si>
  <si>
    <t>Fund Size</t>
  </si>
  <si>
    <t>Deals to date:</t>
  </si>
  <si>
    <t>End date of intl invt period</t>
  </si>
  <si>
    <t>Intl Invst. to date:</t>
  </si>
  <si>
    <t>Today's Date</t>
  </si>
  <si>
    <t>Fund to Date</t>
  </si>
  <si>
    <t>Ext</t>
  </si>
  <si>
    <t>Series A</t>
  </si>
  <si>
    <t>Series B</t>
  </si>
  <si>
    <t>Series C</t>
  </si>
  <si>
    <t>All Rounds</t>
  </si>
  <si>
    <t>Invested</t>
  </si>
  <si>
    <t>Returned</t>
  </si>
  <si>
    <t>Rate</t>
  </si>
  <si>
    <t># of Deals</t>
  </si>
  <si>
    <t>Average Deal Size</t>
  </si>
  <si>
    <t>Total Conversion Rate</t>
  </si>
  <si>
    <t>Conversion Rate excl deals in last 2yrs</t>
  </si>
  <si>
    <t>Summary</t>
  </si>
  <si>
    <t>Initial Invsts</t>
  </si>
  <si>
    <t>Follow-On Invsts</t>
  </si>
  <si>
    <t>Total Investment</t>
  </si>
  <si>
    <t>Seed Invsts</t>
  </si>
  <si>
    <t>Ext Invsts</t>
  </si>
  <si>
    <t>Series A Invsts</t>
  </si>
  <si>
    <t>Series B Invsts</t>
  </si>
  <si>
    <t>Series C Invsts</t>
  </si>
  <si>
    <t>Mgmt Fees</t>
  </si>
  <si>
    <t>Other Expenses</t>
  </si>
  <si>
    <t>Total Expenses</t>
  </si>
  <si>
    <t>Recycled Returns</t>
  </si>
  <si>
    <t>Total Returns</t>
  </si>
  <si>
    <t>Distributions</t>
  </si>
  <si>
    <t>Actual to Date</t>
  </si>
  <si>
    <t>Forecasted</t>
  </si>
  <si>
    <t>Total (Actual + Forecast)</t>
  </si>
  <si>
    <t>As % of Total Fund</t>
  </si>
  <si>
    <t>As % of Total Invested</t>
  </si>
  <si>
    <t>Investable Capital Model</t>
  </si>
  <si>
    <t>Max out date</t>
  </si>
  <si>
    <t xml:space="preserve">   Months remaining</t>
  </si>
  <si>
    <t xml:space="preserve">   Qs remaining</t>
  </si>
  <si>
    <t>Recycled at max-out</t>
  </si>
  <si>
    <t>Target recycling hit</t>
  </si>
  <si>
    <t>Return Scenarios</t>
  </si>
  <si>
    <t>Bear Case Scenario</t>
  </si>
  <si>
    <t>Base Case Scenario</t>
  </si>
  <si>
    <t>Bull Case Scenario</t>
  </si>
  <si>
    <t>Investment Assumptions</t>
  </si>
  <si>
    <t>Avg Seed investment</t>
  </si>
  <si>
    <t>Investment Size as % Seed</t>
  </si>
  <si>
    <t>Current Fund Avg.</t>
  </si>
  <si>
    <t>Avg Investment in a Company</t>
  </si>
  <si>
    <t>Number of initial investments</t>
  </si>
  <si>
    <t>Forecasted Returns (cash flow model)</t>
  </si>
  <si>
    <t>Recycling? (1=yes, 0=no)</t>
  </si>
  <si>
    <t>Target Recycle Rate</t>
  </si>
  <si>
    <t>Total through B (excl Ext)</t>
  </si>
  <si>
    <r>
      <t xml:space="preserve">Annualized Return Scenario </t>
    </r>
    <r>
      <rPr>
        <b/>
        <sz val="12"/>
        <rFont val="Arial"/>
        <family val="2"/>
      </rPr>
      <t>(MODELED)</t>
    </r>
  </si>
  <si>
    <t>Current year:</t>
  </si>
  <si>
    <t>Years</t>
  </si>
  <si>
    <t>Bear</t>
  </si>
  <si>
    <t>Base</t>
  </si>
  <si>
    <t>Bull</t>
  </si>
  <si>
    <t>Conversion Rate from Seed</t>
  </si>
  <si>
    <t>Current Fund Conv</t>
  </si>
  <si>
    <t>Implied Deal #</t>
  </si>
  <si>
    <t>Avg Time Between Deals (weeks)</t>
  </si>
  <si>
    <t>Time in Months</t>
  </si>
  <si>
    <t>Current Avg (weeks)</t>
  </si>
  <si>
    <t>Between Seed invts.</t>
  </si>
  <si>
    <t>S and Ext</t>
  </si>
  <si>
    <t>S and A</t>
  </si>
  <si>
    <t>A and B</t>
  </si>
  <si>
    <t>Annualized Return Scenario Assumptions</t>
  </si>
  <si>
    <t>Year Brackets</t>
  </si>
  <si>
    <t>B and C</t>
  </si>
  <si>
    <t>Lower (Y)</t>
  </si>
  <si>
    <t>Upper (Y)</t>
  </si>
  <si>
    <t>Return range (from last investment)</t>
  </si>
  <si>
    <t>&gt;</t>
  </si>
  <si>
    <t>Fee and Expense Assumptions</t>
  </si>
  <si>
    <t>Expense</t>
  </si>
  <si>
    <t>Cost</t>
  </si>
  <si>
    <t>Pacing</t>
  </si>
  <si>
    <t>Quarterly management fee</t>
  </si>
  <si>
    <t>Quarterly</t>
  </si>
  <si>
    <t>Quarterly decrease in mgmt fee</t>
  </si>
  <si>
    <t>After intl invt pd.</t>
  </si>
  <si>
    <t>Lowest annual fee</t>
  </si>
  <si>
    <t>Forecasted LP Distributions</t>
  </si>
  <si>
    <t>Forecasted GP Distributions</t>
  </si>
  <si>
    <t>Expense line item #1</t>
  </si>
  <si>
    <t>Expense line item #2</t>
  </si>
  <si>
    <t>Expense line item #3</t>
  </si>
  <si>
    <t>Expense line item #4</t>
  </si>
  <si>
    <t>Expense line item #5</t>
  </si>
  <si>
    <t>Averages</t>
  </si>
  <si>
    <t>Counts</t>
  </si>
  <si>
    <t>Sums</t>
  </si>
  <si>
    <t>Returns by deal type</t>
  </si>
  <si>
    <t>NA</t>
  </si>
  <si>
    <t>Excluding last 2yrs</t>
  </si>
  <si>
    <t>Total Investment Outflows</t>
  </si>
  <si>
    <t>Conversion rates</t>
  </si>
  <si>
    <t>Fund to date metrics</t>
  </si>
  <si>
    <t>Time between Deals</t>
  </si>
  <si>
    <r>
      <rPr>
        <sz val="12"/>
        <color theme="1"/>
        <rFont val="Calibri"/>
        <family val="2"/>
      </rPr>
      <t xml:space="preserve">Executed Deals </t>
    </r>
    <r>
      <rPr>
        <b/>
        <sz val="12"/>
        <color theme="1"/>
        <rFont val="Calibri"/>
        <family val="2"/>
      </rPr>
      <t>- Time between Deals (dates)</t>
    </r>
  </si>
  <si>
    <t>Executed Deals - Time between Deals (in weeks)</t>
  </si>
  <si>
    <t>S to S</t>
  </si>
  <si>
    <t>S to Ext</t>
  </si>
  <si>
    <t>S to A</t>
  </si>
  <si>
    <t>A to B</t>
  </si>
  <si>
    <t>B to C</t>
  </si>
  <si>
    <t>S to Return</t>
  </si>
  <si>
    <t>Avg Weeks between Rounds</t>
  </si>
  <si>
    <t>Deal Size</t>
  </si>
  <si>
    <r>
      <rPr>
        <sz val="12"/>
        <color theme="1"/>
        <rFont val="Calibri"/>
        <family val="2"/>
      </rPr>
      <t xml:space="preserve">Executed Deals </t>
    </r>
    <r>
      <rPr>
        <b/>
        <sz val="12"/>
        <color theme="1"/>
        <rFont val="Calibri"/>
        <family val="2"/>
      </rPr>
      <t>- Deal Size</t>
    </r>
  </si>
  <si>
    <t>Avg Deal Size a % Seed</t>
  </si>
  <si>
    <t>Total Returned Capital</t>
  </si>
  <si>
    <t>Fees</t>
  </si>
  <si>
    <t>Other/Unclassified</t>
  </si>
  <si>
    <t>Management</t>
  </si>
  <si>
    <t>Quarterly rate</t>
  </si>
  <si>
    <t>Annualized</t>
  </si>
  <si>
    <t>Total Fees</t>
  </si>
  <si>
    <t>As % of fund</t>
  </si>
  <si>
    <t>% change Y/Y</t>
  </si>
  <si>
    <t>LP Distributions</t>
  </si>
  <si>
    <t>GP Distributions</t>
  </si>
  <si>
    <t>Total Distributions</t>
  </si>
  <si>
    <t>Total Fund Balance</t>
  </si>
  <si>
    <t>Beginning balance</t>
  </si>
  <si>
    <t>Investment outflows</t>
  </si>
  <si>
    <t>Returned capital</t>
  </si>
  <si>
    <t>Net fees</t>
  </si>
  <si>
    <t>Ending Cash Balance</t>
  </si>
  <si>
    <t>Remaining expenses</t>
  </si>
  <si>
    <t>Investable Capital</t>
  </si>
  <si>
    <t>Cumulative Invested Capital</t>
  </si>
  <si>
    <t>Recycle Rate</t>
  </si>
  <si>
    <t>TTM Rate of Return</t>
  </si>
  <si>
    <t>Quarterly Rate of Return</t>
  </si>
  <si>
    <t>Cumulative Returns on Invested Capital</t>
  </si>
  <si>
    <t>Returns Scenario Model</t>
  </si>
  <si>
    <t>Bear Scenario</t>
  </si>
  <si>
    <t>Year</t>
  </si>
  <si>
    <t>Invested capital</t>
  </si>
  <si>
    <t>Cumulative invested capital</t>
  </si>
  <si>
    <t>Recycle rate</t>
  </si>
  <si>
    <t>Forecasted returns (only after today's date)</t>
  </si>
  <si>
    <t xml:space="preserve">  Quarterly Rate of Return</t>
  </si>
  <si>
    <t xml:space="preserve">  Annualized Rate of Return</t>
  </si>
  <si>
    <t>Cash Balance</t>
  </si>
  <si>
    <t>Annualized Rate of Return</t>
  </si>
  <si>
    <t>Base Scenario</t>
  </si>
  <si>
    <t>Bull Scenario</t>
  </si>
  <si>
    <t>Do not edit this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</si>
</sst>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6" formatCode="&quot;$&quot;#,##0_);[Red]\(&quot;$&quot;#,##0\)"/>
    <numFmt numFmtId="43" formatCode="_(* #,##0.00_);_(* \(#,##0.00\);_(* &quot;-&quot;??_);_(@_)"/>
    <numFmt numFmtId="164" formatCode="_(* #,##0_);_(* \(#,##0\);_(* &quot;-&quot;??_);_(@_)"/>
    <numFmt numFmtId="165" formatCode="&quot;$&quot;#,##0"/>
    <numFmt numFmtId="166" formatCode="0.0%"/>
    <numFmt numFmtId="167" formatCode="_(* #,##0.0_);_(* \(#,##0.0\);_(* &quot;-&quot;?_);_(@_)"/>
    <numFmt numFmtId="168" formatCode="_(* #,##0.0_);_(* \(#,##0.0\);_(* &quot;-&quot;??_);_(@_)"/>
    <numFmt numFmtId="169" formatCode="0.0"/>
    <numFmt numFmtId="170" formatCode="0.000%"/>
    <numFmt numFmtId="171" formatCode="0.00%;\(0.00%\)"/>
    <numFmt numFmtId="172" formatCode="0.0%;\(0.0%\)"/>
  </numFmts>
  <fonts count="33" x14ac:knownFonts="1">
    <font>
      <sz val="12"/>
      <color theme="1"/>
      <name val="Arial"/>
    </font>
    <font>
      <sz val="30"/>
      <color theme="1"/>
      <name val="Calibri"/>
      <family val="2"/>
    </font>
    <font>
      <sz val="12"/>
      <color theme="1"/>
      <name val="Calibri"/>
      <family val="2"/>
    </font>
    <font>
      <sz val="16"/>
      <color theme="1"/>
      <name val="Calibri"/>
      <family val="2"/>
    </font>
    <font>
      <sz val="12"/>
      <color theme="1"/>
      <name val="Calibri"/>
      <family val="2"/>
    </font>
    <font>
      <b/>
      <u/>
      <sz val="12"/>
      <color theme="1"/>
      <name val="Calibri"/>
      <family val="2"/>
    </font>
    <font>
      <sz val="12"/>
      <color rgb="FF007C00"/>
      <name val="Calibri"/>
      <family val="2"/>
    </font>
    <font>
      <b/>
      <sz val="12"/>
      <color rgb="FF007C00"/>
      <name val="Calibri"/>
      <family val="2"/>
    </font>
    <font>
      <sz val="12"/>
      <color rgb="FF00009B"/>
      <name val="Calibri"/>
      <family val="2"/>
    </font>
    <font>
      <b/>
      <sz val="12"/>
      <color theme="1"/>
      <name val="Calibri"/>
      <family val="2"/>
    </font>
    <font>
      <sz val="12"/>
      <name val="Arial"/>
      <family val="2"/>
    </font>
    <font>
      <i/>
      <sz val="12"/>
      <color theme="1"/>
      <name val="Calibri"/>
      <family val="2"/>
    </font>
    <font>
      <sz val="11"/>
      <color theme="1"/>
      <name val="Calibri"/>
      <family val="2"/>
    </font>
    <font>
      <sz val="11"/>
      <color rgb="FF007C00"/>
      <name val="Calibri"/>
      <family val="2"/>
    </font>
    <font>
      <sz val="14"/>
      <color theme="1"/>
      <name val="Calibri"/>
      <family val="2"/>
    </font>
    <font>
      <i/>
      <sz val="9"/>
      <color theme="1"/>
      <name val="Calibri"/>
      <family val="2"/>
    </font>
    <font>
      <sz val="35"/>
      <color theme="1"/>
      <name val="Calibri"/>
      <family val="2"/>
    </font>
    <font>
      <sz val="28"/>
      <color theme="1"/>
      <name val="Calibri"/>
      <family val="2"/>
    </font>
    <font>
      <sz val="16"/>
      <color rgb="FF000000"/>
      <name val="Calibri"/>
      <family val="2"/>
    </font>
    <font>
      <sz val="12"/>
      <color rgb="FF000000"/>
      <name val="Calibri"/>
      <family val="2"/>
    </font>
    <font>
      <b/>
      <sz val="12"/>
      <color rgb="FF000000"/>
      <name val="Calibri"/>
      <family val="2"/>
    </font>
    <font>
      <b/>
      <sz val="12"/>
      <color rgb="FF00009B"/>
      <name val="Calibri"/>
      <family val="2"/>
    </font>
    <font>
      <u/>
      <sz val="12"/>
      <color theme="1"/>
      <name val="Calibri"/>
      <family val="2"/>
    </font>
    <font>
      <i/>
      <sz val="12"/>
      <color rgb="FF000000"/>
      <name val="Calibri"/>
      <family val="2"/>
    </font>
    <font>
      <sz val="12"/>
      <color rgb="FF00009B"/>
      <name val="Arial"/>
      <family val="2"/>
    </font>
    <font>
      <i/>
      <sz val="12"/>
      <color rgb="FF007C00"/>
      <name val="Calibri"/>
      <family val="2"/>
    </font>
    <font>
      <u/>
      <sz val="12"/>
      <color theme="1"/>
      <name val="Calibri"/>
      <family val="2"/>
    </font>
    <font>
      <b/>
      <i/>
      <sz val="12"/>
      <color theme="1"/>
      <name val="Calibri"/>
      <family val="2"/>
    </font>
    <font>
      <u/>
      <sz val="12"/>
      <color theme="1"/>
      <name val="Calibri"/>
      <family val="2"/>
    </font>
    <font>
      <i/>
      <sz val="12"/>
      <color rgb="FFD9D9D9"/>
      <name val="Calibri"/>
      <family val="2"/>
    </font>
    <font>
      <sz val="12"/>
      <color rgb="FFD9D9D9"/>
      <name val="Calibri"/>
      <family val="2"/>
    </font>
    <font>
      <b/>
      <sz val="12"/>
      <name val="Arial"/>
      <family val="2"/>
    </font>
    <font>
      <sz val="12"/>
      <color rgb="FF000000"/>
      <name val="Arial"/>
      <family val="2"/>
    </font>
  </fonts>
  <fills count="9">
    <fill>
      <patternFill patternType="none"/>
    </fill>
    <fill>
      <patternFill patternType="gray125"/>
    </fill>
    <fill>
      <patternFill patternType="solid">
        <fgColor rgb="FFFFFFFF"/>
        <bgColor rgb="FFFFFFFF"/>
      </patternFill>
    </fill>
    <fill>
      <patternFill patternType="solid">
        <fgColor rgb="FFD6DCE4"/>
        <bgColor rgb="FFD6DCE4"/>
      </patternFill>
    </fill>
    <fill>
      <patternFill patternType="solid">
        <fgColor rgb="FFD9E2F3"/>
        <bgColor rgb="FFD9E2F3"/>
      </patternFill>
    </fill>
    <fill>
      <patternFill patternType="solid">
        <fgColor rgb="FFFFFFE0"/>
        <bgColor rgb="FFFFFFE0"/>
      </patternFill>
    </fill>
    <fill>
      <patternFill patternType="solid">
        <fgColor rgb="FFF2F2F2"/>
        <bgColor rgb="FFF2F2F2"/>
      </patternFill>
    </fill>
    <fill>
      <patternFill patternType="solid">
        <fgColor theme="1"/>
        <bgColor theme="1"/>
      </patternFill>
    </fill>
    <fill>
      <patternFill patternType="solid">
        <fgColor rgb="FFF2F2F2"/>
        <bgColor rgb="FFD9E2F3"/>
      </patternFill>
    </fill>
  </fills>
  <borders count="5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diagonal/>
    </border>
    <border>
      <left/>
      <right style="thin">
        <color rgb="FF000000"/>
      </right>
      <top/>
      <bottom/>
      <diagonal/>
    </border>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medium">
        <color rgb="FF000000"/>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s>
  <cellStyleXfs count="1">
    <xf numFmtId="0" fontId="0" fillId="0" borderId="0"/>
  </cellStyleXfs>
  <cellXfs count="506">
    <xf numFmtId="0" fontId="0" fillId="0" borderId="0" xfId="0" applyFont="1" applyAlignment="1"/>
    <xf numFmtId="0" fontId="1"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left"/>
    </xf>
    <xf numFmtId="14" fontId="2" fillId="0" borderId="0" xfId="0" applyNumberFormat="1" applyFont="1"/>
    <xf numFmtId="0" fontId="4" fillId="2" borderId="0" xfId="0" applyFont="1" applyFill="1"/>
    <xf numFmtId="0" fontId="5" fillId="0" borderId="0" xfId="0" applyFont="1"/>
    <xf numFmtId="0" fontId="2" fillId="0" borderId="1" xfId="0" applyFont="1" applyBorder="1"/>
    <xf numFmtId="0" fontId="2" fillId="0" borderId="2" xfId="0" applyFont="1" applyBorder="1" applyAlignment="1">
      <alignment horizontal="center"/>
    </xf>
    <xf numFmtId="14" fontId="6" fillId="0" borderId="3" xfId="0" applyNumberFormat="1" applyFont="1" applyBorder="1" applyAlignment="1">
      <alignment horizontal="right"/>
    </xf>
    <xf numFmtId="164" fontId="7" fillId="0" borderId="3" xfId="0" applyNumberFormat="1" applyFont="1" applyBorder="1" applyAlignment="1">
      <alignment horizontal="left"/>
    </xf>
    <xf numFmtId="0" fontId="2" fillId="0" borderId="4" xfId="0" applyFont="1" applyBorder="1"/>
    <xf numFmtId="0" fontId="2" fillId="0" borderId="5" xfId="0" applyFont="1" applyBorder="1" applyAlignment="1">
      <alignment horizontal="center"/>
    </xf>
    <xf numFmtId="14" fontId="6" fillId="0" borderId="6" xfId="0" applyNumberFormat="1" applyFont="1" applyBorder="1" applyAlignment="1">
      <alignment horizontal="right"/>
    </xf>
    <xf numFmtId="0" fontId="2" fillId="0" borderId="5" xfId="0" applyFont="1" applyBorder="1"/>
    <xf numFmtId="0" fontId="8" fillId="3" borderId="7" xfId="0" applyFont="1" applyFill="1" applyBorder="1"/>
    <xf numFmtId="0" fontId="2" fillId="0" borderId="8" xfId="0" applyFont="1" applyBorder="1" applyAlignment="1">
      <alignment horizontal="center"/>
    </xf>
    <xf numFmtId="0" fontId="2" fillId="0" borderId="11" xfId="0" applyFont="1" applyBorder="1" applyAlignment="1">
      <alignment horizontal="left"/>
    </xf>
    <xf numFmtId="0" fontId="2" fillId="0" borderId="9" xfId="0" applyFont="1" applyBorder="1"/>
    <xf numFmtId="0" fontId="2" fillId="0" borderId="8" xfId="0" applyFont="1" applyBorder="1"/>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8" xfId="0" applyFont="1" applyBorder="1" applyAlignment="1">
      <alignment horizontal="left"/>
    </xf>
    <xf numFmtId="0" fontId="2" fillId="0" borderId="12" xfId="0" applyFont="1" applyBorder="1" applyAlignment="1">
      <alignment horizontal="center"/>
    </xf>
    <xf numFmtId="0" fontId="2" fillId="4" borderId="13" xfId="0" applyFont="1" applyFill="1" applyBorder="1" applyAlignment="1">
      <alignment horizontal="center"/>
    </xf>
    <xf numFmtId="0" fontId="9" fillId="4" borderId="14" xfId="0" applyFont="1" applyFill="1" applyBorder="1"/>
    <xf numFmtId="0" fontId="11" fillId="0" borderId="12" xfId="0" applyFont="1" applyBorder="1"/>
    <xf numFmtId="14" fontId="11" fillId="0" borderId="0" xfId="0" applyNumberFormat="1" applyFont="1" applyAlignment="1">
      <alignment horizontal="right"/>
    </xf>
    <xf numFmtId="14" fontId="11" fillId="0" borderId="3" xfId="0" applyNumberFormat="1" applyFont="1" applyBorder="1" applyAlignment="1">
      <alignment horizontal="right"/>
    </xf>
    <xf numFmtId="14" fontId="11" fillId="0" borderId="15" xfId="0" applyNumberFormat="1" applyFont="1" applyBorder="1" applyAlignment="1">
      <alignment horizontal="right"/>
    </xf>
    <xf numFmtId="164" fontId="2" fillId="5" borderId="16" xfId="0" applyNumberFormat="1" applyFont="1" applyFill="1" applyBorder="1" applyAlignment="1">
      <alignment horizontal="right"/>
    </xf>
    <xf numFmtId="164" fontId="2" fillId="5" borderId="14" xfId="0" applyNumberFormat="1" applyFont="1" applyFill="1" applyBorder="1" applyAlignment="1">
      <alignment horizontal="right"/>
    </xf>
    <xf numFmtId="14" fontId="2" fillId="5" borderId="17" xfId="0" applyNumberFormat="1" applyFont="1" applyFill="1" applyBorder="1" applyAlignment="1">
      <alignment horizontal="right"/>
    </xf>
    <xf numFmtId="164" fontId="2" fillId="5" borderId="18" xfId="0" applyNumberFormat="1" applyFont="1" applyFill="1" applyBorder="1" applyAlignment="1">
      <alignment horizontal="right"/>
    </xf>
    <xf numFmtId="164" fontId="2" fillId="5" borderId="18" xfId="0" applyNumberFormat="1" applyFont="1" applyFill="1" applyBorder="1" applyAlignment="1">
      <alignment horizontal="center"/>
    </xf>
    <xf numFmtId="164" fontId="2" fillId="5" borderId="16" xfId="0" applyNumberFormat="1" applyFont="1" applyFill="1" applyBorder="1"/>
    <xf numFmtId="0" fontId="2" fillId="0" borderId="19" xfId="0" applyFont="1" applyBorder="1" applyAlignment="1">
      <alignment horizontal="center"/>
    </xf>
    <xf numFmtId="0" fontId="9" fillId="0" borderId="0" xfId="0" applyFont="1"/>
    <xf numFmtId="0" fontId="2" fillId="0" borderId="12" xfId="0" applyFont="1" applyBorder="1"/>
    <xf numFmtId="14" fontId="6" fillId="4" borderId="14" xfId="0" applyNumberFormat="1" applyFont="1" applyFill="1" applyBorder="1" applyAlignment="1">
      <alignment horizontal="right"/>
    </xf>
    <xf numFmtId="14" fontId="6" fillId="4" borderId="20" xfId="0" applyNumberFormat="1" applyFont="1" applyFill="1" applyBorder="1" applyAlignment="1">
      <alignment horizontal="right"/>
    </xf>
    <xf numFmtId="14" fontId="6" fillId="4" borderId="18" xfId="0" applyNumberFormat="1" applyFont="1" applyFill="1" applyBorder="1" applyAlignment="1">
      <alignment horizontal="right"/>
    </xf>
    <xf numFmtId="0" fontId="2" fillId="0" borderId="19" xfId="0" applyFont="1" applyBorder="1" applyAlignment="1">
      <alignment horizontal="right"/>
    </xf>
    <xf numFmtId="0" fontId="2" fillId="0" borderId="0" xfId="0" applyFont="1" applyAlignment="1">
      <alignment horizontal="right"/>
    </xf>
    <xf numFmtId="14" fontId="2" fillId="0" borderId="12" xfId="0" applyNumberFormat="1" applyFont="1" applyBorder="1" applyAlignment="1">
      <alignment horizontal="right"/>
    </xf>
    <xf numFmtId="0" fontId="2" fillId="0" borderId="12" xfId="0" applyFont="1" applyBorder="1" applyAlignment="1">
      <alignment horizontal="right"/>
    </xf>
    <xf numFmtId="0" fontId="2" fillId="0" borderId="19" xfId="0" applyFont="1" applyBorder="1"/>
    <xf numFmtId="0" fontId="2" fillId="0" borderId="21" xfId="0" applyFont="1" applyBorder="1" applyAlignment="1">
      <alignment horizontal="center"/>
    </xf>
    <xf numFmtId="0" fontId="9" fillId="0" borderId="5" xfId="0" applyFont="1" applyBorder="1"/>
    <xf numFmtId="0" fontId="2" fillId="0" borderId="21" xfId="0" applyFont="1" applyBorder="1"/>
    <xf numFmtId="164" fontId="6" fillId="4" borderId="22" xfId="0" applyNumberFormat="1" applyFont="1" applyFill="1" applyBorder="1" applyAlignment="1">
      <alignment horizontal="right"/>
    </xf>
    <xf numFmtId="164" fontId="6" fillId="4" borderId="7" xfId="0" applyNumberFormat="1" applyFont="1" applyFill="1" applyBorder="1" applyAlignment="1">
      <alignment horizontal="right"/>
    </xf>
    <xf numFmtId="0" fontId="2" fillId="5" borderId="14" xfId="0" applyFont="1" applyFill="1" applyBorder="1" applyAlignment="1">
      <alignment horizontal="center"/>
    </xf>
    <xf numFmtId="164" fontId="6" fillId="4" borderId="23" xfId="0" applyNumberFormat="1" applyFont="1" applyFill="1" applyBorder="1"/>
    <xf numFmtId="14" fontId="2" fillId="5" borderId="18" xfId="0" applyNumberFormat="1" applyFont="1" applyFill="1" applyBorder="1" applyAlignment="1">
      <alignment horizontal="right"/>
    </xf>
    <xf numFmtId="10" fontId="4" fillId="0" borderId="0" xfId="0" applyNumberFormat="1" applyFont="1"/>
    <xf numFmtId="0" fontId="3" fillId="0" borderId="0" xfId="0" applyFont="1"/>
    <xf numFmtId="0" fontId="12" fillId="0" borderId="0" xfId="0" applyFont="1"/>
    <xf numFmtId="14" fontId="13" fillId="0" borderId="24" xfId="0" applyNumberFormat="1" applyFont="1" applyBorder="1" applyAlignment="1">
      <alignment horizontal="left"/>
    </xf>
    <xf numFmtId="0" fontId="2" fillId="2" borderId="0" xfId="0" applyFont="1" applyFill="1" applyAlignment="1">
      <alignment horizontal="center"/>
    </xf>
    <xf numFmtId="14" fontId="2" fillId="0" borderId="2" xfId="0" applyNumberFormat="1" applyFont="1" applyBorder="1" applyAlignment="1">
      <alignment horizontal="center"/>
    </xf>
    <xf numFmtId="14" fontId="2" fillId="6" borderId="25" xfId="0" applyNumberFormat="1" applyFont="1" applyFill="1" applyBorder="1" applyAlignment="1">
      <alignment horizontal="center"/>
    </xf>
    <xf numFmtId="14" fontId="2" fillId="2" borderId="2" xfId="0" applyNumberFormat="1" applyFont="1" applyFill="1" applyBorder="1" applyAlignment="1">
      <alignment horizontal="center"/>
    </xf>
    <xf numFmtId="14" fontId="2" fillId="2" borderId="25" xfId="0" applyNumberFormat="1" applyFont="1" applyFill="1" applyBorder="1" applyAlignment="1">
      <alignment horizontal="center"/>
    </xf>
    <xf numFmtId="0" fontId="12" fillId="0" borderId="26" xfId="0" applyFont="1" applyBorder="1"/>
    <xf numFmtId="165" fontId="13" fillId="0" borderId="27" xfId="0" applyNumberFormat="1" applyFont="1" applyBorder="1" applyAlignment="1">
      <alignment horizontal="left"/>
    </xf>
    <xf numFmtId="0" fontId="8" fillId="0" borderId="26" xfId="0" applyFont="1" applyBorder="1" applyAlignment="1">
      <alignment horizontal="center"/>
    </xf>
    <xf numFmtId="0" fontId="8" fillId="6" borderId="28" xfId="0" applyFont="1" applyFill="1" applyBorder="1" applyAlignment="1">
      <alignment horizontal="center"/>
    </xf>
    <xf numFmtId="0" fontId="8" fillId="2" borderId="26" xfId="0" applyFont="1" applyFill="1" applyBorder="1" applyAlignment="1">
      <alignment horizontal="center"/>
    </xf>
    <xf numFmtId="0" fontId="8" fillId="2" borderId="28" xfId="0" applyFont="1" applyFill="1" applyBorder="1" applyAlignment="1">
      <alignment horizontal="center"/>
    </xf>
    <xf numFmtId="0" fontId="14" fillId="0" borderId="0" xfId="0" applyFont="1"/>
    <xf numFmtId="0" fontId="2" fillId="0" borderId="24" xfId="0" applyFont="1" applyBorder="1"/>
    <xf numFmtId="0" fontId="8" fillId="0" borderId="0" xfId="0" applyFont="1" applyAlignment="1">
      <alignment horizontal="center"/>
    </xf>
    <xf numFmtId="0" fontId="8" fillId="6" borderId="14" xfId="0" applyFont="1" applyFill="1" applyBorder="1" applyAlignment="1">
      <alignment horizontal="center"/>
    </xf>
    <xf numFmtId="0" fontId="8" fillId="2" borderId="0" xfId="0" applyFont="1" applyFill="1" applyAlignment="1">
      <alignment horizontal="center"/>
    </xf>
    <xf numFmtId="0" fontId="8" fillId="2" borderId="14" xfId="0" applyFont="1" applyFill="1" applyBorder="1" applyAlignment="1">
      <alignment horizontal="center"/>
    </xf>
    <xf numFmtId="0" fontId="2" fillId="7" borderId="22" xfId="0" applyFont="1" applyFill="1" applyBorder="1"/>
    <xf numFmtId="0" fontId="2" fillId="7" borderId="7" xfId="0" applyFont="1" applyFill="1" applyBorder="1"/>
    <xf numFmtId="14" fontId="6" fillId="4" borderId="16" xfId="0" applyNumberFormat="1" applyFont="1" applyFill="1" applyBorder="1" applyAlignment="1">
      <alignment horizontal="right"/>
    </xf>
    <xf numFmtId="14" fontId="6" fillId="4" borderId="29" xfId="0" applyNumberFormat="1" applyFont="1" applyFill="1" applyBorder="1" applyAlignment="1">
      <alignment horizontal="right"/>
    </xf>
    <xf numFmtId="0" fontId="2" fillId="2" borderId="22" xfId="0" applyFont="1" applyFill="1" applyBorder="1"/>
    <xf numFmtId="0" fontId="15" fillId="0" borderId="0" xfId="0" applyFont="1"/>
    <xf numFmtId="14" fontId="6" fillId="4" borderId="30" xfId="0" applyNumberFormat="1" applyFont="1" applyFill="1" applyBorder="1" applyAlignment="1">
      <alignment horizontal="right"/>
    </xf>
    <xf numFmtId="0" fontId="8" fillId="6" borderId="31" xfId="0" applyFont="1" applyFill="1" applyBorder="1" applyAlignment="1">
      <alignment horizontal="center"/>
    </xf>
    <xf numFmtId="0" fontId="8" fillId="6" borderId="0" xfId="0" applyFont="1" applyFill="1" applyAlignment="1">
      <alignment horizontal="center"/>
    </xf>
    <xf numFmtId="0" fontId="2" fillId="0" borderId="2" xfId="0" applyFont="1" applyBorder="1" applyAlignment="1"/>
    <xf numFmtId="0" fontId="2" fillId="6" borderId="0" xfId="0" applyFont="1" applyFill="1" applyAlignment="1"/>
    <xf numFmtId="0" fontId="2" fillId="0" borderId="32" xfId="0" applyFont="1" applyBorder="1" applyAlignment="1"/>
    <xf numFmtId="0" fontId="2" fillId="6" borderId="2" xfId="0" applyFont="1" applyFill="1" applyBorder="1" applyAlignment="1"/>
    <xf numFmtId="0" fontId="8" fillId="2" borderId="31" xfId="0" applyFont="1" applyFill="1" applyBorder="1" applyAlignment="1">
      <alignment horizontal="center"/>
    </xf>
    <xf numFmtId="0" fontId="6" fillId="0" borderId="0" xfId="0" applyFont="1" applyAlignment="1">
      <alignment horizontal="center"/>
    </xf>
    <xf numFmtId="0" fontId="6" fillId="0" borderId="24" xfId="0" applyFont="1" applyBorder="1"/>
    <xf numFmtId="164" fontId="6" fillId="0" borderId="0" xfId="0" applyNumberFormat="1" applyFont="1" applyAlignment="1">
      <alignment horizontal="right"/>
    </xf>
    <xf numFmtId="164" fontId="6" fillId="6" borderId="0" xfId="0" applyNumberFormat="1" applyFont="1" applyFill="1" applyAlignment="1">
      <alignment horizontal="right"/>
    </xf>
    <xf numFmtId="164" fontId="6" fillId="0" borderId="0" xfId="0" applyNumberFormat="1" applyFont="1" applyAlignment="1">
      <alignment horizontal="right"/>
    </xf>
    <xf numFmtId="164" fontId="6" fillId="6" borderId="0" xfId="0" applyNumberFormat="1" applyFont="1" applyFill="1" applyAlignment="1">
      <alignment horizontal="right"/>
    </xf>
    <xf numFmtId="164" fontId="6" fillId="2" borderId="0" xfId="0" applyNumberFormat="1" applyFont="1" applyFill="1" applyAlignment="1">
      <alignment horizontal="right"/>
    </xf>
    <xf numFmtId="164" fontId="6" fillId="2" borderId="14" xfId="0" applyNumberFormat="1" applyFont="1" applyFill="1" applyBorder="1" applyAlignment="1">
      <alignment horizontal="right"/>
    </xf>
    <xf numFmtId="0" fontId="16" fillId="0" borderId="0" xfId="0" applyFont="1"/>
    <xf numFmtId="0" fontId="17" fillId="0" borderId="0" xfId="0" applyFont="1"/>
    <xf numFmtId="0" fontId="18" fillId="0" borderId="0" xfId="0" applyFont="1" applyAlignment="1"/>
    <xf numFmtId="0" fontId="8" fillId="4" borderId="13" xfId="0" applyFont="1" applyFill="1" applyBorder="1" applyAlignment="1">
      <alignment horizontal="left"/>
    </xf>
    <xf numFmtId="0" fontId="8" fillId="2" borderId="33" xfId="0" applyFont="1" applyFill="1" applyBorder="1" applyAlignment="1">
      <alignment horizontal="left"/>
    </xf>
    <xf numFmtId="0" fontId="2" fillId="0" borderId="10" xfId="0" applyFont="1" applyBorder="1"/>
    <xf numFmtId="0" fontId="6" fillId="0" borderId="8" xfId="0" applyFont="1" applyBorder="1"/>
    <xf numFmtId="0" fontId="6" fillId="4" borderId="34" xfId="0" applyFont="1" applyFill="1" applyBorder="1" applyAlignment="1">
      <alignment horizontal="left"/>
    </xf>
    <xf numFmtId="0" fontId="6" fillId="4" borderId="7" xfId="0" applyFont="1" applyFill="1" applyBorder="1" applyAlignment="1">
      <alignment horizontal="left"/>
    </xf>
    <xf numFmtId="0" fontId="2" fillId="7" borderId="14" xfId="0" applyFont="1" applyFill="1" applyBorder="1"/>
    <xf numFmtId="0" fontId="8" fillId="4" borderId="33" xfId="0" applyFont="1" applyFill="1" applyBorder="1" applyAlignment="1">
      <alignment horizontal="right"/>
    </xf>
    <xf numFmtId="14" fontId="8" fillId="4" borderId="20" xfId="0" applyNumberFormat="1" applyFont="1" applyFill="1" applyBorder="1" applyAlignment="1">
      <alignment horizontal="right"/>
    </xf>
    <xf numFmtId="165" fontId="8" fillId="4" borderId="20" xfId="0" applyNumberFormat="1" applyFont="1" applyFill="1" applyBorder="1" applyAlignment="1">
      <alignment horizontal="right"/>
    </xf>
    <xf numFmtId="0" fontId="6" fillId="0" borderId="3" xfId="0" applyFont="1" applyBorder="1" applyAlignment="1">
      <alignment horizontal="center"/>
    </xf>
    <xf numFmtId="14" fontId="6" fillId="0" borderId="20" xfId="0" applyNumberFormat="1" applyFont="1" applyBorder="1" applyAlignment="1">
      <alignment horizontal="right"/>
    </xf>
    <xf numFmtId="0" fontId="6" fillId="0" borderId="6" xfId="0" applyFont="1" applyBorder="1" applyAlignment="1">
      <alignment horizontal="center"/>
    </xf>
    <xf numFmtId="14" fontId="2" fillId="0" borderId="6" xfId="0" applyNumberFormat="1" applyFont="1" applyBorder="1" applyAlignment="1">
      <alignment horizontal="right"/>
    </xf>
    <xf numFmtId="0" fontId="9" fillId="0" borderId="1" xfId="0" applyFont="1" applyBorder="1"/>
    <xf numFmtId="0" fontId="2" fillId="0" borderId="3" xfId="0" applyFont="1" applyBorder="1" applyAlignment="1">
      <alignment horizontal="center"/>
    </xf>
    <xf numFmtId="165" fontId="6" fillId="0" borderId="2" xfId="0" applyNumberFormat="1" applyFont="1" applyBorder="1" applyAlignment="1">
      <alignment horizontal="center" vertical="center"/>
    </xf>
    <xf numFmtId="165" fontId="2" fillId="0" borderId="3" xfId="0" applyNumberFormat="1" applyFont="1" applyBorder="1" applyAlignment="1">
      <alignment horizontal="center" vertical="center"/>
    </xf>
    <xf numFmtId="165" fontId="6" fillId="0" borderId="0" xfId="0" applyNumberFormat="1" applyFont="1" applyAlignment="1">
      <alignment horizontal="center" vertical="center"/>
    </xf>
    <xf numFmtId="165" fontId="2" fillId="0" borderId="24" xfId="0" applyNumberFormat="1" applyFont="1" applyBorder="1" applyAlignment="1">
      <alignment horizontal="center" vertical="center"/>
    </xf>
    <xf numFmtId="9" fontId="11" fillId="0" borderId="19" xfId="0" applyNumberFormat="1" applyFont="1" applyBorder="1" applyAlignment="1">
      <alignment horizontal="left"/>
    </xf>
    <xf numFmtId="9" fontId="11" fillId="0" borderId="0" xfId="0" applyNumberFormat="1" applyFont="1" applyAlignment="1">
      <alignment horizontal="center" vertical="center"/>
    </xf>
    <xf numFmtId="9" fontId="11" fillId="0" borderId="24" xfId="0" applyNumberFormat="1" applyFont="1" applyBorder="1" applyAlignment="1">
      <alignment horizontal="center" vertical="center"/>
    </xf>
    <xf numFmtId="0" fontId="6" fillId="0" borderId="0" xfId="0" applyFont="1" applyAlignment="1">
      <alignment horizontal="center" vertical="center"/>
    </xf>
    <xf numFmtId="1" fontId="2" fillId="0" borderId="24" xfId="0" applyNumberFormat="1" applyFont="1" applyBorder="1" applyAlignment="1">
      <alignment horizontal="center" vertical="center"/>
    </xf>
    <xf numFmtId="9" fontId="2" fillId="0" borderId="0" xfId="0" applyNumberFormat="1" applyFont="1" applyAlignment="1">
      <alignment horizontal="center" vertical="center"/>
    </xf>
    <xf numFmtId="0" fontId="6" fillId="0" borderId="5" xfId="0" applyFont="1" applyBorder="1" applyAlignment="1">
      <alignment horizontal="center" vertical="center"/>
    </xf>
    <xf numFmtId="9" fontId="6" fillId="0" borderId="5" xfId="0" applyNumberFormat="1" applyFont="1" applyBorder="1" applyAlignment="1">
      <alignment horizontal="center" vertical="center"/>
    </xf>
    <xf numFmtId="1" fontId="2" fillId="0" borderId="6" xfId="0" applyNumberFormat="1" applyFont="1" applyBorder="1" applyAlignment="1">
      <alignment horizontal="center" vertical="center"/>
    </xf>
    <xf numFmtId="1" fontId="2" fillId="0" borderId="0" xfId="0" applyNumberFormat="1" applyFont="1" applyAlignment="1">
      <alignment horizontal="center" vertical="center"/>
    </xf>
    <xf numFmtId="165" fontId="6" fillId="0" borderId="19" xfId="0" applyNumberFormat="1" applyFont="1" applyBorder="1"/>
    <xf numFmtId="165" fontId="6" fillId="0" borderId="0" xfId="0" applyNumberFormat="1" applyFont="1"/>
    <xf numFmtId="165" fontId="2" fillId="0" borderId="24" xfId="0" applyNumberFormat="1" applyFont="1" applyBorder="1"/>
    <xf numFmtId="165" fontId="2" fillId="0" borderId="0" xfId="0" applyNumberFormat="1" applyFont="1"/>
    <xf numFmtId="165" fontId="2" fillId="0" borderId="3" xfId="0" applyNumberFormat="1" applyFont="1" applyBorder="1"/>
    <xf numFmtId="165" fontId="6" fillId="0" borderId="24" xfId="0" applyNumberFormat="1" applyFont="1" applyBorder="1"/>
    <xf numFmtId="0" fontId="2" fillId="0" borderId="35" xfId="0" applyFont="1" applyBorder="1"/>
    <xf numFmtId="165" fontId="2" fillId="0" borderId="26" xfId="0" applyNumberFormat="1" applyFont="1" applyBorder="1"/>
    <xf numFmtId="165" fontId="2" fillId="0" borderId="27" xfId="0" applyNumberFormat="1" applyFont="1" applyBorder="1"/>
    <xf numFmtId="9" fontId="11" fillId="0" borderId="19" xfId="0" applyNumberFormat="1" applyFont="1" applyBorder="1"/>
    <xf numFmtId="9" fontId="11" fillId="0" borderId="0" xfId="0" applyNumberFormat="1" applyFont="1"/>
    <xf numFmtId="9" fontId="11" fillId="0" borderId="36" xfId="0" applyNumberFormat="1" applyFont="1" applyBorder="1"/>
    <xf numFmtId="9" fontId="11" fillId="0" borderId="37" xfId="0" applyNumberFormat="1" applyFont="1" applyBorder="1"/>
    <xf numFmtId="9" fontId="11" fillId="0" borderId="38" xfId="0" applyNumberFormat="1" applyFont="1" applyBorder="1"/>
    <xf numFmtId="9" fontId="11" fillId="0" borderId="5" xfId="0" applyNumberFormat="1" applyFont="1" applyBorder="1"/>
    <xf numFmtId="9" fontId="11" fillId="0" borderId="6" xfId="0" applyNumberFormat="1" applyFont="1" applyBorder="1"/>
    <xf numFmtId="9" fontId="11" fillId="0" borderId="8" xfId="0" applyNumberFormat="1" applyFont="1" applyBorder="1"/>
    <xf numFmtId="9" fontId="11" fillId="0" borderId="9" xfId="0" applyNumberFormat="1" applyFont="1" applyBorder="1"/>
    <xf numFmtId="9" fontId="11" fillId="0" borderId="10" xfId="0" applyNumberFormat="1" applyFont="1" applyBorder="1"/>
    <xf numFmtId="14" fontId="7" fillId="0" borderId="3" xfId="0" applyNumberFormat="1" applyFont="1" applyBorder="1"/>
    <xf numFmtId="0" fontId="19" fillId="0" borderId="19" xfId="0" applyFont="1" applyBorder="1" applyAlignment="1"/>
    <xf numFmtId="0" fontId="2" fillId="0" borderId="24" xfId="0" applyFont="1" applyBorder="1" applyAlignment="1">
      <alignment horizontal="right"/>
    </xf>
    <xf numFmtId="0" fontId="19" fillId="0" borderId="19" xfId="0" applyFont="1" applyBorder="1" applyAlignment="1"/>
    <xf numFmtId="166" fontId="6" fillId="0" borderId="24" xfId="0" applyNumberFormat="1" applyFont="1" applyBorder="1"/>
    <xf numFmtId="0" fontId="19" fillId="0" borderId="4" xfId="0" applyFont="1" applyBorder="1" applyAlignment="1"/>
    <xf numFmtId="14" fontId="6" fillId="2" borderId="6" xfId="0" applyNumberFormat="1" applyFont="1" applyFill="1" applyBorder="1"/>
    <xf numFmtId="9" fontId="2" fillId="0" borderId="0" xfId="0" applyNumberFormat="1" applyFont="1"/>
    <xf numFmtId="14" fontId="6" fillId="0" borderId="3" xfId="0" applyNumberFormat="1" applyFont="1" applyBorder="1"/>
    <xf numFmtId="43" fontId="2" fillId="0" borderId="0" xfId="0" applyNumberFormat="1" applyFont="1"/>
    <xf numFmtId="166" fontId="6" fillId="0" borderId="6" xfId="0" applyNumberFormat="1" applyFont="1" applyBorder="1" applyAlignment="1">
      <alignment horizontal="right"/>
    </xf>
    <xf numFmtId="0" fontId="20" fillId="0" borderId="1" xfId="0" applyFont="1" applyBorder="1" applyAlignment="1"/>
    <xf numFmtId="164" fontId="21" fillId="4" borderId="3" xfId="0" applyNumberFormat="1" applyFont="1" applyFill="1" applyBorder="1" applyAlignment="1"/>
    <xf numFmtId="0" fontId="22" fillId="0" borderId="10" xfId="0" applyFont="1" applyBorder="1"/>
    <xf numFmtId="0" fontId="2" fillId="0" borderId="39" xfId="0" applyFont="1" applyBorder="1" applyAlignment="1"/>
    <xf numFmtId="0" fontId="2" fillId="0" borderId="10" xfId="0" applyFont="1" applyBorder="1" applyAlignment="1"/>
    <xf numFmtId="0" fontId="20" fillId="0" borderId="19" xfId="0" applyFont="1" applyBorder="1" applyAlignment="1"/>
    <xf numFmtId="164" fontId="21" fillId="4" borderId="24" xfId="0" applyNumberFormat="1" applyFont="1" applyFill="1" applyBorder="1" applyAlignment="1"/>
    <xf numFmtId="0" fontId="2" fillId="0" borderId="19" xfId="0" applyFont="1" applyBorder="1" applyAlignment="1">
      <alignment horizontal="left"/>
    </xf>
    <xf numFmtId="166" fontId="8" fillId="4" borderId="33" xfId="0" applyNumberFormat="1" applyFont="1" applyFill="1" applyBorder="1" applyAlignment="1">
      <alignment horizontal="right"/>
    </xf>
    <xf numFmtId="9" fontId="6" fillId="0" borderId="24" xfId="0" applyNumberFormat="1" applyFont="1" applyBorder="1" applyAlignment="1">
      <alignment horizontal="right"/>
    </xf>
    <xf numFmtId="0" fontId="2" fillId="0" borderId="12" xfId="0" applyFont="1" applyBorder="1" applyAlignment="1"/>
    <xf numFmtId="165" fontId="2" fillId="0" borderId="24" xfId="0" applyNumberFormat="1" applyFont="1" applyBorder="1" applyAlignment="1">
      <alignment horizontal="right"/>
    </xf>
    <xf numFmtId="9" fontId="8" fillId="4" borderId="24" xfId="0" applyNumberFormat="1" applyFont="1" applyFill="1" applyBorder="1" applyAlignment="1"/>
    <xf numFmtId="167" fontId="2" fillId="0" borderId="0" xfId="0" applyNumberFormat="1" applyFont="1"/>
    <xf numFmtId="166" fontId="8" fillId="4" borderId="40" xfId="0" applyNumberFormat="1" applyFont="1" applyFill="1" applyBorder="1" applyAlignment="1">
      <alignment horizontal="right"/>
    </xf>
    <xf numFmtId="0" fontId="8" fillId="4" borderId="24" xfId="0" applyFont="1" applyFill="1" applyBorder="1" applyAlignment="1">
      <alignment horizontal="right"/>
    </xf>
    <xf numFmtId="166" fontId="6" fillId="0" borderId="24" xfId="0" applyNumberFormat="1" applyFont="1" applyBorder="1" applyAlignment="1">
      <alignment horizontal="right"/>
    </xf>
    <xf numFmtId="9" fontId="19" fillId="0" borderId="6" xfId="0" applyNumberFormat="1" applyFont="1" applyBorder="1" applyAlignment="1"/>
    <xf numFmtId="0" fontId="2" fillId="0" borderId="4" xfId="0" applyFont="1" applyBorder="1" applyAlignment="1">
      <alignment horizontal="left"/>
    </xf>
    <xf numFmtId="166" fontId="8" fillId="4" borderId="41" xfId="0" applyNumberFormat="1" applyFont="1" applyFill="1" applyBorder="1" applyAlignment="1">
      <alignment horizontal="right"/>
    </xf>
    <xf numFmtId="0" fontId="2" fillId="0" borderId="0" xfId="0" applyFont="1" applyAlignment="1"/>
    <xf numFmtId="0" fontId="19" fillId="0" borderId="0" xfId="0" applyFont="1" applyAlignment="1">
      <alignment horizontal="center"/>
    </xf>
    <xf numFmtId="0" fontId="9" fillId="0" borderId="0" xfId="0" applyFont="1" applyAlignment="1">
      <alignment horizontal="right"/>
    </xf>
    <xf numFmtId="164" fontId="9" fillId="0" borderId="0" xfId="0" applyNumberFormat="1" applyFont="1" applyAlignment="1">
      <alignment horizontal="center"/>
    </xf>
    <xf numFmtId="0" fontId="9" fillId="0" borderId="21" xfId="0" applyFont="1" applyBorder="1" applyAlignment="1"/>
    <xf numFmtId="165" fontId="9" fillId="0" borderId="6" xfId="0" applyNumberFormat="1" applyFont="1" applyBorder="1" applyAlignment="1">
      <alignment horizontal="right"/>
    </xf>
    <xf numFmtId="0" fontId="9" fillId="0" borderId="8" xfId="0" applyFont="1" applyBorder="1" applyAlignment="1">
      <alignment horizontal="right"/>
    </xf>
    <xf numFmtId="164" fontId="9" fillId="0" borderId="10" xfId="0" applyNumberFormat="1" applyFont="1" applyBorder="1" applyAlignment="1">
      <alignment horizontal="center"/>
    </xf>
    <xf numFmtId="0" fontId="2" fillId="0" borderId="11" xfId="0" applyFont="1" applyBorder="1" applyAlignment="1"/>
    <xf numFmtId="0" fontId="2" fillId="0" borderId="11" xfId="0" applyFont="1" applyBorder="1" applyAlignment="1">
      <alignment horizontal="center"/>
    </xf>
    <xf numFmtId="0" fontId="2" fillId="0" borderId="9" xfId="0" applyFont="1" applyBorder="1" applyAlignment="1">
      <alignment horizontal="center"/>
    </xf>
    <xf numFmtId="0" fontId="2" fillId="0" borderId="15" xfId="0" applyFont="1" applyBorder="1" applyAlignment="1">
      <alignment horizontal="right"/>
    </xf>
    <xf numFmtId="166" fontId="23" fillId="2" borderId="12" xfId="0" applyNumberFormat="1" applyFont="1" applyFill="1" applyBorder="1" applyAlignment="1">
      <alignment horizontal="right"/>
    </xf>
    <xf numFmtId="166" fontId="23" fillId="2" borderId="0" xfId="0" applyNumberFormat="1" applyFont="1" applyFill="1" applyAlignment="1">
      <alignment horizontal="right"/>
    </xf>
    <xf numFmtId="0" fontId="2" fillId="0" borderId="12" xfId="0" applyFont="1" applyBorder="1" applyAlignment="1">
      <alignment horizontal="right"/>
    </xf>
    <xf numFmtId="0" fontId="19" fillId="0" borderId="10" xfId="0" applyFont="1" applyBorder="1" applyAlignment="1"/>
    <xf numFmtId="9" fontId="8" fillId="4" borderId="20" xfId="0" applyNumberFormat="1" applyFont="1" applyFill="1" applyBorder="1" applyAlignment="1"/>
    <xf numFmtId="9" fontId="2" fillId="0" borderId="24" xfId="0" applyNumberFormat="1" applyFont="1" applyBorder="1" applyAlignment="1">
      <alignment horizontal="right"/>
    </xf>
    <xf numFmtId="0" fontId="2" fillId="0" borderId="12" xfId="0" applyFont="1" applyBorder="1" applyAlignment="1">
      <alignment horizontal="left"/>
    </xf>
    <xf numFmtId="166" fontId="23" fillId="2" borderId="12" xfId="0" applyNumberFormat="1" applyFont="1" applyFill="1" applyBorder="1" applyAlignment="1">
      <alignment horizontal="right"/>
    </xf>
    <xf numFmtId="9" fontId="8" fillId="4" borderId="20" xfId="0" applyNumberFormat="1" applyFont="1" applyFill="1" applyBorder="1"/>
    <xf numFmtId="9" fontId="8" fillId="4" borderId="7" xfId="0" applyNumberFormat="1" applyFont="1" applyFill="1" applyBorder="1"/>
    <xf numFmtId="9" fontId="2" fillId="0" borderId="6" xfId="0" applyNumberFormat="1" applyFont="1" applyBorder="1" applyAlignment="1">
      <alignment horizontal="right"/>
    </xf>
    <xf numFmtId="0" fontId="2" fillId="0" borderId="21" xfId="0" applyFont="1" applyBorder="1" applyAlignment="1">
      <alignment horizontal="left"/>
    </xf>
    <xf numFmtId="0" fontId="2" fillId="0" borderId="6" xfId="0" applyFont="1" applyBorder="1"/>
    <xf numFmtId="166" fontId="19" fillId="2" borderId="0" xfId="0" applyNumberFormat="1" applyFont="1" applyFill="1" applyAlignment="1">
      <alignment horizontal="right"/>
    </xf>
    <xf numFmtId="166" fontId="19" fillId="2" borderId="12" xfId="0" applyNumberFormat="1" applyFont="1" applyFill="1" applyBorder="1" applyAlignment="1">
      <alignment horizontal="right"/>
    </xf>
    <xf numFmtId="166" fontId="19" fillId="2" borderId="12" xfId="0" applyNumberFormat="1" applyFont="1" applyFill="1" applyBorder="1" applyAlignment="1">
      <alignment horizontal="right"/>
    </xf>
    <xf numFmtId="0" fontId="19" fillId="0" borderId="8" xfId="0" applyFont="1" applyBorder="1" applyAlignment="1"/>
    <xf numFmtId="0" fontId="4" fillId="0" borderId="11" xfId="0" applyFont="1" applyBorder="1" applyAlignment="1"/>
    <xf numFmtId="0" fontId="19" fillId="0" borderId="19" xfId="0" applyFont="1" applyBorder="1" applyAlignment="1">
      <alignment horizontal="left"/>
    </xf>
    <xf numFmtId="1" fontId="8" fillId="4" borderId="20" xfId="0" applyNumberFormat="1" applyFont="1" applyFill="1" applyBorder="1" applyAlignment="1"/>
    <xf numFmtId="0" fontId="4" fillId="0" borderId="12" xfId="0" applyFont="1" applyBorder="1"/>
    <xf numFmtId="168" fontId="6" fillId="0" borderId="24" xfId="0" applyNumberFormat="1" applyFont="1" applyBorder="1" applyAlignment="1">
      <alignment horizontal="right"/>
    </xf>
    <xf numFmtId="0" fontId="8" fillId="4" borderId="20" xfId="0" applyFont="1" applyFill="1" applyBorder="1" applyAlignment="1"/>
    <xf numFmtId="1" fontId="4" fillId="0" borderId="12" xfId="0" applyNumberFormat="1" applyFont="1" applyBorder="1"/>
    <xf numFmtId="0" fontId="2" fillId="0" borderId="21" xfId="0" applyFont="1" applyBorder="1" applyAlignment="1">
      <alignment horizontal="right"/>
    </xf>
    <xf numFmtId="166" fontId="19" fillId="2" borderId="21" xfId="0" applyNumberFormat="1" applyFont="1" applyFill="1" applyBorder="1" applyAlignment="1">
      <alignment horizontal="right"/>
    </xf>
    <xf numFmtId="166" fontId="19" fillId="2" borderId="5" xfId="0" applyNumberFormat="1" applyFont="1" applyFill="1" applyBorder="1" applyAlignment="1">
      <alignment horizontal="right"/>
    </xf>
    <xf numFmtId="166" fontId="19" fillId="2" borderId="21" xfId="0" applyNumberFormat="1" applyFont="1" applyFill="1" applyBorder="1" applyAlignment="1">
      <alignment horizontal="right"/>
    </xf>
    <xf numFmtId="164" fontId="6" fillId="0" borderId="24" xfId="0" applyNumberFormat="1" applyFont="1" applyBorder="1" applyAlignment="1">
      <alignment horizontal="right"/>
    </xf>
    <xf numFmtId="0" fontId="8" fillId="4" borderId="7" xfId="0" applyFont="1" applyFill="1" applyBorder="1"/>
    <xf numFmtId="0" fontId="4" fillId="0" borderId="21" xfId="0" applyFont="1" applyBorder="1"/>
    <xf numFmtId="164" fontId="6" fillId="0" borderId="6" xfId="0" applyNumberFormat="1" applyFont="1" applyBorder="1" applyAlignment="1">
      <alignment horizontal="right"/>
    </xf>
    <xf numFmtId="166" fontId="8" fillId="4" borderId="17" xfId="0" applyNumberFormat="1" applyFont="1" applyFill="1" applyBorder="1" applyAlignment="1">
      <alignment horizontal="right"/>
    </xf>
    <xf numFmtId="166" fontId="8" fillId="4" borderId="42" xfId="0" applyNumberFormat="1" applyFont="1" applyFill="1" applyBorder="1" applyAlignment="1">
      <alignment horizontal="right"/>
    </xf>
    <xf numFmtId="164" fontId="8" fillId="4" borderId="18" xfId="0" applyNumberFormat="1" applyFont="1" applyFill="1" applyBorder="1"/>
    <xf numFmtId="164" fontId="8" fillId="4" borderId="20" xfId="0" applyNumberFormat="1" applyFont="1" applyFill="1" applyBorder="1"/>
    <xf numFmtId="166" fontId="8" fillId="4" borderId="43" xfId="0" applyNumberFormat="1" applyFont="1" applyFill="1" applyBorder="1" applyAlignment="1">
      <alignment horizontal="right"/>
    </xf>
    <xf numFmtId="166" fontId="8" fillId="4" borderId="44" xfId="0" applyNumberFormat="1" applyFont="1" applyFill="1" applyBorder="1" applyAlignment="1">
      <alignment horizontal="right"/>
    </xf>
    <xf numFmtId="164" fontId="2" fillId="4" borderId="18" xfId="0" applyNumberFormat="1" applyFont="1" applyFill="1" applyBorder="1"/>
    <xf numFmtId="169" fontId="4" fillId="0" borderId="0" xfId="0" applyNumberFormat="1" applyFont="1"/>
    <xf numFmtId="166" fontId="8" fillId="4" borderId="44" xfId="0" applyNumberFormat="1" applyFont="1" applyFill="1" applyBorder="1" applyAlignment="1">
      <alignment horizontal="right"/>
    </xf>
    <xf numFmtId="166" fontId="8" fillId="4" borderId="43" xfId="0" applyNumberFormat="1" applyFont="1" applyFill="1" applyBorder="1" applyAlignment="1">
      <alignment horizontal="right"/>
    </xf>
    <xf numFmtId="166" fontId="2" fillId="4" borderId="21" xfId="0" applyNumberFormat="1" applyFont="1" applyFill="1" applyBorder="1" applyAlignment="1">
      <alignment horizontal="right"/>
    </xf>
    <xf numFmtId="164" fontId="2" fillId="4" borderId="23" xfId="0" applyNumberFormat="1" applyFont="1" applyFill="1" applyBorder="1"/>
    <xf numFmtId="164" fontId="8" fillId="4" borderId="23" xfId="0" applyNumberFormat="1" applyFont="1" applyFill="1" applyBorder="1" applyAlignment="1">
      <alignment horizontal="right"/>
    </xf>
    <xf numFmtId="0" fontId="2" fillId="0" borderId="11" xfId="0" applyFont="1" applyBorder="1"/>
    <xf numFmtId="170" fontId="8" fillId="4" borderId="18" xfId="0" applyNumberFormat="1" applyFont="1" applyFill="1" applyBorder="1"/>
    <xf numFmtId="0" fontId="8" fillId="4" borderId="24" xfId="0" applyFont="1" applyFill="1" applyBorder="1" applyAlignment="1">
      <alignment horizontal="right"/>
    </xf>
    <xf numFmtId="0" fontId="11" fillId="0" borderId="19" xfId="0" applyFont="1" applyBorder="1" applyAlignment="1">
      <alignment horizontal="left"/>
    </xf>
    <xf numFmtId="10" fontId="8" fillId="4" borderId="18" xfId="0" applyNumberFormat="1" applyFont="1" applyFill="1" applyBorder="1"/>
    <xf numFmtId="0" fontId="8" fillId="4" borderId="24" xfId="0" applyFont="1" applyFill="1" applyBorder="1" applyAlignment="1">
      <alignment horizontal="left"/>
    </xf>
    <xf numFmtId="6" fontId="24" fillId="4" borderId="18" xfId="0" applyNumberFormat="1" applyFont="1" applyFill="1" applyBorder="1"/>
    <xf numFmtId="0" fontId="19" fillId="4" borderId="19" xfId="0" applyFont="1" applyFill="1" applyBorder="1" applyAlignment="1">
      <alignment horizontal="left"/>
    </xf>
    <xf numFmtId="6" fontId="24" fillId="4" borderId="18" xfId="0" applyNumberFormat="1" applyFont="1" applyFill="1" applyBorder="1" applyAlignment="1"/>
    <xf numFmtId="0" fontId="19" fillId="4" borderId="4" xfId="0" applyFont="1" applyFill="1" applyBorder="1" applyAlignment="1">
      <alignment horizontal="left"/>
    </xf>
    <xf numFmtId="6" fontId="24" fillId="4" borderId="23" xfId="0" applyNumberFormat="1" applyFont="1" applyFill="1" applyBorder="1" applyAlignment="1"/>
    <xf numFmtId="0" fontId="8" fillId="4" borderId="6" xfId="0" applyFont="1" applyFill="1" applyBorder="1" applyAlignment="1">
      <alignment horizontal="right"/>
    </xf>
    <xf numFmtId="0" fontId="8" fillId="0" borderId="0" xfId="0" applyFont="1"/>
    <xf numFmtId="3" fontId="2" fillId="0" borderId="0" xfId="0" applyNumberFormat="1" applyFont="1"/>
    <xf numFmtId="0" fontId="2" fillId="0" borderId="15" xfId="0" applyFont="1" applyBorder="1"/>
    <xf numFmtId="0" fontId="2" fillId="0" borderId="1" xfId="0" applyFont="1" applyBorder="1" applyAlignment="1">
      <alignment horizontal="right"/>
    </xf>
    <xf numFmtId="0" fontId="2" fillId="0" borderId="2" xfId="0" applyFont="1" applyBorder="1" applyAlignment="1">
      <alignment horizontal="right"/>
    </xf>
    <xf numFmtId="164" fontId="6" fillId="6" borderId="5" xfId="0" applyNumberFormat="1" applyFont="1" applyFill="1" applyBorder="1" applyAlignment="1">
      <alignment horizontal="right"/>
    </xf>
    <xf numFmtId="0" fontId="2" fillId="0" borderId="15" xfId="0" applyFont="1" applyBorder="1" applyAlignment="1">
      <alignment horizontal="right"/>
    </xf>
    <xf numFmtId="164" fontId="6" fillId="0" borderId="5" xfId="0" applyNumberFormat="1" applyFont="1" applyBorder="1" applyAlignment="1">
      <alignment horizontal="right"/>
    </xf>
    <xf numFmtId="165" fontId="2" fillId="0" borderId="2" xfId="0" applyNumberFormat="1" applyFont="1" applyBorder="1" applyAlignment="1">
      <alignment horizontal="right"/>
    </xf>
    <xf numFmtId="165" fontId="2" fillId="0" borderId="15" xfId="0" applyNumberFormat="1" applyFont="1" applyBorder="1" applyAlignment="1">
      <alignment horizontal="right"/>
    </xf>
    <xf numFmtId="0" fontId="2" fillId="0" borderId="2" xfId="0" applyFont="1" applyBorder="1"/>
    <xf numFmtId="164" fontId="6" fillId="6" borderId="5" xfId="0" applyNumberFormat="1" applyFont="1" applyFill="1" applyBorder="1" applyAlignment="1">
      <alignment horizontal="right"/>
    </xf>
    <xf numFmtId="164" fontId="2" fillId="0" borderId="0" xfId="0" applyNumberFormat="1" applyFont="1"/>
    <xf numFmtId="165" fontId="2" fillId="0" borderId="8" xfId="0" applyNumberFormat="1" applyFont="1" applyBorder="1"/>
    <xf numFmtId="0" fontId="2" fillId="0" borderId="8" xfId="0" applyFont="1" applyBorder="1" applyAlignment="1">
      <alignment horizontal="right" vertical="center"/>
    </xf>
    <xf numFmtId="165" fontId="2" fillId="0" borderId="9" xfId="0" applyNumberFormat="1" applyFont="1" applyBorder="1" applyAlignment="1">
      <alignment horizontal="right"/>
    </xf>
    <xf numFmtId="165" fontId="2" fillId="0" borderId="11" xfId="0" applyNumberFormat="1" applyFont="1" applyBorder="1" applyAlignment="1">
      <alignment horizontal="right"/>
    </xf>
    <xf numFmtId="165" fontId="2" fillId="0" borderId="9" xfId="0" applyNumberFormat="1" applyFont="1" applyBorder="1" applyAlignment="1">
      <alignment horizontal="right" vertical="center"/>
    </xf>
    <xf numFmtId="165" fontId="2" fillId="0" borderId="11" xfId="0" applyNumberFormat="1" applyFont="1" applyBorder="1" applyAlignment="1">
      <alignment horizontal="right" vertical="center"/>
    </xf>
    <xf numFmtId="165" fontId="2" fillId="0" borderId="11" xfId="0" applyNumberFormat="1" applyFont="1" applyBorder="1"/>
    <xf numFmtId="164" fontId="2" fillId="0" borderId="9" xfId="0" applyNumberFormat="1" applyFont="1" applyBorder="1" applyAlignment="1">
      <alignment vertical="center"/>
    </xf>
    <xf numFmtId="165" fontId="2" fillId="0" borderId="5" xfId="0" applyNumberFormat="1" applyFont="1" applyBorder="1" applyAlignment="1">
      <alignment horizontal="right" vertical="center"/>
    </xf>
    <xf numFmtId="165" fontId="2" fillId="0" borderId="21" xfId="0" applyNumberFormat="1" applyFont="1" applyBorder="1" applyAlignment="1">
      <alignment horizontal="right" vertical="center"/>
    </xf>
    <xf numFmtId="0" fontId="2" fillId="0" borderId="3" xfId="0" applyFont="1" applyBorder="1"/>
    <xf numFmtId="0" fontId="6" fillId="0" borderId="3" xfId="0" applyFont="1" applyBorder="1"/>
    <xf numFmtId="168" fontId="2" fillId="0" borderId="9" xfId="0" applyNumberFormat="1" applyFont="1" applyBorder="1"/>
    <xf numFmtId="0" fontId="2" fillId="0" borderId="9" xfId="0" applyFont="1" applyBorder="1" applyAlignment="1">
      <alignment horizontal="right"/>
    </xf>
    <xf numFmtId="164" fontId="2" fillId="0" borderId="2" xfId="0" applyNumberFormat="1" applyFont="1" applyBorder="1" applyAlignment="1">
      <alignment horizontal="right"/>
    </xf>
    <xf numFmtId="164" fontId="2" fillId="6" borderId="25" xfId="0" applyNumberFormat="1" applyFont="1" applyFill="1" applyBorder="1" applyAlignment="1">
      <alignment horizontal="right"/>
    </xf>
    <xf numFmtId="168" fontId="2" fillId="0" borderId="10" xfId="0" applyNumberFormat="1" applyFont="1" applyBorder="1"/>
    <xf numFmtId="164" fontId="2" fillId="6" borderId="31" xfId="0" applyNumberFormat="1" applyFont="1" applyFill="1" applyBorder="1" applyAlignment="1">
      <alignment horizontal="right"/>
    </xf>
    <xf numFmtId="9" fontId="2" fillId="0" borderId="9" xfId="0" applyNumberFormat="1" applyFont="1" applyBorder="1" applyAlignment="1">
      <alignment horizontal="right"/>
    </xf>
    <xf numFmtId="164" fontId="2" fillId="2" borderId="2" xfId="0" applyNumberFormat="1" applyFont="1" applyFill="1" applyBorder="1" applyAlignment="1">
      <alignment horizontal="right"/>
    </xf>
    <xf numFmtId="164" fontId="2" fillId="2" borderId="25" xfId="0" applyNumberFormat="1" applyFont="1" applyFill="1" applyBorder="1" applyAlignment="1">
      <alignment horizontal="right"/>
    </xf>
    <xf numFmtId="0" fontId="4" fillId="0" borderId="0" xfId="0" applyFont="1"/>
    <xf numFmtId="0" fontId="6" fillId="0" borderId="0" xfId="0" applyFont="1"/>
    <xf numFmtId="164" fontId="6" fillId="6" borderId="14" xfId="0" applyNumberFormat="1" applyFont="1" applyFill="1" applyBorder="1" applyAlignment="1">
      <alignment horizontal="right"/>
    </xf>
    <xf numFmtId="0" fontId="8" fillId="6" borderId="45" xfId="0" applyFont="1" applyFill="1" applyBorder="1" applyAlignment="1">
      <alignment horizontal="center"/>
    </xf>
    <xf numFmtId="0" fontId="2" fillId="0" borderId="10" xfId="0" applyFont="1" applyBorder="1" applyAlignment="1">
      <alignment horizontal="left"/>
    </xf>
    <xf numFmtId="14" fontId="2" fillId="5" borderId="14" xfId="0" applyNumberFormat="1" applyFont="1" applyFill="1" applyBorder="1" applyAlignment="1">
      <alignment horizontal="right"/>
    </xf>
    <xf numFmtId="164" fontId="6" fillId="5" borderId="14" xfId="0" applyNumberFormat="1" applyFont="1" applyFill="1" applyBorder="1" applyAlignment="1">
      <alignment horizontal="right"/>
    </xf>
    <xf numFmtId="164" fontId="2" fillId="5" borderId="33" xfId="0" applyNumberFormat="1" applyFont="1" applyFill="1" applyBorder="1" applyAlignment="1">
      <alignment horizontal="right"/>
    </xf>
    <xf numFmtId="14" fontId="2" fillId="0" borderId="0" xfId="0" applyNumberFormat="1" applyFont="1" applyAlignment="1">
      <alignment horizontal="right"/>
    </xf>
    <xf numFmtId="14" fontId="2" fillId="0" borderId="24" xfId="0" applyNumberFormat="1" applyFont="1" applyBorder="1" applyAlignment="1">
      <alignment horizontal="right"/>
    </xf>
    <xf numFmtId="14" fontId="2" fillId="5" borderId="20" xfId="0" applyNumberFormat="1" applyFont="1" applyFill="1" applyBorder="1" applyAlignment="1">
      <alignment horizontal="right"/>
    </xf>
    <xf numFmtId="168" fontId="2" fillId="5" borderId="14" xfId="0" applyNumberFormat="1" applyFont="1" applyFill="1" applyBorder="1" applyAlignment="1">
      <alignment horizontal="right"/>
    </xf>
    <xf numFmtId="164" fontId="2" fillId="5" borderId="20" xfId="0" applyNumberFormat="1" applyFont="1" applyFill="1" applyBorder="1" applyAlignment="1">
      <alignment horizontal="right"/>
    </xf>
    <xf numFmtId="168" fontId="2" fillId="5" borderId="16" xfId="0" applyNumberFormat="1" applyFont="1" applyFill="1" applyBorder="1" applyAlignment="1">
      <alignment horizontal="right"/>
    </xf>
    <xf numFmtId="164" fontId="2" fillId="5" borderId="29" xfId="0" applyNumberFormat="1" applyFont="1" applyFill="1" applyBorder="1" applyAlignment="1">
      <alignment horizontal="right"/>
    </xf>
    <xf numFmtId="164" fontId="2" fillId="5" borderId="30" xfId="0" applyNumberFormat="1" applyFont="1" applyFill="1" applyBorder="1" applyAlignment="1">
      <alignment horizontal="right"/>
    </xf>
    <xf numFmtId="14" fontId="2" fillId="0" borderId="19" xfId="0" applyNumberFormat="1" applyFont="1" applyBorder="1" applyAlignment="1"/>
    <xf numFmtId="14" fontId="2" fillId="0" borderId="0" xfId="0" applyNumberFormat="1" applyFont="1" applyAlignment="1"/>
    <xf numFmtId="14" fontId="2" fillId="0" borderId="24" xfId="0" applyNumberFormat="1" applyFont="1" applyBorder="1" applyAlignment="1"/>
    <xf numFmtId="14" fontId="2" fillId="0" borderId="46" xfId="0" applyNumberFormat="1" applyFont="1" applyBorder="1" applyAlignment="1"/>
    <xf numFmtId="14" fontId="2" fillId="0" borderId="47" xfId="0" applyNumberFormat="1" applyFont="1" applyBorder="1" applyAlignment="1"/>
    <xf numFmtId="14" fontId="2" fillId="0" borderId="44" xfId="0" applyNumberFormat="1" applyFont="1" applyBorder="1" applyAlignment="1"/>
    <xf numFmtId="168" fontId="2" fillId="5" borderId="48" xfId="0" applyNumberFormat="1" applyFont="1" applyFill="1" applyBorder="1" applyAlignment="1">
      <alignment horizontal="right"/>
    </xf>
    <xf numFmtId="164" fontId="2" fillId="5" borderId="49" xfId="0" applyNumberFormat="1" applyFont="1" applyFill="1" applyBorder="1" applyAlignment="1">
      <alignment horizontal="right"/>
    </xf>
    <xf numFmtId="164" fontId="2" fillId="5" borderId="44" xfId="0" applyNumberFormat="1" applyFont="1" applyFill="1" applyBorder="1" applyAlignment="1">
      <alignment horizontal="right"/>
    </xf>
    <xf numFmtId="0" fontId="2" fillId="0" borderId="4" xfId="0" applyFont="1" applyBorder="1" applyAlignment="1">
      <alignment horizontal="right"/>
    </xf>
    <xf numFmtId="0" fontId="2" fillId="0" borderId="5" xfId="0" applyFont="1" applyBorder="1" applyAlignment="1">
      <alignment horizontal="right"/>
    </xf>
    <xf numFmtId="14" fontId="2" fillId="0" borderId="21" xfId="0" applyNumberFormat="1" applyFont="1" applyBorder="1" applyAlignment="1">
      <alignment horizontal="right"/>
    </xf>
    <xf numFmtId="14" fontId="2" fillId="0" borderId="5" xfId="0" applyNumberFormat="1" applyFont="1" applyBorder="1" applyAlignment="1">
      <alignment horizontal="right"/>
    </xf>
    <xf numFmtId="0" fontId="20" fillId="0" borderId="11" xfId="0" applyFont="1" applyBorder="1" applyAlignment="1"/>
    <xf numFmtId="0" fontId="9" fillId="0" borderId="8" xfId="0" applyFont="1" applyBorder="1" applyAlignment="1">
      <alignment horizontal="right"/>
    </xf>
    <xf numFmtId="0" fontId="9" fillId="0" borderId="9" xfId="0" applyFont="1" applyBorder="1" applyAlignment="1">
      <alignment horizontal="right"/>
    </xf>
    <xf numFmtId="164" fontId="9" fillId="0" borderId="9" xfId="0" applyNumberFormat="1" applyFont="1" applyBorder="1" applyAlignment="1">
      <alignment horizontal="right"/>
    </xf>
    <xf numFmtId="164" fontId="9" fillId="0" borderId="10" xfId="0" applyNumberFormat="1" applyFont="1" applyBorder="1" applyAlignment="1">
      <alignment horizontal="right"/>
    </xf>
    <xf numFmtId="165" fontId="9" fillId="0" borderId="9" xfId="0" applyNumberFormat="1" applyFont="1" applyBorder="1" applyAlignment="1">
      <alignment horizontal="right"/>
    </xf>
    <xf numFmtId="165" fontId="9" fillId="0" borderId="11" xfId="0" applyNumberFormat="1" applyFont="1" applyBorder="1" applyAlignment="1">
      <alignment horizontal="right"/>
    </xf>
    <xf numFmtId="9" fontId="2" fillId="5" borderId="14" xfId="0" applyNumberFormat="1" applyFont="1" applyFill="1" applyBorder="1" applyAlignment="1">
      <alignment horizontal="right"/>
    </xf>
    <xf numFmtId="9" fontId="2" fillId="5" borderId="20" xfId="0" applyNumberFormat="1" applyFont="1" applyFill="1" applyBorder="1" applyAlignment="1">
      <alignment horizontal="right"/>
    </xf>
    <xf numFmtId="9" fontId="2" fillId="5" borderId="17" xfId="0" applyNumberFormat="1" applyFont="1" applyFill="1" applyBorder="1" applyAlignment="1">
      <alignment horizontal="right"/>
    </xf>
    <xf numFmtId="14" fontId="2" fillId="5" borderId="16" xfId="0" applyNumberFormat="1" applyFont="1" applyFill="1" applyBorder="1" applyAlignment="1">
      <alignment horizontal="right"/>
    </xf>
    <xf numFmtId="9" fontId="2" fillId="5" borderId="18" xfId="0" applyNumberFormat="1" applyFont="1" applyFill="1" applyBorder="1" applyAlignment="1">
      <alignment horizontal="right"/>
    </xf>
    <xf numFmtId="0" fontId="9" fillId="0" borderId="11" xfId="0" applyFont="1" applyBorder="1"/>
    <xf numFmtId="9" fontId="9" fillId="0" borderId="9" xfId="0" applyNumberFormat="1" applyFont="1" applyBorder="1" applyAlignment="1">
      <alignment horizontal="right"/>
    </xf>
    <xf numFmtId="164" fontId="6" fillId="0" borderId="5" xfId="0" applyNumberFormat="1" applyFont="1" applyBorder="1" applyAlignment="1">
      <alignment horizontal="right"/>
    </xf>
    <xf numFmtId="164" fontId="2" fillId="0" borderId="0" xfId="0" applyNumberFormat="1" applyFont="1" applyAlignment="1">
      <alignment horizontal="right"/>
    </xf>
    <xf numFmtId="164" fontId="2" fillId="6" borderId="0" xfId="0" applyNumberFormat="1" applyFont="1" applyFill="1" applyAlignment="1">
      <alignment horizontal="right"/>
    </xf>
    <xf numFmtId="164" fontId="2" fillId="0" borderId="0" xfId="0" applyNumberFormat="1" applyFont="1" applyAlignment="1">
      <alignment horizontal="right"/>
    </xf>
    <xf numFmtId="164" fontId="2" fillId="6" borderId="0" xfId="0" applyNumberFormat="1" applyFont="1" applyFill="1" applyAlignment="1">
      <alignment horizontal="right"/>
    </xf>
    <xf numFmtId="0" fontId="7" fillId="0" borderId="24" xfId="0" applyFont="1" applyBorder="1"/>
    <xf numFmtId="164" fontId="7" fillId="0" borderId="0" xfId="0" applyNumberFormat="1" applyFont="1" applyAlignment="1">
      <alignment horizontal="right"/>
    </xf>
    <xf numFmtId="0" fontId="9" fillId="6" borderId="14" xfId="0" applyFont="1" applyFill="1" applyBorder="1"/>
    <xf numFmtId="0" fontId="9" fillId="6" borderId="50" xfId="0" applyFont="1" applyFill="1" applyBorder="1"/>
    <xf numFmtId="0" fontId="9" fillId="2" borderId="0" xfId="0" applyFont="1" applyFill="1"/>
    <xf numFmtId="0" fontId="9" fillId="2" borderId="14" xfId="0" applyFont="1" applyFill="1" applyBorder="1"/>
    <xf numFmtId="164" fontId="6" fillId="4" borderId="14" xfId="0" applyNumberFormat="1" applyFont="1" applyFill="1" applyBorder="1" applyAlignment="1">
      <alignment horizontal="right"/>
    </xf>
    <xf numFmtId="164" fontId="6" fillId="4" borderId="29" xfId="0" applyNumberFormat="1" applyFont="1" applyFill="1" applyBorder="1" applyAlignment="1">
      <alignment horizontal="right"/>
    </xf>
    <xf numFmtId="164" fontId="6" fillId="6" borderId="29" xfId="0" applyNumberFormat="1" applyFont="1" applyFill="1" applyBorder="1" applyAlignment="1">
      <alignment horizontal="right"/>
    </xf>
    <xf numFmtId="164" fontId="6" fillId="4" borderId="51" xfId="0" applyNumberFormat="1" applyFont="1" applyFill="1" applyBorder="1" applyAlignment="1">
      <alignment horizontal="right"/>
    </xf>
    <xf numFmtId="164" fontId="6" fillId="4" borderId="0" xfId="0" applyNumberFormat="1" applyFont="1" applyFill="1" applyAlignment="1">
      <alignment horizontal="right"/>
    </xf>
    <xf numFmtId="164" fontId="6" fillId="4" borderId="31" xfId="0" applyNumberFormat="1" applyFont="1" applyFill="1" applyBorder="1" applyAlignment="1">
      <alignment horizontal="right"/>
    </xf>
    <xf numFmtId="164" fontId="6" fillId="4" borderId="49" xfId="0" applyNumberFormat="1" applyFont="1" applyFill="1" applyBorder="1" applyAlignment="1">
      <alignment horizontal="right"/>
    </xf>
    <xf numFmtId="164" fontId="6" fillId="6" borderId="49" xfId="0" applyNumberFormat="1" applyFont="1" applyFill="1" applyBorder="1" applyAlignment="1">
      <alignment horizontal="right"/>
    </xf>
    <xf numFmtId="164" fontId="6" fillId="4" borderId="47" xfId="0" applyNumberFormat="1" applyFont="1" applyFill="1" applyBorder="1" applyAlignment="1">
      <alignment horizontal="right"/>
    </xf>
    <xf numFmtId="164" fontId="8" fillId="2" borderId="14" xfId="0" applyNumberFormat="1" applyFont="1" applyFill="1" applyBorder="1" applyAlignment="1">
      <alignment horizontal="right"/>
    </xf>
    <xf numFmtId="164" fontId="8" fillId="4" borderId="31" xfId="0" applyNumberFormat="1" applyFont="1" applyFill="1" applyBorder="1" applyAlignment="1">
      <alignment horizontal="right"/>
    </xf>
    <xf numFmtId="164" fontId="8" fillId="4" borderId="49" xfId="0" applyNumberFormat="1" applyFont="1" applyFill="1" applyBorder="1" applyAlignment="1">
      <alignment horizontal="right"/>
    </xf>
    <xf numFmtId="164" fontId="8" fillId="6" borderId="49" xfId="0" applyNumberFormat="1" applyFont="1" applyFill="1" applyBorder="1" applyAlignment="1">
      <alignment horizontal="right"/>
    </xf>
    <xf numFmtId="164" fontId="8" fillId="4" borderId="47" xfId="0" applyNumberFormat="1" applyFont="1" applyFill="1" applyBorder="1" applyAlignment="1">
      <alignment horizontal="right"/>
    </xf>
    <xf numFmtId="164" fontId="8" fillId="6" borderId="0" xfId="0" applyNumberFormat="1" applyFont="1" applyFill="1" applyAlignment="1">
      <alignment horizontal="right"/>
    </xf>
    <xf numFmtId="164" fontId="8" fillId="4" borderId="0" xfId="0" applyNumberFormat="1" applyFont="1" applyFill="1" applyAlignment="1">
      <alignment horizontal="right"/>
    </xf>
    <xf numFmtId="164" fontId="8" fillId="6" borderId="0" xfId="0" applyNumberFormat="1" applyFont="1" applyFill="1" applyAlignment="1">
      <alignment horizontal="right"/>
    </xf>
    <xf numFmtId="164" fontId="8" fillId="4" borderId="29" xfId="0" applyNumberFormat="1" applyFont="1" applyFill="1" applyBorder="1" applyAlignment="1">
      <alignment horizontal="right"/>
    </xf>
    <xf numFmtId="164" fontId="8" fillId="6" borderId="14" xfId="0" applyNumberFormat="1" applyFont="1" applyFill="1" applyBorder="1" applyAlignment="1">
      <alignment horizontal="right"/>
    </xf>
    <xf numFmtId="164" fontId="8" fillId="4" borderId="14" xfId="0" applyNumberFormat="1" applyFont="1" applyFill="1" applyBorder="1" applyAlignment="1">
      <alignment horizontal="right"/>
    </xf>
    <xf numFmtId="164" fontId="2" fillId="4" borderId="31" xfId="0" applyNumberFormat="1" applyFont="1" applyFill="1" applyBorder="1" applyAlignment="1"/>
    <xf numFmtId="164" fontId="2" fillId="4" borderId="49" xfId="0" applyNumberFormat="1" applyFont="1" applyFill="1" applyBorder="1" applyAlignment="1"/>
    <xf numFmtId="164" fontId="2" fillId="6" borderId="49" xfId="0" applyNumberFormat="1" applyFont="1" applyFill="1" applyBorder="1" applyAlignment="1"/>
    <xf numFmtId="164" fontId="2" fillId="4" borderId="31" xfId="0" applyNumberFormat="1" applyFont="1" applyFill="1" applyBorder="1" applyAlignment="1">
      <alignment horizontal="left"/>
    </xf>
    <xf numFmtId="164" fontId="2" fillId="6" borderId="31" xfId="0" applyNumberFormat="1" applyFont="1" applyFill="1" applyBorder="1" applyAlignment="1">
      <alignment horizontal="left"/>
    </xf>
    <xf numFmtId="164" fontId="2" fillId="4" borderId="14" xfId="0" applyNumberFormat="1" applyFont="1" applyFill="1" applyBorder="1" applyAlignment="1">
      <alignment horizontal="left"/>
    </xf>
    <xf numFmtId="164" fontId="2" fillId="6" borderId="14" xfId="0" applyNumberFormat="1" applyFont="1" applyFill="1" applyBorder="1" applyAlignment="1">
      <alignment horizontal="left"/>
    </xf>
    <xf numFmtId="164" fontId="2" fillId="2" borderId="14" xfId="0" applyNumberFormat="1" applyFont="1" applyFill="1" applyBorder="1" applyAlignment="1">
      <alignment horizontal="left"/>
    </xf>
    <xf numFmtId="10" fontId="15" fillId="0" borderId="0" xfId="0" applyNumberFormat="1" applyFont="1"/>
    <xf numFmtId="10" fontId="25" fillId="0" borderId="0" xfId="0" applyNumberFormat="1" applyFont="1"/>
    <xf numFmtId="10" fontId="11" fillId="0" borderId="24" xfId="0" applyNumberFormat="1" applyFont="1" applyBorder="1" applyAlignment="1">
      <alignment horizontal="left"/>
    </xf>
    <xf numFmtId="10" fontId="25" fillId="4" borderId="31" xfId="0" applyNumberFormat="1" applyFont="1" applyFill="1" applyBorder="1" applyAlignment="1">
      <alignment horizontal="right"/>
    </xf>
    <xf numFmtId="10" fontId="25" fillId="4" borderId="49" xfId="0" applyNumberFormat="1" applyFont="1" applyFill="1" applyBorder="1" applyAlignment="1">
      <alignment horizontal="right"/>
    </xf>
    <xf numFmtId="10" fontId="11" fillId="6" borderId="14" xfId="0" applyNumberFormat="1" applyFont="1" applyFill="1" applyBorder="1"/>
    <xf numFmtId="10" fontId="11" fillId="2" borderId="14" xfId="0" applyNumberFormat="1" applyFont="1" applyFill="1" applyBorder="1"/>
    <xf numFmtId="10" fontId="25" fillId="2" borderId="14" xfId="0" applyNumberFormat="1" applyFont="1" applyFill="1" applyBorder="1"/>
    <xf numFmtId="10" fontId="11" fillId="0" borderId="0" xfId="0" applyNumberFormat="1" applyFont="1"/>
    <xf numFmtId="10" fontId="11" fillId="2" borderId="0" xfId="0" applyNumberFormat="1" applyFont="1" applyFill="1"/>
    <xf numFmtId="164" fontId="2" fillId="0" borderId="2" xfId="0" applyNumberFormat="1" applyFont="1" applyBorder="1"/>
    <xf numFmtId="164" fontId="2" fillId="6" borderId="25" xfId="0" applyNumberFormat="1" applyFont="1" applyFill="1" applyBorder="1"/>
    <xf numFmtId="164" fontId="2" fillId="2" borderId="2" xfId="0" applyNumberFormat="1" applyFont="1" applyFill="1" applyBorder="1"/>
    <xf numFmtId="164" fontId="2" fillId="2" borderId="25" xfId="0" applyNumberFormat="1" applyFont="1" applyFill="1" applyBorder="1"/>
    <xf numFmtId="171" fontId="15" fillId="0" borderId="0" xfId="0" applyNumberFormat="1" applyFont="1"/>
    <xf numFmtId="171" fontId="11" fillId="0" borderId="0" xfId="0" applyNumberFormat="1" applyFont="1" applyAlignment="1">
      <alignment horizontal="left"/>
    </xf>
    <xf numFmtId="171" fontId="25" fillId="0" borderId="24" xfId="0" applyNumberFormat="1" applyFont="1" applyBorder="1"/>
    <xf numFmtId="171" fontId="11" fillId="0" borderId="0" xfId="0" applyNumberFormat="1" applyFont="1"/>
    <xf numFmtId="171" fontId="11" fillId="6" borderId="14" xfId="0" applyNumberFormat="1" applyFont="1" applyFill="1" applyBorder="1" applyAlignment="1">
      <alignment horizontal="right"/>
    </xf>
    <xf numFmtId="171" fontId="11" fillId="2" borderId="0" xfId="0" applyNumberFormat="1" applyFont="1" applyFill="1"/>
    <xf numFmtId="171" fontId="11" fillId="2" borderId="14" xfId="0" applyNumberFormat="1" applyFont="1" applyFill="1" applyBorder="1" applyAlignment="1">
      <alignment horizontal="right"/>
    </xf>
    <xf numFmtId="0" fontId="11" fillId="0" borderId="0" xfId="0" applyFont="1" applyAlignment="1">
      <alignment horizontal="left"/>
    </xf>
    <xf numFmtId="172" fontId="11" fillId="0" borderId="0" xfId="0" applyNumberFormat="1" applyFont="1" applyAlignment="1">
      <alignment horizontal="right"/>
    </xf>
    <xf numFmtId="172" fontId="11" fillId="6" borderId="14" xfId="0" applyNumberFormat="1" applyFont="1" applyFill="1" applyBorder="1" applyAlignment="1">
      <alignment horizontal="right"/>
    </xf>
    <xf numFmtId="172" fontId="11" fillId="2" borderId="0" xfId="0" applyNumberFormat="1" applyFont="1" applyFill="1" applyAlignment="1">
      <alignment horizontal="right"/>
    </xf>
    <xf numFmtId="172" fontId="11" fillId="2" borderId="14" xfId="0" applyNumberFormat="1" applyFont="1" applyFill="1" applyBorder="1" applyAlignment="1">
      <alignment horizontal="right"/>
    </xf>
    <xf numFmtId="0" fontId="2" fillId="6" borderId="14" xfId="0" applyFont="1" applyFill="1" applyBorder="1"/>
    <xf numFmtId="0" fontId="2" fillId="2" borderId="14" xfId="0" applyFont="1" applyFill="1" applyBorder="1"/>
    <xf numFmtId="0" fontId="2" fillId="0" borderId="0" xfId="0" applyFont="1" applyAlignment="1">
      <alignment horizontal="left"/>
    </xf>
    <xf numFmtId="164" fontId="6" fillId="4" borderId="14" xfId="0" applyNumberFormat="1" applyFont="1" applyFill="1" applyBorder="1" applyAlignment="1">
      <alignment horizontal="right"/>
    </xf>
    <xf numFmtId="164" fontId="6" fillId="0" borderId="0" xfId="0" applyNumberFormat="1" applyFont="1" applyAlignment="1">
      <alignment horizontal="right" vertical="top"/>
    </xf>
    <xf numFmtId="164" fontId="2" fillId="6" borderId="14" xfId="0" applyNumberFormat="1" applyFont="1" applyFill="1" applyBorder="1"/>
    <xf numFmtId="164" fontId="2" fillId="2" borderId="0" xfId="0" applyNumberFormat="1" applyFont="1" applyFill="1"/>
    <xf numFmtId="164" fontId="2" fillId="2" borderId="14" xfId="0" applyNumberFormat="1" applyFont="1" applyFill="1" applyBorder="1"/>
    <xf numFmtId="164" fontId="2" fillId="0" borderId="0" xfId="0" applyNumberFormat="1" applyFont="1" applyAlignment="1">
      <alignment horizontal="right" vertical="top"/>
    </xf>
    <xf numFmtId="0" fontId="2" fillId="0" borderId="24" xfId="0" applyFont="1" applyBorder="1" applyAlignment="1">
      <alignment horizontal="left"/>
    </xf>
    <xf numFmtId="164" fontId="2" fillId="6" borderId="45" xfId="0" applyNumberFormat="1" applyFont="1" applyFill="1" applyBorder="1"/>
    <xf numFmtId="0" fontId="9" fillId="0" borderId="52" xfId="0" applyFont="1" applyBorder="1"/>
    <xf numFmtId="0" fontId="9" fillId="0" borderId="53" xfId="0" applyFont="1" applyBorder="1"/>
    <xf numFmtId="164" fontId="9" fillId="0" borderId="54" xfId="0" applyNumberFormat="1" applyFont="1" applyBorder="1"/>
    <xf numFmtId="5" fontId="9" fillId="0" borderId="54" xfId="0" applyNumberFormat="1" applyFont="1" applyBorder="1"/>
    <xf numFmtId="5" fontId="9" fillId="6" borderId="55" xfId="0" applyNumberFormat="1" applyFont="1" applyFill="1" applyBorder="1"/>
    <xf numFmtId="5" fontId="9" fillId="6" borderId="56" xfId="0" applyNumberFormat="1" applyFont="1" applyFill="1" applyBorder="1"/>
    <xf numFmtId="164" fontId="2" fillId="6" borderId="31" xfId="0" applyNumberFormat="1" applyFont="1" applyFill="1" applyBorder="1"/>
    <xf numFmtId="5" fontId="2" fillId="0" borderId="2" xfId="0" applyNumberFormat="1" applyFont="1" applyBorder="1"/>
    <xf numFmtId="5" fontId="2" fillId="6" borderId="25" xfId="0" applyNumberFormat="1" applyFont="1" applyFill="1" applyBorder="1"/>
    <xf numFmtId="5" fontId="2" fillId="2" borderId="2" xfId="0" applyNumberFormat="1" applyFont="1" applyFill="1" applyBorder="1"/>
    <xf numFmtId="5" fontId="2" fillId="2" borderId="25" xfId="0" applyNumberFormat="1" applyFont="1" applyFill="1" applyBorder="1"/>
    <xf numFmtId="0" fontId="2" fillId="0" borderId="14" xfId="0" applyFont="1" applyBorder="1"/>
    <xf numFmtId="0" fontId="15" fillId="0" borderId="0" xfId="0" applyFont="1" applyAlignment="1"/>
    <xf numFmtId="0" fontId="20" fillId="0" borderId="0" xfId="0" applyFont="1" applyAlignment="1"/>
    <xf numFmtId="0" fontId="2" fillId="0" borderId="24" xfId="0" applyFont="1" applyBorder="1" applyAlignment="1"/>
    <xf numFmtId="0" fontId="2" fillId="0" borderId="57" xfId="0" applyFont="1" applyBorder="1" applyAlignment="1"/>
    <xf numFmtId="0" fontId="2" fillId="6" borderId="29" xfId="0" applyFont="1" applyFill="1" applyBorder="1" applyAlignment="1"/>
    <xf numFmtId="164" fontId="2" fillId="0" borderId="57" xfId="0" applyNumberFormat="1" applyFont="1" applyBorder="1" applyAlignment="1"/>
    <xf numFmtId="5" fontId="2" fillId="0" borderId="57" xfId="0" applyNumberFormat="1" applyFont="1" applyBorder="1" applyAlignment="1"/>
    <xf numFmtId="0" fontId="2" fillId="0" borderId="29" xfId="0" applyFont="1" applyBorder="1" applyAlignment="1"/>
    <xf numFmtId="0" fontId="2" fillId="0" borderId="0" xfId="0" applyFont="1" applyAlignment="1"/>
    <xf numFmtId="0" fontId="19" fillId="0" borderId="57" xfId="0" applyFont="1" applyBorder="1" applyAlignment="1"/>
    <xf numFmtId="164" fontId="2" fillId="6" borderId="47" xfId="0" applyNumberFormat="1" applyFont="1" applyFill="1" applyBorder="1" applyAlignment="1">
      <alignment horizontal="right"/>
    </xf>
    <xf numFmtId="164" fontId="2" fillId="0" borderId="47" xfId="0" applyNumberFormat="1" applyFont="1" applyBorder="1" applyAlignment="1">
      <alignment horizontal="right"/>
    </xf>
    <xf numFmtId="5" fontId="2" fillId="0" borderId="0" xfId="0" applyNumberFormat="1" applyFont="1" applyAlignment="1"/>
    <xf numFmtId="5" fontId="2" fillId="0" borderId="49" xfId="0" applyNumberFormat="1" applyFont="1" applyBorder="1" applyAlignment="1"/>
    <xf numFmtId="0" fontId="19" fillId="0" borderId="57" xfId="0" applyFont="1" applyBorder="1" applyAlignment="1"/>
    <xf numFmtId="166" fontId="2" fillId="0" borderId="0" xfId="0" applyNumberFormat="1" applyFont="1" applyAlignment="1"/>
    <xf numFmtId="166" fontId="2" fillId="0" borderId="57" xfId="0" applyNumberFormat="1" applyFont="1" applyBorder="1" applyAlignment="1"/>
    <xf numFmtId="166" fontId="11" fillId="6" borderId="49" xfId="0" applyNumberFormat="1" applyFont="1" applyFill="1" applyBorder="1" applyAlignment="1">
      <alignment horizontal="right"/>
    </xf>
    <xf numFmtId="166" fontId="11" fillId="0" borderId="49" xfId="0" applyNumberFormat="1" applyFont="1" applyBorder="1" applyAlignment="1">
      <alignment horizontal="right"/>
    </xf>
    <xf numFmtId="166" fontId="11" fillId="0" borderId="47" xfId="0" applyNumberFormat="1" applyFont="1" applyBorder="1" applyAlignment="1">
      <alignment horizontal="right"/>
    </xf>
    <xf numFmtId="166" fontId="11" fillId="6" borderId="47" xfId="0" applyNumberFormat="1" applyFont="1" applyFill="1" applyBorder="1" applyAlignment="1">
      <alignment horizontal="right"/>
    </xf>
    <xf numFmtId="0" fontId="9" fillId="0" borderId="24" xfId="0" applyFont="1" applyBorder="1"/>
    <xf numFmtId="5" fontId="2" fillId="0" borderId="0" xfId="0" applyNumberFormat="1" applyFont="1" applyAlignment="1">
      <alignment horizontal="right"/>
    </xf>
    <xf numFmtId="5" fontId="2" fillId="6" borderId="14" xfId="0" applyNumberFormat="1" applyFont="1" applyFill="1" applyBorder="1" applyAlignment="1">
      <alignment horizontal="right"/>
    </xf>
    <xf numFmtId="5" fontId="2" fillId="2" borderId="0" xfId="0" applyNumberFormat="1" applyFont="1" applyFill="1" applyAlignment="1">
      <alignment horizontal="right"/>
    </xf>
    <xf numFmtId="5" fontId="2" fillId="2" borderId="14" xfId="0" applyNumberFormat="1" applyFont="1" applyFill="1" applyBorder="1" applyAlignment="1">
      <alignment horizontal="right"/>
    </xf>
    <xf numFmtId="0" fontId="26" fillId="0" borderId="0" xfId="0" applyFont="1"/>
    <xf numFmtId="164" fontId="2" fillId="0" borderId="57" xfId="0" applyNumberFormat="1" applyFont="1" applyBorder="1" applyAlignment="1">
      <alignment horizontal="right"/>
    </xf>
    <xf numFmtId="164" fontId="2" fillId="6" borderId="29" xfId="0" applyNumberFormat="1" applyFont="1" applyFill="1" applyBorder="1" applyAlignment="1">
      <alignment horizontal="right"/>
    </xf>
    <xf numFmtId="164" fontId="2" fillId="6" borderId="14" xfId="0" applyNumberFormat="1" applyFont="1" applyFill="1" applyBorder="1" applyAlignment="1">
      <alignment horizontal="right"/>
    </xf>
    <xf numFmtId="164" fontId="2" fillId="2" borderId="0" xfId="0" applyNumberFormat="1" applyFont="1" applyFill="1" applyAlignment="1">
      <alignment horizontal="right"/>
    </xf>
    <xf numFmtId="164" fontId="2" fillId="2" borderId="14" xfId="0" applyNumberFormat="1" applyFont="1" applyFill="1" applyBorder="1" applyAlignment="1">
      <alignment horizontal="right"/>
    </xf>
    <xf numFmtId="0" fontId="23" fillId="0" borderId="57" xfId="0" applyFont="1" applyBorder="1" applyAlignment="1"/>
    <xf numFmtId="166" fontId="11" fillId="0" borderId="0" xfId="0" applyNumberFormat="1" applyFont="1" applyAlignment="1">
      <alignment horizontal="right"/>
    </xf>
    <xf numFmtId="166" fontId="11" fillId="0" borderId="57" xfId="0" applyNumberFormat="1" applyFont="1" applyBorder="1" applyAlignment="1">
      <alignment horizontal="right"/>
    </xf>
    <xf numFmtId="166" fontId="11" fillId="6" borderId="29" xfId="0" applyNumberFormat="1" applyFont="1" applyFill="1" applyBorder="1" applyAlignment="1">
      <alignment horizontal="right"/>
    </xf>
    <xf numFmtId="166" fontId="2" fillId="2" borderId="0" xfId="0" applyNumberFormat="1" applyFont="1" applyFill="1" applyAlignment="1"/>
    <xf numFmtId="166" fontId="2" fillId="2" borderId="57" xfId="0" applyNumberFormat="1" applyFont="1" applyFill="1" applyBorder="1" applyAlignment="1"/>
    <xf numFmtId="166" fontId="2" fillId="2" borderId="29" xfId="0" applyNumberFormat="1" applyFont="1" applyFill="1" applyBorder="1" applyAlignment="1"/>
    <xf numFmtId="0" fontId="2" fillId="0" borderId="57" xfId="0" applyFont="1" applyBorder="1" applyAlignment="1"/>
    <xf numFmtId="0" fontId="11" fillId="0" borderId="0" xfId="0" applyFont="1"/>
    <xf numFmtId="0" fontId="23" fillId="0" borderId="57" xfId="0" applyFont="1" applyBorder="1" applyAlignment="1"/>
    <xf numFmtId="0" fontId="27" fillId="0" borderId="24" xfId="0" applyFont="1" applyBorder="1"/>
    <xf numFmtId="166" fontId="11" fillId="0" borderId="0" xfId="0" applyNumberFormat="1" applyFont="1" applyAlignment="1">
      <alignment horizontal="right"/>
    </xf>
    <xf numFmtId="166" fontId="11" fillId="6" borderId="14" xfId="0" applyNumberFormat="1" applyFont="1" applyFill="1" applyBorder="1" applyAlignment="1">
      <alignment horizontal="right"/>
    </xf>
    <xf numFmtId="166" fontId="25" fillId="2" borderId="0" xfId="0" applyNumberFormat="1" applyFont="1" applyFill="1" applyAlignment="1">
      <alignment horizontal="right"/>
    </xf>
    <xf numFmtId="166" fontId="25" fillId="2" borderId="14" xfId="0" applyNumberFormat="1" applyFont="1" applyFill="1" applyBorder="1" applyAlignment="1">
      <alignment horizontal="right"/>
    </xf>
    <xf numFmtId="166" fontId="25" fillId="0" borderId="0" xfId="0" applyNumberFormat="1" applyFont="1" applyAlignment="1">
      <alignment horizontal="right"/>
    </xf>
    <xf numFmtId="166" fontId="25" fillId="6" borderId="14" xfId="0" applyNumberFormat="1" applyFont="1" applyFill="1" applyBorder="1" applyAlignment="1">
      <alignment horizontal="right"/>
    </xf>
    <xf numFmtId="0" fontId="19" fillId="0" borderId="0" xfId="0" applyFont="1" applyAlignment="1">
      <alignment horizontal="left"/>
    </xf>
    <xf numFmtId="0" fontId="19" fillId="0" borderId="24" xfId="0" applyFont="1" applyBorder="1" applyAlignment="1">
      <alignment horizontal="left"/>
    </xf>
    <xf numFmtId="165" fontId="2" fillId="2" borderId="2" xfId="0" applyNumberFormat="1" applyFont="1" applyFill="1" applyBorder="1"/>
    <xf numFmtId="165" fontId="2" fillId="2" borderId="25" xfId="0" applyNumberFormat="1" applyFont="1" applyFill="1" applyBorder="1"/>
    <xf numFmtId="172" fontId="15" fillId="0" borderId="0" xfId="0" applyNumberFormat="1" applyFont="1"/>
    <xf numFmtId="172" fontId="11" fillId="0" borderId="0" xfId="0" applyNumberFormat="1" applyFont="1" applyAlignment="1">
      <alignment horizontal="left"/>
    </xf>
    <xf numFmtId="172" fontId="25" fillId="0" borderId="24" xfId="0" applyNumberFormat="1" applyFont="1" applyBorder="1"/>
    <xf numFmtId="172" fontId="11" fillId="0" borderId="0" xfId="0" applyNumberFormat="1" applyFont="1"/>
    <xf numFmtId="172" fontId="11" fillId="2" borderId="0" xfId="0" applyNumberFormat="1" applyFont="1" applyFill="1"/>
    <xf numFmtId="166" fontId="11" fillId="0" borderId="29" xfId="0" applyNumberFormat="1" applyFont="1" applyBorder="1" applyAlignment="1">
      <alignment horizontal="right"/>
    </xf>
    <xf numFmtId="0" fontId="28" fillId="0" borderId="0" xfId="0" applyFont="1" applyAlignment="1">
      <alignment horizontal="left"/>
    </xf>
    <xf numFmtId="164" fontId="2" fillId="6" borderId="29" xfId="0" applyNumberFormat="1" applyFont="1" applyFill="1" applyBorder="1" applyAlignment="1">
      <alignment horizontal="right"/>
    </xf>
    <xf numFmtId="164" fontId="2" fillId="2" borderId="29" xfId="0" applyNumberFormat="1" applyFont="1" applyFill="1" applyBorder="1" applyAlignment="1">
      <alignment horizontal="right"/>
    </xf>
    <xf numFmtId="0" fontId="23" fillId="0" borderId="57" xfId="0" applyFont="1" applyBorder="1" applyAlignment="1"/>
    <xf numFmtId="0" fontId="2" fillId="0" borderId="24" xfId="0" applyFont="1" applyBorder="1" applyAlignment="1"/>
    <xf numFmtId="5" fontId="2" fillId="0" borderId="47" xfId="0" applyNumberFormat="1" applyFont="1" applyBorder="1" applyAlignment="1"/>
    <xf numFmtId="5" fontId="2" fillId="6" borderId="49" xfId="0" applyNumberFormat="1" applyFont="1" applyFill="1" applyBorder="1" applyAlignment="1"/>
    <xf numFmtId="0" fontId="29" fillId="0" borderId="24" xfId="0" applyFont="1" applyBorder="1" applyAlignment="1"/>
    <xf numFmtId="14" fontId="30" fillId="0" borderId="0" xfId="0" applyNumberFormat="1" applyFont="1" applyAlignment="1">
      <alignment horizontal="right"/>
    </xf>
    <xf numFmtId="14" fontId="30" fillId="6" borderId="0" xfId="0" applyNumberFormat="1" applyFont="1" applyFill="1" applyAlignment="1">
      <alignment horizontal="right"/>
    </xf>
    <xf numFmtId="164" fontId="30" fillId="0" borderId="0" xfId="0" applyNumberFormat="1" applyFont="1" applyAlignment="1">
      <alignment horizontal="right"/>
    </xf>
    <xf numFmtId="164" fontId="30" fillId="6" borderId="0" xfId="0" applyNumberFormat="1" applyFont="1" applyFill="1" applyAlignment="1">
      <alignment horizontal="right"/>
    </xf>
    <xf numFmtId="0" fontId="4" fillId="0" borderId="24" xfId="0" applyFont="1" applyBorder="1"/>
    <xf numFmtId="0" fontId="4" fillId="6" borderId="0" xfId="0" applyFont="1" applyFill="1"/>
    <xf numFmtId="0" fontId="19" fillId="0" borderId="8" xfId="0" applyFont="1" applyBorder="1" applyAlignment="1">
      <alignment horizontal="center"/>
    </xf>
    <xf numFmtId="0" fontId="10" fillId="0" borderId="9" xfId="0" applyFont="1" applyBorder="1"/>
    <xf numFmtId="0" fontId="10" fillId="0" borderId="10" xfId="0" applyFont="1" applyBorder="1"/>
    <xf numFmtId="0" fontId="20" fillId="0" borderId="8" xfId="0" applyFont="1" applyBorder="1" applyAlignment="1">
      <alignment horizontal="center" vertical="center"/>
    </xf>
    <xf numFmtId="0" fontId="9" fillId="0" borderId="8" xfId="0" applyFont="1" applyBorder="1" applyAlignment="1">
      <alignment horizontal="center" vertical="center"/>
    </xf>
    <xf numFmtId="0" fontId="2" fillId="0" borderId="1" xfId="0" applyFont="1" applyBorder="1" applyAlignment="1">
      <alignment horizontal="left" vertical="center" wrapText="1"/>
    </xf>
    <xf numFmtId="0" fontId="10" fillId="0" borderId="19" xfId="0" applyFont="1" applyBorder="1"/>
    <xf numFmtId="1" fontId="2" fillId="0" borderId="3" xfId="0" applyNumberFormat="1" applyFont="1" applyBorder="1" applyAlignment="1">
      <alignment horizontal="center" vertical="center"/>
    </xf>
    <xf numFmtId="0" fontId="10" fillId="0" borderId="24" xfId="0" applyFont="1" applyBorder="1"/>
    <xf numFmtId="0" fontId="9" fillId="0" borderId="1" xfId="0" applyFont="1" applyBorder="1" applyAlignment="1">
      <alignment horizontal="center"/>
    </xf>
    <xf numFmtId="0" fontId="10" fillId="0" borderId="3" xfId="0" applyFont="1" applyBorder="1"/>
    <xf numFmtId="0" fontId="9" fillId="0" borderId="8" xfId="0" applyFont="1" applyBorder="1" applyAlignment="1">
      <alignment horizontal="center"/>
    </xf>
    <xf numFmtId="0" fontId="2" fillId="0" borderId="8" xfId="0" applyFont="1" applyBorder="1" applyAlignment="1">
      <alignment horizontal="left"/>
    </xf>
    <xf numFmtId="0" fontId="20" fillId="0" borderId="8" xfId="0" applyFont="1" applyBorder="1" applyAlignment="1">
      <alignment horizontal="center"/>
    </xf>
    <xf numFmtId="10" fontId="25" fillId="8" borderId="49" xfId="0" applyNumberFormat="1" applyFont="1" applyFill="1" applyBorder="1" applyAlignment="1">
      <alignment horizontal="right"/>
    </xf>
    <xf numFmtId="0" fontId="18" fillId="0" borderId="0" xfId="0" applyFont="1" applyAlignment="1">
      <alignment horizontal="left" indent="2"/>
    </xf>
  </cellXfs>
  <cellStyles count="1">
    <cellStyle name="Normal" xfId="0" builtinId="0"/>
  </cellStyles>
  <dxfs count="28">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mn-lt"/>
              </a:defRPr>
            </a:pPr>
            <a:r>
              <a:rPr lang="en-US"/>
              <a:t>Cash Balance</a:t>
            </a:r>
          </a:p>
        </c:rich>
      </c:tx>
      <c:overlay val="0"/>
    </c:title>
    <c:autoTitleDeleted val="0"/>
    <c:plotArea>
      <c:layout/>
      <c:lineChart>
        <c:grouping val="standard"/>
        <c:varyColors val="1"/>
        <c:ser>
          <c:idx val="0"/>
          <c:order val="0"/>
          <c:spPr>
            <a:ln w="19050" cmpd="sng">
              <a:solidFill>
                <a:srgbClr val="00009B"/>
              </a:solidFill>
              <a:prstDash val="solid"/>
            </a:ln>
          </c:spPr>
          <c:marker>
            <c:symbol val="none"/>
          </c:marker>
          <c:cat>
            <c:numRef>
              <c:f>Model!$D$4:$BS$4</c:f>
              <c:numCache>
                <c:formatCode>m/d/yy</c:formatCode>
                <c:ptCount val="68"/>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pt idx="22">
                  <c:v>46295</c:v>
                </c:pt>
                <c:pt idx="23">
                  <c:v>46387</c:v>
                </c:pt>
                <c:pt idx="24">
                  <c:v>46477</c:v>
                </c:pt>
                <c:pt idx="25">
                  <c:v>46568</c:v>
                </c:pt>
                <c:pt idx="26">
                  <c:v>46660</c:v>
                </c:pt>
                <c:pt idx="27">
                  <c:v>46752</c:v>
                </c:pt>
                <c:pt idx="28">
                  <c:v>46843</c:v>
                </c:pt>
                <c:pt idx="29">
                  <c:v>46934</c:v>
                </c:pt>
                <c:pt idx="30">
                  <c:v>47026</c:v>
                </c:pt>
                <c:pt idx="31">
                  <c:v>47118</c:v>
                </c:pt>
                <c:pt idx="32">
                  <c:v>47208</c:v>
                </c:pt>
                <c:pt idx="33">
                  <c:v>47299</c:v>
                </c:pt>
                <c:pt idx="34">
                  <c:v>47391</c:v>
                </c:pt>
                <c:pt idx="35">
                  <c:v>47483</c:v>
                </c:pt>
                <c:pt idx="36">
                  <c:v>47573</c:v>
                </c:pt>
                <c:pt idx="37">
                  <c:v>47664</c:v>
                </c:pt>
                <c:pt idx="38">
                  <c:v>47756</c:v>
                </c:pt>
                <c:pt idx="39">
                  <c:v>47848</c:v>
                </c:pt>
                <c:pt idx="40">
                  <c:v>47938</c:v>
                </c:pt>
                <c:pt idx="41">
                  <c:v>48029</c:v>
                </c:pt>
                <c:pt idx="42">
                  <c:v>48121</c:v>
                </c:pt>
                <c:pt idx="43">
                  <c:v>48213</c:v>
                </c:pt>
              </c:numCache>
            </c:numRef>
          </c:cat>
          <c:val>
            <c:numRef>
              <c:f>Model!$D$140:$BS$140</c:f>
              <c:numCache>
                <c:formatCode>"$"#,##0_);\("$"#,##0\)</c:formatCode>
                <c:ptCount val="68"/>
                <c:pt idx="0" formatCode="_(* #,##0_);_(* \(#,##0\);_(* &quot;-&quot;??_);_(@_)">
                  <c:v>96850000</c:v>
                </c:pt>
                <c:pt idx="1">
                  <c:v>92450000</c:v>
                </c:pt>
                <c:pt idx="2">
                  <c:v>89300000</c:v>
                </c:pt>
                <c:pt idx="3">
                  <c:v>84900000</c:v>
                </c:pt>
                <c:pt idx="4">
                  <c:v>81750000</c:v>
                </c:pt>
                <c:pt idx="5">
                  <c:v>77125000</c:v>
                </c:pt>
                <c:pt idx="6">
                  <c:v>69575000</c:v>
                </c:pt>
                <c:pt idx="7">
                  <c:v>64325000</c:v>
                </c:pt>
                <c:pt idx="8">
                  <c:v>56775000</c:v>
                </c:pt>
                <c:pt idx="9">
                  <c:v>49225000</c:v>
                </c:pt>
                <c:pt idx="10">
                  <c:v>43975000</c:v>
                </c:pt>
                <c:pt idx="11">
                  <c:v>35675000</c:v>
                </c:pt>
                <c:pt idx="12">
                  <c:v>28925000</c:v>
                </c:pt>
                <c:pt idx="13">
                  <c:v>20387500</c:v>
                </c:pt>
                <c:pt idx="14">
                  <c:v>15112500</c:v>
                </c:pt>
                <c:pt idx="15">
                  <c:v>10150000</c:v>
                </c:pt>
                <c:pt idx="16">
                  <c:v>4150000</c:v>
                </c:pt>
                <c:pt idx="17">
                  <c:v>-37500</c:v>
                </c:pt>
                <c:pt idx="18">
                  <c:v>-5900000</c:v>
                </c:pt>
                <c:pt idx="19">
                  <c:v>-8900000</c:v>
                </c:pt>
                <c:pt idx="20">
                  <c:v>-11700000</c:v>
                </c:pt>
                <c:pt idx="21">
                  <c:v>-14487500</c:v>
                </c:pt>
                <c:pt idx="22">
                  <c:v>-16512500</c:v>
                </c:pt>
                <c:pt idx="23">
                  <c:v>-19275000</c:v>
                </c:pt>
                <c:pt idx="24">
                  <c:v>-21275000</c:v>
                </c:pt>
                <c:pt idx="25">
                  <c:v>-22512500</c:v>
                </c:pt>
                <c:pt idx="26">
                  <c:v>-22987500</c:v>
                </c:pt>
                <c:pt idx="27">
                  <c:v>-23450000</c:v>
                </c:pt>
                <c:pt idx="28">
                  <c:v>-23900000</c:v>
                </c:pt>
                <c:pt idx="29">
                  <c:v>-24337500</c:v>
                </c:pt>
                <c:pt idx="30">
                  <c:v>-24762500</c:v>
                </c:pt>
                <c:pt idx="31">
                  <c:v>-25175000</c:v>
                </c:pt>
                <c:pt idx="32">
                  <c:v>-25575000</c:v>
                </c:pt>
                <c:pt idx="33">
                  <c:v>-25975000</c:v>
                </c:pt>
                <c:pt idx="34">
                  <c:v>-26375000</c:v>
                </c:pt>
                <c:pt idx="35">
                  <c:v>-26775000</c:v>
                </c:pt>
                <c:pt idx="36">
                  <c:v>-27175000</c:v>
                </c:pt>
                <c:pt idx="37">
                  <c:v>-27575000</c:v>
                </c:pt>
                <c:pt idx="38">
                  <c:v>-27975000</c:v>
                </c:pt>
                <c:pt idx="39">
                  <c:v>-28375000</c:v>
                </c:pt>
                <c:pt idx="40">
                  <c:v>-28775000</c:v>
                </c:pt>
                <c:pt idx="41">
                  <c:v>-29175000</c:v>
                </c:pt>
                <c:pt idx="42">
                  <c:v>-29575000</c:v>
                </c:pt>
                <c:pt idx="43">
                  <c:v>-29975000</c:v>
                </c:pt>
              </c:numCache>
            </c:numRef>
          </c:val>
          <c:smooth val="0"/>
          <c:extLst>
            <c:ext xmlns:c16="http://schemas.microsoft.com/office/drawing/2014/chart" uri="{C3380CC4-5D6E-409C-BE32-E72D297353CC}">
              <c16:uniqueId val="{00000000-11E7-B540-8FA3-D257DE08051B}"/>
            </c:ext>
          </c:extLst>
        </c:ser>
        <c:ser>
          <c:idx val="1"/>
          <c:order val="1"/>
          <c:spPr>
            <a:ln w="28575" cmpd="sng">
              <a:solidFill>
                <a:schemeClr val="accent1"/>
              </a:solidFill>
              <a:prstDash val="solid"/>
            </a:ln>
          </c:spPr>
          <c:marker>
            <c:symbol val="none"/>
          </c:marker>
          <c:cat>
            <c:numRef>
              <c:f>Model!$D$4:$BS$4</c:f>
              <c:numCache>
                <c:formatCode>m/d/yy</c:formatCode>
                <c:ptCount val="68"/>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pt idx="22">
                  <c:v>46295</c:v>
                </c:pt>
                <c:pt idx="23">
                  <c:v>46387</c:v>
                </c:pt>
                <c:pt idx="24">
                  <c:v>46477</c:v>
                </c:pt>
                <c:pt idx="25">
                  <c:v>46568</c:v>
                </c:pt>
                <c:pt idx="26">
                  <c:v>46660</c:v>
                </c:pt>
                <c:pt idx="27">
                  <c:v>46752</c:v>
                </c:pt>
                <c:pt idx="28">
                  <c:v>46843</c:v>
                </c:pt>
                <c:pt idx="29">
                  <c:v>46934</c:v>
                </c:pt>
                <c:pt idx="30">
                  <c:v>47026</c:v>
                </c:pt>
                <c:pt idx="31">
                  <c:v>47118</c:v>
                </c:pt>
                <c:pt idx="32">
                  <c:v>47208</c:v>
                </c:pt>
                <c:pt idx="33">
                  <c:v>47299</c:v>
                </c:pt>
                <c:pt idx="34">
                  <c:v>47391</c:v>
                </c:pt>
                <c:pt idx="35">
                  <c:v>47483</c:v>
                </c:pt>
                <c:pt idx="36">
                  <c:v>47573</c:v>
                </c:pt>
                <c:pt idx="37">
                  <c:v>47664</c:v>
                </c:pt>
                <c:pt idx="38">
                  <c:v>47756</c:v>
                </c:pt>
                <c:pt idx="39">
                  <c:v>47848</c:v>
                </c:pt>
                <c:pt idx="40">
                  <c:v>47938</c:v>
                </c:pt>
                <c:pt idx="41">
                  <c:v>48029</c:v>
                </c:pt>
                <c:pt idx="42">
                  <c:v>48121</c:v>
                </c:pt>
                <c:pt idx="43">
                  <c:v>48213</c:v>
                </c:pt>
              </c:numCache>
            </c:numRef>
          </c:cat>
          <c:val>
            <c:numRef>
              <c:f>Model!$D$140:$BS$140</c:f>
              <c:numCache>
                <c:formatCode>"$"#,##0_);\("$"#,##0\)</c:formatCode>
                <c:ptCount val="68"/>
                <c:pt idx="0" formatCode="_(* #,##0_);_(* \(#,##0\);_(* &quot;-&quot;??_);_(@_)">
                  <c:v>96850000</c:v>
                </c:pt>
                <c:pt idx="1">
                  <c:v>92450000</c:v>
                </c:pt>
                <c:pt idx="2">
                  <c:v>89300000</c:v>
                </c:pt>
                <c:pt idx="3">
                  <c:v>84900000</c:v>
                </c:pt>
                <c:pt idx="4">
                  <c:v>81750000</c:v>
                </c:pt>
                <c:pt idx="5">
                  <c:v>77125000</c:v>
                </c:pt>
                <c:pt idx="6">
                  <c:v>69575000</c:v>
                </c:pt>
                <c:pt idx="7">
                  <c:v>64325000</c:v>
                </c:pt>
                <c:pt idx="8">
                  <c:v>56775000</c:v>
                </c:pt>
                <c:pt idx="9">
                  <c:v>49225000</c:v>
                </c:pt>
                <c:pt idx="10">
                  <c:v>43975000</c:v>
                </c:pt>
                <c:pt idx="11">
                  <c:v>35675000</c:v>
                </c:pt>
                <c:pt idx="12">
                  <c:v>28925000</c:v>
                </c:pt>
                <c:pt idx="13">
                  <c:v>20387500</c:v>
                </c:pt>
                <c:pt idx="14">
                  <c:v>15112500</c:v>
                </c:pt>
                <c:pt idx="15">
                  <c:v>10150000</c:v>
                </c:pt>
                <c:pt idx="16">
                  <c:v>4150000</c:v>
                </c:pt>
                <c:pt idx="17">
                  <c:v>-37500</c:v>
                </c:pt>
                <c:pt idx="18">
                  <c:v>-5900000</c:v>
                </c:pt>
                <c:pt idx="19">
                  <c:v>-8900000</c:v>
                </c:pt>
                <c:pt idx="20">
                  <c:v>-11700000</c:v>
                </c:pt>
                <c:pt idx="21">
                  <c:v>-14487500</c:v>
                </c:pt>
                <c:pt idx="22">
                  <c:v>-16512500</c:v>
                </c:pt>
                <c:pt idx="23">
                  <c:v>-19275000</c:v>
                </c:pt>
                <c:pt idx="24">
                  <c:v>-21275000</c:v>
                </c:pt>
                <c:pt idx="25">
                  <c:v>-22512500</c:v>
                </c:pt>
                <c:pt idx="26">
                  <c:v>-22987500</c:v>
                </c:pt>
                <c:pt idx="27">
                  <c:v>-23450000</c:v>
                </c:pt>
                <c:pt idx="28">
                  <c:v>-23900000</c:v>
                </c:pt>
                <c:pt idx="29">
                  <c:v>-24337500</c:v>
                </c:pt>
                <c:pt idx="30">
                  <c:v>-24762500</c:v>
                </c:pt>
                <c:pt idx="31">
                  <c:v>-25175000</c:v>
                </c:pt>
                <c:pt idx="32">
                  <c:v>-25575000</c:v>
                </c:pt>
                <c:pt idx="33">
                  <c:v>-25975000</c:v>
                </c:pt>
                <c:pt idx="34">
                  <c:v>-26375000</c:v>
                </c:pt>
                <c:pt idx="35">
                  <c:v>-26775000</c:v>
                </c:pt>
                <c:pt idx="36">
                  <c:v>-27175000</c:v>
                </c:pt>
                <c:pt idx="37">
                  <c:v>-27575000</c:v>
                </c:pt>
                <c:pt idx="38">
                  <c:v>-27975000</c:v>
                </c:pt>
                <c:pt idx="39">
                  <c:v>-28375000</c:v>
                </c:pt>
                <c:pt idx="40">
                  <c:v>-28775000</c:v>
                </c:pt>
                <c:pt idx="41">
                  <c:v>-29175000</c:v>
                </c:pt>
                <c:pt idx="42">
                  <c:v>-29575000</c:v>
                </c:pt>
                <c:pt idx="43">
                  <c:v>-29975000</c:v>
                </c:pt>
              </c:numCache>
            </c:numRef>
          </c:val>
          <c:smooth val="0"/>
          <c:extLst>
            <c:ext xmlns:c16="http://schemas.microsoft.com/office/drawing/2014/chart" uri="{C3380CC4-5D6E-409C-BE32-E72D297353CC}">
              <c16:uniqueId val="{00000001-11E7-B540-8FA3-D257DE08051B}"/>
            </c:ext>
          </c:extLst>
        </c:ser>
        <c:dLbls>
          <c:showLegendKey val="0"/>
          <c:showVal val="0"/>
          <c:showCatName val="0"/>
          <c:showSerName val="0"/>
          <c:showPercent val="0"/>
          <c:showBubbleSize val="0"/>
        </c:dLbls>
        <c:smooth val="0"/>
        <c:axId val="690073251"/>
        <c:axId val="607627417"/>
      </c:lineChart>
      <c:dateAx>
        <c:axId val="690073251"/>
        <c:scaling>
          <c:orientation val="minMax"/>
        </c:scaling>
        <c:delete val="0"/>
        <c:axPos val="b"/>
        <c:title>
          <c:tx>
            <c:rich>
              <a:bodyPr/>
              <a:lstStyle/>
              <a:p>
                <a:pPr lvl="0">
                  <a:defRPr b="0">
                    <a:solidFill>
                      <a:srgbClr val="000000"/>
                    </a:solidFill>
                    <a:latin typeface="Calibri"/>
                  </a:defRPr>
                </a:pPr>
                <a:endParaRPr lang="en-US"/>
              </a:p>
            </c:rich>
          </c:tx>
          <c:overlay val="0"/>
        </c:title>
        <c:numFmt formatCode="m/d/yy" sourceLinked="1"/>
        <c:majorTickMark val="none"/>
        <c:minorTickMark val="none"/>
        <c:tickLblPos val="nextTo"/>
        <c:txPr>
          <a:bodyPr/>
          <a:lstStyle/>
          <a:p>
            <a:pPr lvl="0">
              <a:defRPr sz="1100" b="0" i="0">
                <a:solidFill>
                  <a:srgbClr val="595959"/>
                </a:solidFill>
                <a:latin typeface="+mn-lt"/>
              </a:defRPr>
            </a:pPr>
            <a:endParaRPr lang="en-US"/>
          </a:p>
        </c:txPr>
        <c:crossAx val="607627417"/>
        <c:crosses val="autoZero"/>
        <c:auto val="1"/>
        <c:lblOffset val="100"/>
        <c:baseTimeUnit val="months"/>
      </c:dateAx>
      <c:valAx>
        <c:axId val="607627417"/>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endParaRPr lang="en-US"/>
              </a:p>
            </c:rich>
          </c:tx>
          <c:overlay val="0"/>
        </c:title>
        <c:numFmt formatCode="_(* #,##0_);_(* \(#,##0\);_(* &quot;-&quot;??_);_(@_)" sourceLinked="1"/>
        <c:majorTickMark val="none"/>
        <c:minorTickMark val="none"/>
        <c:tickLblPos val="nextTo"/>
        <c:spPr>
          <a:ln/>
        </c:spPr>
        <c:txPr>
          <a:bodyPr/>
          <a:lstStyle/>
          <a:p>
            <a:pPr lvl="0">
              <a:defRPr sz="800" b="0" i="0">
                <a:solidFill>
                  <a:srgbClr val="595959"/>
                </a:solidFill>
                <a:latin typeface="+mn-lt"/>
              </a:defRPr>
            </a:pPr>
            <a:endParaRPr lang="en-US"/>
          </a:p>
        </c:txPr>
        <c:crossAx val="690073251"/>
        <c:crosses val="autoZero"/>
        <c:crossBetween val="between"/>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mn-lt"/>
              </a:defRPr>
            </a:pPr>
            <a:r>
              <a:rPr lang="en-US"/>
              <a:t>Investable Capital</a:t>
            </a:r>
          </a:p>
        </c:rich>
      </c:tx>
      <c:overlay val="0"/>
    </c:title>
    <c:autoTitleDeleted val="0"/>
    <c:plotArea>
      <c:layout/>
      <c:lineChart>
        <c:grouping val="standard"/>
        <c:varyColors val="0"/>
        <c:ser>
          <c:idx val="0"/>
          <c:order val="0"/>
          <c:spPr>
            <a:ln w="28575" cmpd="sng">
              <a:solidFill>
                <a:schemeClr val="accent1"/>
              </a:solidFill>
              <a:prstDash val="solid"/>
            </a:ln>
          </c:spPr>
          <c:marker>
            <c:symbol val="none"/>
          </c:marker>
          <c:cat>
            <c:numRef>
              <c:f>Model!$D$4:$BS$4</c:f>
              <c:numCache>
                <c:formatCode>m/d/yy</c:formatCode>
                <c:ptCount val="68"/>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pt idx="22">
                  <c:v>46295</c:v>
                </c:pt>
                <c:pt idx="23">
                  <c:v>46387</c:v>
                </c:pt>
                <c:pt idx="24">
                  <c:v>46477</c:v>
                </c:pt>
                <c:pt idx="25">
                  <c:v>46568</c:v>
                </c:pt>
                <c:pt idx="26">
                  <c:v>46660</c:v>
                </c:pt>
                <c:pt idx="27">
                  <c:v>46752</c:v>
                </c:pt>
                <c:pt idx="28">
                  <c:v>46843</c:v>
                </c:pt>
                <c:pt idx="29">
                  <c:v>46934</c:v>
                </c:pt>
                <c:pt idx="30">
                  <c:v>47026</c:v>
                </c:pt>
                <c:pt idx="31">
                  <c:v>47118</c:v>
                </c:pt>
                <c:pt idx="32">
                  <c:v>47208</c:v>
                </c:pt>
                <c:pt idx="33">
                  <c:v>47299</c:v>
                </c:pt>
                <c:pt idx="34">
                  <c:v>47391</c:v>
                </c:pt>
                <c:pt idx="35">
                  <c:v>47483</c:v>
                </c:pt>
                <c:pt idx="36">
                  <c:v>47573</c:v>
                </c:pt>
                <c:pt idx="37">
                  <c:v>47664</c:v>
                </c:pt>
                <c:pt idx="38">
                  <c:v>47756</c:v>
                </c:pt>
                <c:pt idx="39">
                  <c:v>47848</c:v>
                </c:pt>
                <c:pt idx="40">
                  <c:v>47938</c:v>
                </c:pt>
                <c:pt idx="41">
                  <c:v>48029</c:v>
                </c:pt>
                <c:pt idx="42">
                  <c:v>48121</c:v>
                </c:pt>
                <c:pt idx="43">
                  <c:v>48213</c:v>
                </c:pt>
              </c:numCache>
            </c:numRef>
          </c:cat>
          <c:val>
            <c:numRef>
              <c:f>Model!$D$142:$BS$142</c:f>
              <c:numCache>
                <c:formatCode>"$"#,##0_);\("$"#,##0\)</c:formatCode>
                <c:ptCount val="68"/>
                <c:pt idx="0">
                  <c:v>74275000</c:v>
                </c:pt>
                <c:pt idx="1">
                  <c:v>70525000</c:v>
                </c:pt>
                <c:pt idx="2">
                  <c:v>68025000</c:v>
                </c:pt>
                <c:pt idx="3">
                  <c:v>64275000</c:v>
                </c:pt>
                <c:pt idx="4">
                  <c:v>61775000</c:v>
                </c:pt>
                <c:pt idx="5">
                  <c:v>57800000</c:v>
                </c:pt>
                <c:pt idx="6">
                  <c:v>50900000</c:v>
                </c:pt>
                <c:pt idx="7">
                  <c:v>46300000</c:v>
                </c:pt>
                <c:pt idx="8">
                  <c:v>39400000</c:v>
                </c:pt>
                <c:pt idx="9">
                  <c:v>32500000</c:v>
                </c:pt>
                <c:pt idx="10">
                  <c:v>27900000</c:v>
                </c:pt>
                <c:pt idx="11">
                  <c:v>20250000</c:v>
                </c:pt>
                <c:pt idx="12">
                  <c:v>14150000</c:v>
                </c:pt>
                <c:pt idx="13">
                  <c:v>6250000</c:v>
                </c:pt>
                <c:pt idx="14">
                  <c:v>1600000</c:v>
                </c:pt>
                <c:pt idx="15">
                  <c:v>-2750000</c:v>
                </c:pt>
                <c:pt idx="16">
                  <c:v>-8150000</c:v>
                </c:pt>
                <c:pt idx="17">
                  <c:v>-11750000</c:v>
                </c:pt>
                <c:pt idx="18">
                  <c:v>-17037500</c:v>
                </c:pt>
                <c:pt idx="19">
                  <c:v>-19475000</c:v>
                </c:pt>
                <c:pt idx="20">
                  <c:v>-21725000</c:v>
                </c:pt>
                <c:pt idx="21">
                  <c:v>-23975000</c:v>
                </c:pt>
                <c:pt idx="22">
                  <c:v>-25475000</c:v>
                </c:pt>
                <c:pt idx="23">
                  <c:v>-27725000</c:v>
                </c:pt>
                <c:pt idx="24">
                  <c:v>-29225000</c:v>
                </c:pt>
                <c:pt idx="25">
                  <c:v>-29975000</c:v>
                </c:pt>
                <c:pt idx="26">
                  <c:v>-29975000</c:v>
                </c:pt>
                <c:pt idx="27">
                  <c:v>-29975000</c:v>
                </c:pt>
                <c:pt idx="28">
                  <c:v>-29975000</c:v>
                </c:pt>
                <c:pt idx="29">
                  <c:v>-29975000</c:v>
                </c:pt>
                <c:pt idx="30">
                  <c:v>-29975000</c:v>
                </c:pt>
                <c:pt idx="31">
                  <c:v>-29975000</c:v>
                </c:pt>
                <c:pt idx="32">
                  <c:v>-29975000</c:v>
                </c:pt>
                <c:pt idx="33">
                  <c:v>-29975000</c:v>
                </c:pt>
                <c:pt idx="34">
                  <c:v>-29975000</c:v>
                </c:pt>
                <c:pt idx="35">
                  <c:v>-29975000</c:v>
                </c:pt>
                <c:pt idx="36">
                  <c:v>-29975000</c:v>
                </c:pt>
                <c:pt idx="37">
                  <c:v>-29975000</c:v>
                </c:pt>
                <c:pt idx="38">
                  <c:v>-29975000</c:v>
                </c:pt>
                <c:pt idx="39">
                  <c:v>-29975000</c:v>
                </c:pt>
                <c:pt idx="40">
                  <c:v>-29975000</c:v>
                </c:pt>
                <c:pt idx="41">
                  <c:v>-29975000</c:v>
                </c:pt>
                <c:pt idx="42">
                  <c:v>-29975000</c:v>
                </c:pt>
                <c:pt idx="43">
                  <c:v>-30375000</c:v>
                </c:pt>
              </c:numCache>
            </c:numRef>
          </c:val>
          <c:smooth val="0"/>
          <c:extLst>
            <c:ext xmlns:c16="http://schemas.microsoft.com/office/drawing/2014/chart" uri="{C3380CC4-5D6E-409C-BE32-E72D297353CC}">
              <c16:uniqueId val="{00000000-61E5-FD4C-AC0D-54082AB9B4CF}"/>
            </c:ext>
          </c:extLst>
        </c:ser>
        <c:dLbls>
          <c:showLegendKey val="0"/>
          <c:showVal val="0"/>
          <c:showCatName val="0"/>
          <c:showSerName val="0"/>
          <c:showPercent val="0"/>
          <c:showBubbleSize val="0"/>
        </c:dLbls>
        <c:smooth val="0"/>
        <c:axId val="1590182955"/>
        <c:axId val="57447183"/>
      </c:lineChart>
      <c:dateAx>
        <c:axId val="1590182955"/>
        <c:scaling>
          <c:orientation val="minMax"/>
        </c:scaling>
        <c:delete val="0"/>
        <c:axPos val="b"/>
        <c:title>
          <c:tx>
            <c:rich>
              <a:bodyPr/>
              <a:lstStyle/>
              <a:p>
                <a:pPr lvl="0">
                  <a:defRPr b="0">
                    <a:solidFill>
                      <a:srgbClr val="000000"/>
                    </a:solidFill>
                    <a:latin typeface="Calibri"/>
                  </a:defRPr>
                </a:pPr>
                <a:endParaRPr lang="en-US"/>
              </a:p>
            </c:rich>
          </c:tx>
          <c:overlay val="0"/>
        </c:title>
        <c:numFmt formatCode="m/d/yy" sourceLinked="1"/>
        <c:majorTickMark val="none"/>
        <c:minorTickMark val="none"/>
        <c:tickLblPos val="nextTo"/>
        <c:txPr>
          <a:bodyPr/>
          <a:lstStyle/>
          <a:p>
            <a:pPr lvl="0">
              <a:defRPr sz="1100" b="0" i="0">
                <a:solidFill>
                  <a:srgbClr val="595959"/>
                </a:solidFill>
                <a:latin typeface="+mn-lt"/>
              </a:defRPr>
            </a:pPr>
            <a:endParaRPr lang="en-US"/>
          </a:p>
        </c:txPr>
        <c:crossAx val="57447183"/>
        <c:crosses val="autoZero"/>
        <c:auto val="1"/>
        <c:lblOffset val="100"/>
        <c:baseTimeUnit val="months"/>
      </c:dateAx>
      <c:valAx>
        <c:axId val="57447183"/>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endParaRPr lang="en-US"/>
              </a:p>
            </c:rich>
          </c:tx>
          <c:overlay val="0"/>
        </c:title>
        <c:numFmt formatCode="&quot;$&quot;#,##0_);\(&quot;$&quot;#,##0\)" sourceLinked="1"/>
        <c:majorTickMark val="none"/>
        <c:minorTickMark val="none"/>
        <c:tickLblPos val="nextTo"/>
        <c:spPr>
          <a:ln/>
        </c:spPr>
        <c:txPr>
          <a:bodyPr/>
          <a:lstStyle/>
          <a:p>
            <a:pPr lvl="0">
              <a:defRPr sz="800" b="0" i="0">
                <a:solidFill>
                  <a:srgbClr val="595959"/>
                </a:solidFill>
                <a:latin typeface="+mn-lt"/>
              </a:defRPr>
            </a:pPr>
            <a:endParaRPr lang="en-US"/>
          </a:p>
        </c:txPr>
        <c:crossAx val="159018295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mn-lt"/>
              </a:defRPr>
            </a:pPr>
            <a:r>
              <a:rPr lang="en-US"/>
              <a:t>Bear Case Scenario Cash Balance</a:t>
            </a:r>
          </a:p>
        </c:rich>
      </c:tx>
      <c:overlay val="0"/>
    </c:title>
    <c:autoTitleDeleted val="0"/>
    <c:plotArea>
      <c:layout/>
      <c:lineChart>
        <c:grouping val="standard"/>
        <c:varyColors val="0"/>
        <c:ser>
          <c:idx val="0"/>
          <c:order val="0"/>
          <c:spPr>
            <a:ln w="28575" cmpd="sng">
              <a:solidFill>
                <a:srgbClr val="FF0000"/>
              </a:solidFill>
              <a:prstDash val="solid"/>
            </a:ln>
          </c:spPr>
          <c:marker>
            <c:symbol val="none"/>
          </c:marker>
          <c:cat>
            <c:numRef>
              <c:f>Model!$D$4:$BS$4</c:f>
              <c:numCache>
                <c:formatCode>m/d/yy</c:formatCode>
                <c:ptCount val="68"/>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pt idx="22">
                  <c:v>46295</c:v>
                </c:pt>
                <c:pt idx="23">
                  <c:v>46387</c:v>
                </c:pt>
                <c:pt idx="24">
                  <c:v>46477</c:v>
                </c:pt>
                <c:pt idx="25">
                  <c:v>46568</c:v>
                </c:pt>
                <c:pt idx="26">
                  <c:v>46660</c:v>
                </c:pt>
                <c:pt idx="27">
                  <c:v>46752</c:v>
                </c:pt>
                <c:pt idx="28">
                  <c:v>46843</c:v>
                </c:pt>
                <c:pt idx="29">
                  <c:v>46934</c:v>
                </c:pt>
                <c:pt idx="30">
                  <c:v>47026</c:v>
                </c:pt>
                <c:pt idx="31">
                  <c:v>47118</c:v>
                </c:pt>
                <c:pt idx="32">
                  <c:v>47208</c:v>
                </c:pt>
                <c:pt idx="33">
                  <c:v>47299</c:v>
                </c:pt>
                <c:pt idx="34">
                  <c:v>47391</c:v>
                </c:pt>
                <c:pt idx="35">
                  <c:v>47483</c:v>
                </c:pt>
                <c:pt idx="36">
                  <c:v>47573</c:v>
                </c:pt>
                <c:pt idx="37">
                  <c:v>47664</c:v>
                </c:pt>
                <c:pt idx="38">
                  <c:v>47756</c:v>
                </c:pt>
                <c:pt idx="39">
                  <c:v>47848</c:v>
                </c:pt>
                <c:pt idx="40">
                  <c:v>47938</c:v>
                </c:pt>
                <c:pt idx="41">
                  <c:v>48029</c:v>
                </c:pt>
                <c:pt idx="42">
                  <c:v>48121</c:v>
                </c:pt>
                <c:pt idx="43">
                  <c:v>48213</c:v>
                </c:pt>
              </c:numCache>
            </c:numRef>
          </c:cat>
          <c:val>
            <c:numRef>
              <c:f>Model!$D$173:$BS$173</c:f>
              <c:numCache>
                <c:formatCode>"$"#,##0_);\("$"#,##0\)</c:formatCode>
                <c:ptCount val="68"/>
                <c:pt idx="0">
                  <c:v>96850000</c:v>
                </c:pt>
                <c:pt idx="1">
                  <c:v>92450000</c:v>
                </c:pt>
                <c:pt idx="2">
                  <c:v>89300000</c:v>
                </c:pt>
                <c:pt idx="3">
                  <c:v>84900000</c:v>
                </c:pt>
                <c:pt idx="4">
                  <c:v>81750000</c:v>
                </c:pt>
                <c:pt idx="5">
                  <c:v>77125000</c:v>
                </c:pt>
                <c:pt idx="6">
                  <c:v>69575000</c:v>
                </c:pt>
                <c:pt idx="7">
                  <c:v>64325000</c:v>
                </c:pt>
                <c:pt idx="8">
                  <c:v>56775000</c:v>
                </c:pt>
                <c:pt idx="9">
                  <c:v>49225000</c:v>
                </c:pt>
                <c:pt idx="10">
                  <c:v>43975000</c:v>
                </c:pt>
                <c:pt idx="11">
                  <c:v>35675000</c:v>
                </c:pt>
                <c:pt idx="12">
                  <c:v>28925000</c:v>
                </c:pt>
                <c:pt idx="13">
                  <c:v>20387500</c:v>
                </c:pt>
                <c:pt idx="14">
                  <c:v>15112500</c:v>
                </c:pt>
                <c:pt idx="15">
                  <c:v>10150000</c:v>
                </c:pt>
                <c:pt idx="16">
                  <c:v>4150000</c:v>
                </c:pt>
                <c:pt idx="17">
                  <c:v>-37500</c:v>
                </c:pt>
                <c:pt idx="18">
                  <c:v>-5900000</c:v>
                </c:pt>
                <c:pt idx="19">
                  <c:v>-8900000</c:v>
                </c:pt>
                <c:pt idx="20">
                  <c:v>-11700000</c:v>
                </c:pt>
                <c:pt idx="21">
                  <c:v>-14487500</c:v>
                </c:pt>
                <c:pt idx="22">
                  <c:v>-16512500</c:v>
                </c:pt>
                <c:pt idx="23">
                  <c:v>-19275000</c:v>
                </c:pt>
                <c:pt idx="24">
                  <c:v>-21275000</c:v>
                </c:pt>
                <c:pt idx="25">
                  <c:v>-22512500</c:v>
                </c:pt>
                <c:pt idx="26">
                  <c:v>-22987500</c:v>
                </c:pt>
                <c:pt idx="27">
                  <c:v>-23450000</c:v>
                </c:pt>
                <c:pt idx="28">
                  <c:v>-22565625</c:v>
                </c:pt>
                <c:pt idx="29">
                  <c:v>-21668750</c:v>
                </c:pt>
                <c:pt idx="30">
                  <c:v>-20759375</c:v>
                </c:pt>
                <c:pt idx="31">
                  <c:v>-19837500</c:v>
                </c:pt>
                <c:pt idx="32">
                  <c:v>-17035000</c:v>
                </c:pt>
                <c:pt idx="33">
                  <c:v>-14232500</c:v>
                </c:pt>
                <c:pt idx="34">
                  <c:v>-11430000</c:v>
                </c:pt>
                <c:pt idx="35">
                  <c:v>-8627500</c:v>
                </c:pt>
                <c:pt idx="36">
                  <c:v>-3690000</c:v>
                </c:pt>
                <c:pt idx="37">
                  <c:v>1247500</c:v>
                </c:pt>
                <c:pt idx="38">
                  <c:v>6185000</c:v>
                </c:pt>
                <c:pt idx="39">
                  <c:v>11122500</c:v>
                </c:pt>
                <c:pt idx="40">
                  <c:v>17394375</c:v>
                </c:pt>
                <c:pt idx="41">
                  <c:v>23666250</c:v>
                </c:pt>
                <c:pt idx="42">
                  <c:v>29938125</c:v>
                </c:pt>
                <c:pt idx="43">
                  <c:v>36210000</c:v>
                </c:pt>
              </c:numCache>
            </c:numRef>
          </c:val>
          <c:smooth val="0"/>
          <c:extLst>
            <c:ext xmlns:c16="http://schemas.microsoft.com/office/drawing/2014/chart" uri="{C3380CC4-5D6E-409C-BE32-E72D297353CC}">
              <c16:uniqueId val="{00000000-97EB-FA49-877B-9CEDE66DDF25}"/>
            </c:ext>
          </c:extLst>
        </c:ser>
        <c:dLbls>
          <c:showLegendKey val="0"/>
          <c:showVal val="0"/>
          <c:showCatName val="0"/>
          <c:showSerName val="0"/>
          <c:showPercent val="0"/>
          <c:showBubbleSize val="0"/>
        </c:dLbls>
        <c:smooth val="0"/>
        <c:axId val="41048125"/>
        <c:axId val="1623745763"/>
      </c:lineChart>
      <c:dateAx>
        <c:axId val="41048125"/>
        <c:scaling>
          <c:orientation val="minMax"/>
        </c:scaling>
        <c:delete val="0"/>
        <c:axPos val="b"/>
        <c:title>
          <c:tx>
            <c:rich>
              <a:bodyPr/>
              <a:lstStyle/>
              <a:p>
                <a:pPr lvl="0">
                  <a:defRPr b="0">
                    <a:solidFill>
                      <a:srgbClr val="000000"/>
                    </a:solidFill>
                    <a:latin typeface="Calibri"/>
                  </a:defRPr>
                </a:pPr>
                <a:endParaRPr lang="en-US"/>
              </a:p>
            </c:rich>
          </c:tx>
          <c:overlay val="0"/>
        </c:title>
        <c:numFmt formatCode="m/d/yy" sourceLinked="1"/>
        <c:majorTickMark val="none"/>
        <c:minorTickMark val="none"/>
        <c:tickLblPos val="nextTo"/>
        <c:txPr>
          <a:bodyPr/>
          <a:lstStyle/>
          <a:p>
            <a:pPr lvl="0">
              <a:defRPr sz="900" b="0" i="0">
                <a:solidFill>
                  <a:srgbClr val="595959"/>
                </a:solidFill>
                <a:latin typeface="+mn-lt"/>
              </a:defRPr>
            </a:pPr>
            <a:endParaRPr lang="en-US"/>
          </a:p>
        </c:txPr>
        <c:crossAx val="1623745763"/>
        <c:crosses val="autoZero"/>
        <c:auto val="1"/>
        <c:lblOffset val="100"/>
        <c:baseTimeUnit val="months"/>
      </c:dateAx>
      <c:valAx>
        <c:axId val="1623745763"/>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endParaRPr lang="en-US"/>
              </a:p>
            </c:rich>
          </c:tx>
          <c:overlay val="0"/>
        </c:title>
        <c:numFmt formatCode="&quot;$&quot;#,##0_);\(&quot;$&quot;#,##0\)" sourceLinked="1"/>
        <c:majorTickMark val="none"/>
        <c:minorTickMark val="none"/>
        <c:tickLblPos val="nextTo"/>
        <c:spPr>
          <a:ln/>
        </c:spPr>
        <c:txPr>
          <a:bodyPr/>
          <a:lstStyle/>
          <a:p>
            <a:pPr lvl="0">
              <a:defRPr sz="900" b="0" i="0">
                <a:solidFill>
                  <a:srgbClr val="595959"/>
                </a:solidFill>
                <a:latin typeface="+mn-lt"/>
              </a:defRPr>
            </a:pPr>
            <a:endParaRPr lang="en-US"/>
          </a:p>
        </c:txPr>
        <c:crossAx val="41048125"/>
        <c:crosses val="autoZero"/>
        <c:crossBetween val="between"/>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mn-lt"/>
              </a:defRPr>
            </a:pPr>
            <a:r>
              <a:rPr lang="en-US"/>
              <a:t>Base Case Scenario Cash Balance</a:t>
            </a:r>
          </a:p>
        </c:rich>
      </c:tx>
      <c:overlay val="0"/>
    </c:title>
    <c:autoTitleDeleted val="0"/>
    <c:plotArea>
      <c:layout/>
      <c:lineChart>
        <c:grouping val="standard"/>
        <c:varyColors val="0"/>
        <c:ser>
          <c:idx val="0"/>
          <c:order val="0"/>
          <c:spPr>
            <a:ln w="28575" cmpd="sng">
              <a:solidFill>
                <a:schemeClr val="accent1"/>
              </a:solidFill>
              <a:prstDash val="solid"/>
            </a:ln>
          </c:spPr>
          <c:marker>
            <c:symbol val="none"/>
          </c:marker>
          <c:cat>
            <c:numRef>
              <c:f>Model!$D$4:$BS$4</c:f>
              <c:numCache>
                <c:formatCode>m/d/yy</c:formatCode>
                <c:ptCount val="68"/>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pt idx="22">
                  <c:v>46295</c:v>
                </c:pt>
                <c:pt idx="23">
                  <c:v>46387</c:v>
                </c:pt>
                <c:pt idx="24">
                  <c:v>46477</c:v>
                </c:pt>
                <c:pt idx="25">
                  <c:v>46568</c:v>
                </c:pt>
                <c:pt idx="26">
                  <c:v>46660</c:v>
                </c:pt>
                <c:pt idx="27">
                  <c:v>46752</c:v>
                </c:pt>
                <c:pt idx="28">
                  <c:v>46843</c:v>
                </c:pt>
                <c:pt idx="29">
                  <c:v>46934</c:v>
                </c:pt>
                <c:pt idx="30">
                  <c:v>47026</c:v>
                </c:pt>
                <c:pt idx="31">
                  <c:v>47118</c:v>
                </c:pt>
                <c:pt idx="32">
                  <c:v>47208</c:v>
                </c:pt>
                <c:pt idx="33">
                  <c:v>47299</c:v>
                </c:pt>
                <c:pt idx="34">
                  <c:v>47391</c:v>
                </c:pt>
                <c:pt idx="35">
                  <c:v>47483</c:v>
                </c:pt>
                <c:pt idx="36">
                  <c:v>47573</c:v>
                </c:pt>
                <c:pt idx="37">
                  <c:v>47664</c:v>
                </c:pt>
                <c:pt idx="38">
                  <c:v>47756</c:v>
                </c:pt>
                <c:pt idx="39">
                  <c:v>47848</c:v>
                </c:pt>
                <c:pt idx="40">
                  <c:v>47938</c:v>
                </c:pt>
                <c:pt idx="41">
                  <c:v>48029</c:v>
                </c:pt>
                <c:pt idx="42">
                  <c:v>48121</c:v>
                </c:pt>
                <c:pt idx="43">
                  <c:v>48213</c:v>
                </c:pt>
              </c:numCache>
            </c:numRef>
          </c:cat>
          <c:val>
            <c:numRef>
              <c:f>Model!$D$200:$BS$200</c:f>
              <c:numCache>
                <c:formatCode>"$"#,##0_);\("$"#,##0\)</c:formatCode>
                <c:ptCount val="68"/>
                <c:pt idx="0">
                  <c:v>96850000</c:v>
                </c:pt>
                <c:pt idx="1">
                  <c:v>92450000</c:v>
                </c:pt>
                <c:pt idx="2">
                  <c:v>89300000</c:v>
                </c:pt>
                <c:pt idx="3">
                  <c:v>84900000</c:v>
                </c:pt>
                <c:pt idx="4">
                  <c:v>81750000</c:v>
                </c:pt>
                <c:pt idx="5">
                  <c:v>77125000</c:v>
                </c:pt>
                <c:pt idx="6">
                  <c:v>69575000</c:v>
                </c:pt>
                <c:pt idx="7">
                  <c:v>64325000</c:v>
                </c:pt>
                <c:pt idx="8">
                  <c:v>56775000</c:v>
                </c:pt>
                <c:pt idx="9">
                  <c:v>49225000</c:v>
                </c:pt>
                <c:pt idx="10">
                  <c:v>43975000</c:v>
                </c:pt>
                <c:pt idx="11">
                  <c:v>35675000</c:v>
                </c:pt>
                <c:pt idx="12">
                  <c:v>29238125</c:v>
                </c:pt>
                <c:pt idx="13">
                  <c:v>21053250</c:v>
                </c:pt>
                <c:pt idx="14">
                  <c:v>16154125</c:v>
                </c:pt>
                <c:pt idx="15">
                  <c:v>11589250</c:v>
                </c:pt>
                <c:pt idx="16">
                  <c:v>6863125</c:v>
                </c:pt>
                <c:pt idx="17">
                  <c:v>4003500</c:v>
                </c:pt>
                <c:pt idx="18">
                  <c:v>-451812.5</c:v>
                </c:pt>
                <c:pt idx="19">
                  <c:v>-2008062.5</c:v>
                </c:pt>
                <c:pt idx="20">
                  <c:v>-2838062.5</c:v>
                </c:pt>
                <c:pt idx="21">
                  <c:v>-3610562.5</c:v>
                </c:pt>
                <c:pt idx="22">
                  <c:v>-3590562.5</c:v>
                </c:pt>
                <c:pt idx="23">
                  <c:v>-4263062.5</c:v>
                </c:pt>
                <c:pt idx="24">
                  <c:v>-3613062.5</c:v>
                </c:pt>
                <c:pt idx="25">
                  <c:v>-2181812.5</c:v>
                </c:pt>
                <c:pt idx="26">
                  <c:v>11937.5</c:v>
                </c:pt>
                <c:pt idx="27">
                  <c:v>2218187.5</c:v>
                </c:pt>
                <c:pt idx="28">
                  <c:v>8440062.5</c:v>
                </c:pt>
                <c:pt idx="29">
                  <c:v>14674437.5</c:v>
                </c:pt>
                <c:pt idx="30">
                  <c:v>20921312.5</c:v>
                </c:pt>
                <c:pt idx="31">
                  <c:v>27180687.5</c:v>
                </c:pt>
                <c:pt idx="32">
                  <c:v>40124437.5</c:v>
                </c:pt>
                <c:pt idx="33">
                  <c:v>53068187.5</c:v>
                </c:pt>
                <c:pt idx="34">
                  <c:v>66011937.5</c:v>
                </c:pt>
                <c:pt idx="35">
                  <c:v>78955687.5</c:v>
                </c:pt>
                <c:pt idx="36">
                  <c:v>105243187.5</c:v>
                </c:pt>
                <c:pt idx="37">
                  <c:v>131530687.5</c:v>
                </c:pt>
                <c:pt idx="38">
                  <c:v>157818187.5</c:v>
                </c:pt>
                <c:pt idx="39">
                  <c:v>184105687.5</c:v>
                </c:pt>
                <c:pt idx="40">
                  <c:v>197049437.5</c:v>
                </c:pt>
                <c:pt idx="41">
                  <c:v>209993187.5</c:v>
                </c:pt>
                <c:pt idx="42">
                  <c:v>222936937.5</c:v>
                </c:pt>
                <c:pt idx="43">
                  <c:v>235880687.5</c:v>
                </c:pt>
              </c:numCache>
            </c:numRef>
          </c:val>
          <c:smooth val="0"/>
          <c:extLst>
            <c:ext xmlns:c16="http://schemas.microsoft.com/office/drawing/2014/chart" uri="{C3380CC4-5D6E-409C-BE32-E72D297353CC}">
              <c16:uniqueId val="{00000000-19DA-FC43-A5C2-14A9E3DC829F}"/>
            </c:ext>
          </c:extLst>
        </c:ser>
        <c:dLbls>
          <c:showLegendKey val="0"/>
          <c:showVal val="0"/>
          <c:showCatName val="0"/>
          <c:showSerName val="0"/>
          <c:showPercent val="0"/>
          <c:showBubbleSize val="0"/>
        </c:dLbls>
        <c:smooth val="0"/>
        <c:axId val="1648355959"/>
        <c:axId val="1270585532"/>
      </c:lineChart>
      <c:dateAx>
        <c:axId val="1648355959"/>
        <c:scaling>
          <c:orientation val="minMax"/>
        </c:scaling>
        <c:delete val="0"/>
        <c:axPos val="b"/>
        <c:title>
          <c:tx>
            <c:rich>
              <a:bodyPr/>
              <a:lstStyle/>
              <a:p>
                <a:pPr lvl="0">
                  <a:defRPr b="0">
                    <a:solidFill>
                      <a:srgbClr val="000000"/>
                    </a:solidFill>
                    <a:latin typeface="Calibri"/>
                  </a:defRPr>
                </a:pPr>
                <a:endParaRPr lang="en-US"/>
              </a:p>
            </c:rich>
          </c:tx>
          <c:overlay val="0"/>
        </c:title>
        <c:numFmt formatCode="m/d/yy" sourceLinked="1"/>
        <c:majorTickMark val="none"/>
        <c:minorTickMark val="none"/>
        <c:tickLblPos val="nextTo"/>
        <c:txPr>
          <a:bodyPr/>
          <a:lstStyle/>
          <a:p>
            <a:pPr lvl="0">
              <a:defRPr sz="900" b="0" i="0">
                <a:solidFill>
                  <a:srgbClr val="595959"/>
                </a:solidFill>
                <a:latin typeface="+mn-lt"/>
              </a:defRPr>
            </a:pPr>
            <a:endParaRPr lang="en-US"/>
          </a:p>
        </c:txPr>
        <c:crossAx val="1270585532"/>
        <c:crosses val="autoZero"/>
        <c:auto val="1"/>
        <c:lblOffset val="100"/>
        <c:baseTimeUnit val="months"/>
      </c:dateAx>
      <c:valAx>
        <c:axId val="1270585532"/>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endParaRPr lang="en-US"/>
              </a:p>
            </c:rich>
          </c:tx>
          <c:overlay val="0"/>
        </c:title>
        <c:numFmt formatCode="&quot;$&quot;#,##0_);\(&quot;$&quot;#,##0\)" sourceLinked="1"/>
        <c:majorTickMark val="none"/>
        <c:minorTickMark val="none"/>
        <c:tickLblPos val="nextTo"/>
        <c:spPr>
          <a:ln/>
        </c:spPr>
        <c:txPr>
          <a:bodyPr/>
          <a:lstStyle/>
          <a:p>
            <a:pPr lvl="0">
              <a:defRPr sz="900" b="0" i="0">
                <a:solidFill>
                  <a:srgbClr val="595959"/>
                </a:solidFill>
                <a:latin typeface="+mn-lt"/>
              </a:defRPr>
            </a:pPr>
            <a:endParaRPr lang="en-US"/>
          </a:p>
        </c:txPr>
        <c:crossAx val="1648355959"/>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mn-lt"/>
              </a:defRPr>
            </a:pPr>
            <a:r>
              <a:rPr lang="en-US"/>
              <a:t>Bull Case Scenario Cash Balance</a:t>
            </a:r>
          </a:p>
        </c:rich>
      </c:tx>
      <c:overlay val="0"/>
    </c:title>
    <c:autoTitleDeleted val="0"/>
    <c:plotArea>
      <c:layout/>
      <c:lineChart>
        <c:grouping val="standard"/>
        <c:varyColors val="0"/>
        <c:ser>
          <c:idx val="0"/>
          <c:order val="0"/>
          <c:spPr>
            <a:ln w="28575" cmpd="sng">
              <a:solidFill>
                <a:srgbClr val="007C00"/>
              </a:solidFill>
              <a:prstDash val="solid"/>
            </a:ln>
          </c:spPr>
          <c:marker>
            <c:symbol val="none"/>
          </c:marker>
          <c:cat>
            <c:numRef>
              <c:f>Model!$D$4:$BS$4</c:f>
              <c:numCache>
                <c:formatCode>m/d/yy</c:formatCode>
                <c:ptCount val="68"/>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pt idx="22">
                  <c:v>46295</c:v>
                </c:pt>
                <c:pt idx="23">
                  <c:v>46387</c:v>
                </c:pt>
                <c:pt idx="24">
                  <c:v>46477</c:v>
                </c:pt>
                <c:pt idx="25">
                  <c:v>46568</c:v>
                </c:pt>
                <c:pt idx="26">
                  <c:v>46660</c:v>
                </c:pt>
                <c:pt idx="27">
                  <c:v>46752</c:v>
                </c:pt>
                <c:pt idx="28">
                  <c:v>46843</c:v>
                </c:pt>
                <c:pt idx="29">
                  <c:v>46934</c:v>
                </c:pt>
                <c:pt idx="30">
                  <c:v>47026</c:v>
                </c:pt>
                <c:pt idx="31">
                  <c:v>47118</c:v>
                </c:pt>
                <c:pt idx="32">
                  <c:v>47208</c:v>
                </c:pt>
                <c:pt idx="33">
                  <c:v>47299</c:v>
                </c:pt>
                <c:pt idx="34">
                  <c:v>47391</c:v>
                </c:pt>
                <c:pt idx="35">
                  <c:v>47483</c:v>
                </c:pt>
                <c:pt idx="36">
                  <c:v>47573</c:v>
                </c:pt>
                <c:pt idx="37">
                  <c:v>47664</c:v>
                </c:pt>
                <c:pt idx="38">
                  <c:v>47756</c:v>
                </c:pt>
                <c:pt idx="39">
                  <c:v>47848</c:v>
                </c:pt>
                <c:pt idx="40">
                  <c:v>47938</c:v>
                </c:pt>
                <c:pt idx="41">
                  <c:v>48029</c:v>
                </c:pt>
                <c:pt idx="42">
                  <c:v>48121</c:v>
                </c:pt>
                <c:pt idx="43">
                  <c:v>48213</c:v>
                </c:pt>
              </c:numCache>
            </c:numRef>
          </c:cat>
          <c:val>
            <c:numRef>
              <c:f>Model!$D$227:$BS$227</c:f>
              <c:numCache>
                <c:formatCode>"$"#,##0_);\("$"#,##0\)</c:formatCode>
                <c:ptCount val="68"/>
                <c:pt idx="0">
                  <c:v>96850000</c:v>
                </c:pt>
                <c:pt idx="1">
                  <c:v>92450000</c:v>
                </c:pt>
                <c:pt idx="2">
                  <c:v>89300000</c:v>
                </c:pt>
                <c:pt idx="3">
                  <c:v>84900000</c:v>
                </c:pt>
                <c:pt idx="4">
                  <c:v>81750000</c:v>
                </c:pt>
                <c:pt idx="5">
                  <c:v>77125000</c:v>
                </c:pt>
                <c:pt idx="6">
                  <c:v>69575000</c:v>
                </c:pt>
                <c:pt idx="7">
                  <c:v>64325000</c:v>
                </c:pt>
                <c:pt idx="8">
                  <c:v>56868437.5</c:v>
                </c:pt>
                <c:pt idx="9">
                  <c:v>49429125</c:v>
                </c:pt>
                <c:pt idx="10">
                  <c:v>44301312.5</c:v>
                </c:pt>
                <c:pt idx="11">
                  <c:v>36142625</c:v>
                </c:pt>
                <c:pt idx="12">
                  <c:v>30488562.5</c:v>
                </c:pt>
                <c:pt idx="13">
                  <c:v>23185250</c:v>
                </c:pt>
                <c:pt idx="14">
                  <c:v>19225812.5</c:v>
                </c:pt>
                <c:pt idx="15">
                  <c:v>15655000</c:v>
                </c:pt>
                <c:pt idx="16">
                  <c:v>12839687.5</c:v>
                </c:pt>
                <c:pt idx="17">
                  <c:v>11971875</c:v>
                </c:pt>
                <c:pt idx="18">
                  <c:v>9627343.75</c:v>
                </c:pt>
                <c:pt idx="19">
                  <c:v>10236718.75</c:v>
                </c:pt>
                <c:pt idx="20">
                  <c:v>12361718.75</c:v>
                </c:pt>
                <c:pt idx="21">
                  <c:v>14611718.75</c:v>
                </c:pt>
                <c:pt idx="22">
                  <c:v>17699218.75</c:v>
                </c:pt>
                <c:pt idx="23">
                  <c:v>20161718.75</c:v>
                </c:pt>
                <c:pt idx="24">
                  <c:v>24786718.75</c:v>
                </c:pt>
                <c:pt idx="25">
                  <c:v>30221093.75</c:v>
                </c:pt>
                <c:pt idx="26">
                  <c:v>36417968.75</c:v>
                </c:pt>
                <c:pt idx="27">
                  <c:v>42627343.75</c:v>
                </c:pt>
                <c:pt idx="28">
                  <c:v>51517968.75</c:v>
                </c:pt>
                <c:pt idx="29">
                  <c:v>60421093.75</c:v>
                </c:pt>
                <c:pt idx="30">
                  <c:v>69336718.75</c:v>
                </c:pt>
                <c:pt idx="31">
                  <c:v>78264843.75</c:v>
                </c:pt>
                <c:pt idx="32">
                  <c:v>104552343.75</c:v>
                </c:pt>
                <c:pt idx="33">
                  <c:v>130839843.75</c:v>
                </c:pt>
                <c:pt idx="34">
                  <c:v>157127343.75</c:v>
                </c:pt>
                <c:pt idx="35">
                  <c:v>183414843.75</c:v>
                </c:pt>
                <c:pt idx="36">
                  <c:v>223046093.75</c:v>
                </c:pt>
                <c:pt idx="37">
                  <c:v>262677343.75</c:v>
                </c:pt>
                <c:pt idx="38">
                  <c:v>302308593.75</c:v>
                </c:pt>
                <c:pt idx="39">
                  <c:v>341939843.75</c:v>
                </c:pt>
                <c:pt idx="40">
                  <c:v>368227343.75</c:v>
                </c:pt>
                <c:pt idx="41">
                  <c:v>394514843.75</c:v>
                </c:pt>
                <c:pt idx="42">
                  <c:v>420802343.75</c:v>
                </c:pt>
                <c:pt idx="43">
                  <c:v>447089843.75</c:v>
                </c:pt>
              </c:numCache>
            </c:numRef>
          </c:val>
          <c:smooth val="0"/>
          <c:extLst>
            <c:ext xmlns:c16="http://schemas.microsoft.com/office/drawing/2014/chart" uri="{C3380CC4-5D6E-409C-BE32-E72D297353CC}">
              <c16:uniqueId val="{00000000-2258-CC4F-B903-A69CE57883B5}"/>
            </c:ext>
          </c:extLst>
        </c:ser>
        <c:dLbls>
          <c:showLegendKey val="0"/>
          <c:showVal val="0"/>
          <c:showCatName val="0"/>
          <c:showSerName val="0"/>
          <c:showPercent val="0"/>
          <c:showBubbleSize val="0"/>
        </c:dLbls>
        <c:smooth val="0"/>
        <c:axId val="697591592"/>
        <c:axId val="699254834"/>
      </c:lineChart>
      <c:dateAx>
        <c:axId val="697591592"/>
        <c:scaling>
          <c:orientation val="minMax"/>
        </c:scaling>
        <c:delete val="0"/>
        <c:axPos val="b"/>
        <c:title>
          <c:tx>
            <c:rich>
              <a:bodyPr/>
              <a:lstStyle/>
              <a:p>
                <a:pPr lvl="0">
                  <a:defRPr b="0">
                    <a:solidFill>
                      <a:srgbClr val="000000"/>
                    </a:solidFill>
                    <a:latin typeface="Calibri"/>
                  </a:defRPr>
                </a:pPr>
                <a:endParaRPr lang="en-US"/>
              </a:p>
            </c:rich>
          </c:tx>
          <c:overlay val="0"/>
        </c:title>
        <c:numFmt formatCode="m/d/yy" sourceLinked="1"/>
        <c:majorTickMark val="none"/>
        <c:minorTickMark val="none"/>
        <c:tickLblPos val="nextTo"/>
        <c:txPr>
          <a:bodyPr/>
          <a:lstStyle/>
          <a:p>
            <a:pPr lvl="0">
              <a:defRPr sz="900" b="0" i="0">
                <a:solidFill>
                  <a:srgbClr val="595959"/>
                </a:solidFill>
                <a:latin typeface="+mn-lt"/>
              </a:defRPr>
            </a:pPr>
            <a:endParaRPr lang="en-US"/>
          </a:p>
        </c:txPr>
        <c:crossAx val="699254834"/>
        <c:crosses val="autoZero"/>
        <c:auto val="1"/>
        <c:lblOffset val="100"/>
        <c:baseTimeUnit val="months"/>
      </c:dateAx>
      <c:valAx>
        <c:axId val="699254834"/>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endParaRPr lang="en-US"/>
              </a:p>
            </c:rich>
          </c:tx>
          <c:overlay val="0"/>
        </c:title>
        <c:numFmt formatCode="&quot;$&quot;#,##0_);\(&quot;$&quot;#,##0\)" sourceLinked="1"/>
        <c:majorTickMark val="none"/>
        <c:minorTickMark val="none"/>
        <c:tickLblPos val="nextTo"/>
        <c:spPr>
          <a:ln/>
        </c:spPr>
        <c:txPr>
          <a:bodyPr/>
          <a:lstStyle/>
          <a:p>
            <a:pPr lvl="0">
              <a:defRPr sz="900" b="0" i="0">
                <a:solidFill>
                  <a:srgbClr val="595959"/>
                </a:solidFill>
                <a:latin typeface="+mn-lt"/>
              </a:defRPr>
            </a:pPr>
            <a:endParaRPr lang="en-US"/>
          </a:p>
        </c:txPr>
        <c:crossAx val="697591592"/>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152400</xdr:colOff>
      <xdr:row>43</xdr:row>
      <xdr:rowOff>38100</xdr:rowOff>
    </xdr:from>
    <xdr:ext cx="7724775" cy="35814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1038225</xdr:colOff>
      <xdr:row>43</xdr:row>
      <xdr:rowOff>38100</xdr:rowOff>
    </xdr:from>
    <xdr:ext cx="7734300" cy="358140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74</xdr:row>
      <xdr:rowOff>190500</xdr:rowOff>
    </xdr:from>
    <xdr:ext cx="6991350" cy="3857625"/>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600075</xdr:colOff>
      <xdr:row>74</xdr:row>
      <xdr:rowOff>190500</xdr:rowOff>
    </xdr:from>
    <xdr:ext cx="7019925" cy="3857625"/>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13</xdr:col>
      <xdr:colOff>781050</xdr:colOff>
      <xdr:row>74</xdr:row>
      <xdr:rowOff>190500</xdr:rowOff>
    </xdr:from>
    <xdr:ext cx="7334250" cy="3857625"/>
    <xdr:graphicFrame macro="">
      <xdr:nvGraphicFramePr>
        <xdr:cNvPr id="6" name="Chart 5" titl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0"/>
  <sheetViews>
    <sheetView showGridLines="0" tabSelected="1" topLeftCell="B1" workbookViewId="0">
      <selection activeCell="H38" sqref="H38"/>
    </sheetView>
  </sheetViews>
  <sheetFormatPr baseColWidth="10" defaultColWidth="11.28515625" defaultRowHeight="15" customHeight="1" x14ac:dyDescent="0.2"/>
  <cols>
    <col min="1" max="1" width="1.140625" customWidth="1"/>
    <col min="2" max="2" width="4.140625" customWidth="1"/>
    <col min="3" max="3" width="25.7109375" customWidth="1"/>
    <col min="4" max="4" width="15.28515625" customWidth="1"/>
    <col min="5" max="5" width="15.140625" customWidth="1"/>
    <col min="6" max="6" width="15.28515625" customWidth="1"/>
    <col min="7" max="7" width="14.7109375" customWidth="1"/>
    <col min="8" max="8" width="14.28515625" customWidth="1"/>
    <col min="9" max="9" width="13.42578125" customWidth="1"/>
    <col min="10" max="10" width="15.7109375" customWidth="1"/>
    <col min="11" max="11" width="16.7109375" customWidth="1"/>
    <col min="12" max="12" width="16" customWidth="1"/>
    <col min="13" max="14" width="15.7109375" customWidth="1"/>
    <col min="15" max="16" width="15.28515625" customWidth="1"/>
    <col min="17" max="17" width="15.140625" customWidth="1"/>
    <col min="18" max="26" width="10.5703125" customWidth="1"/>
  </cols>
  <sheetData>
    <row r="1" spans="1:26" ht="55.5" customHeight="1" x14ac:dyDescent="0.5">
      <c r="A1" s="3"/>
      <c r="B1" s="100" t="str">
        <f>D9</f>
        <v>Fund Name</v>
      </c>
      <c r="C1" s="101"/>
      <c r="K1" s="39" t="s">
        <v>32</v>
      </c>
      <c r="L1" s="3"/>
      <c r="N1" s="39"/>
      <c r="O1" s="3"/>
    </row>
    <row r="2" spans="1:26" ht="19.5" customHeight="1" x14ac:dyDescent="0.25">
      <c r="A2" s="3"/>
      <c r="B2" s="505" t="s">
        <v>33</v>
      </c>
      <c r="C2" s="58"/>
      <c r="K2" s="103" t="s">
        <v>34</v>
      </c>
      <c r="L2" s="104"/>
      <c r="N2" s="39"/>
      <c r="O2" s="3"/>
    </row>
    <row r="3" spans="1:26" ht="15.75" customHeight="1" x14ac:dyDescent="0.2">
      <c r="A3" s="3"/>
      <c r="K3" s="20" t="s">
        <v>35</v>
      </c>
      <c r="L3" s="105"/>
      <c r="N3" s="39"/>
      <c r="O3" s="3"/>
    </row>
    <row r="4" spans="1:26" ht="15.75" customHeight="1" x14ac:dyDescent="0.2">
      <c r="A4" s="3"/>
      <c r="K4" s="106" t="s">
        <v>36</v>
      </c>
      <c r="L4" s="105"/>
      <c r="N4" s="39"/>
      <c r="O4" s="3"/>
    </row>
    <row r="5" spans="1:26" ht="15.75" customHeight="1" x14ac:dyDescent="0.2">
      <c r="A5" s="3"/>
      <c r="K5" s="107" t="s">
        <v>37</v>
      </c>
      <c r="L5" s="108"/>
      <c r="N5" s="39"/>
      <c r="O5" s="3"/>
    </row>
    <row r="6" spans="1:26" ht="15.75" customHeight="1" x14ac:dyDescent="0.25">
      <c r="A6" s="83" t="s">
        <v>30</v>
      </c>
      <c r="B6" s="58" t="s">
        <v>38</v>
      </c>
      <c r="C6" s="58"/>
      <c r="N6" s="39"/>
      <c r="O6" s="3"/>
    </row>
    <row r="7" spans="1:26" ht="3" customHeight="1" x14ac:dyDescent="0.2">
      <c r="A7" s="109"/>
      <c r="B7" s="109"/>
      <c r="C7" s="109"/>
      <c r="D7" s="109"/>
      <c r="E7" s="109"/>
      <c r="F7" s="109"/>
      <c r="G7" s="109"/>
      <c r="H7" s="109"/>
      <c r="I7" s="109"/>
      <c r="J7" s="109"/>
      <c r="K7" s="109"/>
      <c r="L7" s="109"/>
      <c r="M7" s="109"/>
      <c r="N7" s="109"/>
      <c r="O7" s="109"/>
      <c r="P7" s="109"/>
      <c r="Q7" s="109"/>
      <c r="R7" s="109"/>
      <c r="S7" s="109"/>
      <c r="T7" s="109"/>
      <c r="U7" s="109"/>
      <c r="V7" s="109"/>
    </row>
    <row r="8" spans="1:26" ht="7.5" customHeight="1" x14ac:dyDescent="0.2">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2">
      <c r="A9" s="3"/>
      <c r="C9" s="8" t="s">
        <v>39</v>
      </c>
      <c r="D9" s="110" t="s">
        <v>40</v>
      </c>
      <c r="E9" s="3"/>
      <c r="F9" s="495" t="s">
        <v>41</v>
      </c>
      <c r="G9" s="497">
        <f>D102</f>
        <v>35</v>
      </c>
      <c r="O9" s="3"/>
      <c r="P9" s="3"/>
      <c r="Q9" s="3"/>
      <c r="R9" s="3"/>
      <c r="S9" s="3"/>
      <c r="T9" s="3"/>
      <c r="U9" s="3"/>
      <c r="V9" s="3"/>
    </row>
    <row r="10" spans="1:26" ht="15.75" customHeight="1" x14ac:dyDescent="0.2">
      <c r="A10" s="3"/>
      <c r="C10" s="48" t="s">
        <v>3</v>
      </c>
      <c r="D10" s="111">
        <v>44197</v>
      </c>
      <c r="E10" s="3"/>
      <c r="F10" s="496"/>
      <c r="G10" s="498"/>
      <c r="O10" s="3"/>
      <c r="P10" s="3"/>
      <c r="Q10" s="3"/>
      <c r="R10" s="3"/>
      <c r="S10" s="3"/>
      <c r="T10" s="3"/>
      <c r="U10" s="3"/>
      <c r="V10" s="3"/>
    </row>
    <row r="11" spans="1:26" ht="15.75" customHeight="1" x14ac:dyDescent="0.2">
      <c r="A11" s="3"/>
      <c r="C11" s="48" t="s">
        <v>42</v>
      </c>
      <c r="D11" s="112">
        <v>100000000</v>
      </c>
      <c r="F11" s="8" t="s">
        <v>43</v>
      </c>
      <c r="G11" s="113">
        <f ca="1">SUM(Portfolio!R158:V158)</f>
        <v>0</v>
      </c>
      <c r="P11" s="3"/>
      <c r="Q11" s="3"/>
      <c r="R11" s="3"/>
      <c r="S11" s="3"/>
      <c r="T11" s="3"/>
    </row>
    <row r="12" spans="1:26" ht="15.75" customHeight="1" x14ac:dyDescent="0.2">
      <c r="A12" s="3"/>
      <c r="C12" s="48" t="s">
        <v>44</v>
      </c>
      <c r="D12" s="114">
        <f t="array" aca="1" ref="D12" ca="1">INDEX(Portfolio!F7:F156,(MATCH(D102,Portfolio!C7:C156,0)+1))</f>
        <v>45422</v>
      </c>
      <c r="F12" s="12" t="s">
        <v>45</v>
      </c>
      <c r="G12" s="115">
        <f ca="1">Portfolio!O158</f>
        <v>0</v>
      </c>
      <c r="P12" s="3"/>
      <c r="Q12" s="3"/>
      <c r="R12" s="3"/>
      <c r="S12" s="3"/>
      <c r="T12" s="3"/>
    </row>
    <row r="13" spans="1:26" ht="15.75" customHeight="1" x14ac:dyDescent="0.2">
      <c r="A13" s="3"/>
      <c r="C13" s="12" t="s">
        <v>46</v>
      </c>
      <c r="D13" s="116">
        <f ca="1">TODAY()</f>
        <v>43958</v>
      </c>
      <c r="P13" s="3"/>
      <c r="Q13" s="3"/>
      <c r="R13" s="3"/>
      <c r="S13" s="3"/>
      <c r="T13" s="3"/>
    </row>
    <row r="14" spans="1:26" ht="15.75" customHeight="1" x14ac:dyDescent="0.2">
      <c r="A14" s="3"/>
      <c r="P14" s="3"/>
      <c r="Q14" s="3"/>
      <c r="R14" s="3"/>
      <c r="S14" s="3"/>
      <c r="T14" s="3"/>
    </row>
    <row r="15" spans="1:26" ht="15.75" customHeight="1" x14ac:dyDescent="0.2">
      <c r="A15" s="3"/>
      <c r="C15" s="117" t="s">
        <v>47</v>
      </c>
      <c r="D15" s="9" t="s">
        <v>10</v>
      </c>
      <c r="E15" s="9" t="s">
        <v>48</v>
      </c>
      <c r="F15" s="9" t="s">
        <v>49</v>
      </c>
      <c r="G15" s="9" t="s">
        <v>50</v>
      </c>
      <c r="H15" s="9" t="s">
        <v>51</v>
      </c>
      <c r="I15" s="118" t="s">
        <v>52</v>
      </c>
      <c r="P15" s="3"/>
      <c r="Q15" s="3"/>
      <c r="R15" s="3"/>
      <c r="S15" s="3"/>
      <c r="T15" s="3"/>
    </row>
    <row r="16" spans="1:26" ht="15.75" customHeight="1" x14ac:dyDescent="0.2">
      <c r="A16" s="3"/>
      <c r="C16" s="8" t="s">
        <v>53</v>
      </c>
      <c r="D16" s="119">
        <f ca="1">Portfolio!R159</f>
        <v>0</v>
      </c>
      <c r="E16" s="119">
        <f ca="1">Portfolio!S159</f>
        <v>0</v>
      </c>
      <c r="F16" s="119">
        <f ca="1">Portfolio!T159</f>
        <v>0</v>
      </c>
      <c r="G16" s="119">
        <f ca="1">Portfolio!U159</f>
        <v>0</v>
      </c>
      <c r="H16" s="119">
        <f ca="1">Portfolio!V159</f>
        <v>0</v>
      </c>
      <c r="I16" s="120">
        <f t="shared" ref="I16:I17" ca="1" si="0">IFERROR(SUM(D16:H16),"NA")</f>
        <v>0</v>
      </c>
      <c r="P16" s="3"/>
      <c r="Q16" s="3"/>
      <c r="R16" s="3"/>
      <c r="S16" s="3"/>
      <c r="T16" s="3"/>
    </row>
    <row r="17" spans="1:22" ht="15.75" customHeight="1" x14ac:dyDescent="0.2">
      <c r="A17" s="3"/>
      <c r="C17" s="48" t="s">
        <v>54</v>
      </c>
      <c r="D17" s="121">
        <f ca="1">Portfolio!R160</f>
        <v>0</v>
      </c>
      <c r="E17" s="121">
        <f ca="1">Portfolio!S160</f>
        <v>0</v>
      </c>
      <c r="F17" s="121">
        <f ca="1">Portfolio!T160</f>
        <v>0</v>
      </c>
      <c r="G17" s="121">
        <f ca="1">Portfolio!U160</f>
        <v>0</v>
      </c>
      <c r="H17" s="121">
        <f ca="1">Portfolio!V160</f>
        <v>0</v>
      </c>
      <c r="I17" s="122">
        <f t="shared" ca="1" si="0"/>
        <v>0</v>
      </c>
    </row>
    <row r="18" spans="1:22" ht="15.75" customHeight="1" x14ac:dyDescent="0.2">
      <c r="A18" s="3"/>
      <c r="C18" s="123" t="s">
        <v>55</v>
      </c>
      <c r="D18" s="124" t="str">
        <f t="shared" ref="D18:I18" ca="1" si="1">IFERROR(D17/D16,"NA")</f>
        <v>NA</v>
      </c>
      <c r="E18" s="124" t="str">
        <f t="shared" ca="1" si="1"/>
        <v>NA</v>
      </c>
      <c r="F18" s="124" t="str">
        <f t="shared" ca="1" si="1"/>
        <v>NA</v>
      </c>
      <c r="G18" s="124" t="str">
        <f t="shared" ca="1" si="1"/>
        <v>NA</v>
      </c>
      <c r="H18" s="124" t="str">
        <f t="shared" ca="1" si="1"/>
        <v>NA</v>
      </c>
      <c r="I18" s="125" t="str">
        <f t="shared" ca="1" si="1"/>
        <v>NA</v>
      </c>
    </row>
    <row r="19" spans="1:22" ht="15.75" customHeight="1" x14ac:dyDescent="0.2">
      <c r="A19" s="3"/>
      <c r="C19" s="48" t="s">
        <v>56</v>
      </c>
      <c r="D19" s="126">
        <f ca="1">Portfolio!R158</f>
        <v>0</v>
      </c>
      <c r="E19" s="126">
        <f ca="1">Portfolio!S158</f>
        <v>0</v>
      </c>
      <c r="F19" s="126">
        <f ca="1">Portfolio!T158</f>
        <v>0</v>
      </c>
      <c r="G19" s="126">
        <f ca="1">Portfolio!U158</f>
        <v>0</v>
      </c>
      <c r="H19" s="126">
        <f ca="1">Portfolio!V158</f>
        <v>0</v>
      </c>
      <c r="I19" s="127">
        <f t="shared" ref="I19:I20" ca="1" si="2">IFERROR(SUM(D19:H19),"NA")</f>
        <v>0</v>
      </c>
    </row>
    <row r="20" spans="1:22" ht="15.75" customHeight="1" x14ac:dyDescent="0.2">
      <c r="A20" s="3"/>
      <c r="C20" s="48" t="s">
        <v>57</v>
      </c>
      <c r="D20" s="121" t="str">
        <f ca="1">Portfolio!R157</f>
        <v>NA</v>
      </c>
      <c r="E20" s="121" t="str">
        <f ca="1">Portfolio!S157</f>
        <v>NA</v>
      </c>
      <c r="F20" s="121" t="str">
        <f ca="1">Portfolio!T157</f>
        <v>NA</v>
      </c>
      <c r="G20" s="121" t="str">
        <f ca="1">Portfolio!U157</f>
        <v>NA</v>
      </c>
      <c r="H20" s="121" t="str">
        <f ca="1">Portfolio!V157</f>
        <v>NA</v>
      </c>
      <c r="I20" s="122">
        <f t="shared" ca="1" si="2"/>
        <v>0</v>
      </c>
    </row>
    <row r="21" spans="1:22" ht="15.75" customHeight="1" x14ac:dyDescent="0.2">
      <c r="A21" s="3"/>
      <c r="C21" s="48" t="s">
        <v>58</v>
      </c>
      <c r="D21" s="126"/>
      <c r="E21" s="128" t="str">
        <f t="shared" ref="E21:H21" ca="1" si="3">IFERROR(E19/$D$19,"NA")</f>
        <v>NA</v>
      </c>
      <c r="F21" s="128" t="str">
        <f t="shared" ca="1" si="3"/>
        <v>NA</v>
      </c>
      <c r="G21" s="128" t="str">
        <f t="shared" ca="1" si="3"/>
        <v>NA</v>
      </c>
      <c r="H21" s="128" t="str">
        <f t="shared" ca="1" si="3"/>
        <v>NA</v>
      </c>
      <c r="I21" s="127"/>
    </row>
    <row r="22" spans="1:22" ht="15.75" customHeight="1" x14ac:dyDescent="0.2">
      <c r="A22" s="3"/>
      <c r="C22" s="12" t="s">
        <v>59</v>
      </c>
      <c r="D22" s="129"/>
      <c r="E22" s="130" t="str">
        <f ca="1">Portfolio!R165</f>
        <v>NA</v>
      </c>
      <c r="F22" s="130" t="str">
        <f ca="1">Portfolio!S165</f>
        <v>NA</v>
      </c>
      <c r="G22" s="130" t="str">
        <f ca="1">Portfolio!T165</f>
        <v>NA</v>
      </c>
      <c r="H22" s="130" t="str">
        <f ca="1">Portfolio!U165</f>
        <v>NA</v>
      </c>
      <c r="I22" s="131"/>
    </row>
    <row r="23" spans="1:22" ht="15.75" customHeight="1" x14ac:dyDescent="0.2">
      <c r="A23" s="3"/>
      <c r="C23" s="3"/>
      <c r="D23" s="126"/>
      <c r="E23" s="126"/>
      <c r="F23" s="126"/>
      <c r="G23" s="126"/>
      <c r="H23" s="126"/>
      <c r="I23" s="132"/>
    </row>
    <row r="24" spans="1:22" ht="15.75" customHeight="1" x14ac:dyDescent="0.2">
      <c r="A24" s="3"/>
    </row>
    <row r="25" spans="1:22" ht="15.75" customHeight="1" x14ac:dyDescent="0.25">
      <c r="A25" s="83" t="s">
        <v>30</v>
      </c>
      <c r="B25" s="58" t="s">
        <v>60</v>
      </c>
      <c r="C25" s="58"/>
    </row>
    <row r="26" spans="1:22" ht="3" customHeight="1" x14ac:dyDescent="0.2">
      <c r="A26" s="109"/>
      <c r="B26" s="109"/>
      <c r="C26" s="109"/>
      <c r="D26" s="109"/>
      <c r="E26" s="109"/>
      <c r="F26" s="109"/>
      <c r="G26" s="109"/>
      <c r="H26" s="109"/>
      <c r="I26" s="109"/>
      <c r="J26" s="109"/>
      <c r="K26" s="109"/>
      <c r="L26" s="109"/>
      <c r="M26" s="109"/>
      <c r="N26" s="109"/>
      <c r="O26" s="109"/>
      <c r="P26" s="109"/>
      <c r="Q26" s="109"/>
      <c r="R26" s="109"/>
      <c r="S26" s="109"/>
      <c r="T26" s="109"/>
      <c r="U26" s="109"/>
      <c r="V26" s="109"/>
    </row>
    <row r="27" spans="1:22" ht="9" customHeight="1" x14ac:dyDescent="0.2">
      <c r="A27" s="3"/>
    </row>
    <row r="28" spans="1:22" ht="15.75" customHeight="1" x14ac:dyDescent="0.2">
      <c r="A28" s="3"/>
      <c r="C28" s="17"/>
      <c r="D28" s="17" t="s">
        <v>61</v>
      </c>
      <c r="E28" s="21" t="s">
        <v>62</v>
      </c>
      <c r="F28" s="22" t="s">
        <v>63</v>
      </c>
      <c r="G28" s="21" t="s">
        <v>64</v>
      </c>
      <c r="H28" s="21" t="s">
        <v>65</v>
      </c>
      <c r="I28" s="21" t="s">
        <v>66</v>
      </c>
      <c r="J28" s="21" t="s">
        <v>67</v>
      </c>
      <c r="K28" s="22" t="s">
        <v>68</v>
      </c>
      <c r="L28" s="17" t="s">
        <v>69</v>
      </c>
      <c r="M28" s="21" t="s">
        <v>70</v>
      </c>
      <c r="N28" s="22" t="s">
        <v>71</v>
      </c>
      <c r="O28" s="21" t="s">
        <v>72</v>
      </c>
      <c r="P28" s="22" t="s">
        <v>73</v>
      </c>
      <c r="Q28" s="22" t="s">
        <v>74</v>
      </c>
      <c r="R28" s="5"/>
    </row>
    <row r="29" spans="1:22" ht="15.75" customHeight="1" x14ac:dyDescent="0.2">
      <c r="A29" s="3"/>
      <c r="C29" s="48" t="s">
        <v>75</v>
      </c>
      <c r="D29" s="133">
        <f ca="1">Portfolio!R159</f>
        <v>0</v>
      </c>
      <c r="E29" s="134">
        <f ca="1">SUM(Portfolio!S159:V159)</f>
        <v>0</v>
      </c>
      <c r="F29" s="135">
        <f t="shared" ref="F29:F31" ca="1" si="4">SUM(E29,D29)</f>
        <v>0</v>
      </c>
      <c r="G29" s="136">
        <f t="shared" ref="G29:K29" ca="1" si="5">D16</f>
        <v>0</v>
      </c>
      <c r="H29" s="136">
        <f t="shared" ca="1" si="5"/>
        <v>0</v>
      </c>
      <c r="I29" s="136">
        <f t="shared" ca="1" si="5"/>
        <v>0</v>
      </c>
      <c r="J29" s="136">
        <f t="shared" ca="1" si="5"/>
        <v>0</v>
      </c>
      <c r="K29" s="137">
        <f t="shared" ca="1" si="5"/>
        <v>0</v>
      </c>
      <c r="L29" s="134">
        <f ca="1">SUMIF(Model!D4:BS4,"&lt;="&amp;TODAY(),Model!D121:BS121)</f>
        <v>0</v>
      </c>
      <c r="M29" s="134">
        <f ca="1">SUMPRODUCT((Model!$D$4:$BS$4&lt;=$D$13)*(Model!D115:BS120))</f>
        <v>0</v>
      </c>
      <c r="N29" s="135">
        <f t="shared" ref="N29:N31" ca="1" si="6">SUM(M29,L29)</f>
        <v>0</v>
      </c>
      <c r="O29" s="136">
        <f t="shared" ref="O29:O30" ca="1" si="7">P29-Q29</f>
        <v>0</v>
      </c>
      <c r="P29" s="138">
        <f ca="1">Portfolio!W159</f>
        <v>0</v>
      </c>
      <c r="Q29" s="138">
        <f ca="1">SUMIF(Model!D4:BS4,"&lt;="&amp;TODAY(),Model!D138:BS138)</f>
        <v>0</v>
      </c>
    </row>
    <row r="30" spans="1:22" ht="15.75" customHeight="1" x14ac:dyDescent="0.2">
      <c r="A30" s="3"/>
      <c r="C30" s="48" t="s">
        <v>76</v>
      </c>
      <c r="D30" s="133">
        <f ca="1">Portfolio!AC159</f>
        <v>43750000</v>
      </c>
      <c r="E30" s="134">
        <f ca="1">SUM(Portfolio!AD159:AG159)</f>
        <v>63000000</v>
      </c>
      <c r="F30" s="135">
        <f t="shared" ca="1" si="4"/>
        <v>106750000</v>
      </c>
      <c r="G30" s="134">
        <f ca="1">Portfolio!AC159</f>
        <v>43750000</v>
      </c>
      <c r="H30" s="134">
        <f ca="1">Portfolio!AD159</f>
        <v>3937500</v>
      </c>
      <c r="I30" s="134">
        <f ca="1">Portfolio!AE159</f>
        <v>32812500</v>
      </c>
      <c r="J30" s="134">
        <f ca="1">Portfolio!AF159</f>
        <v>26250000</v>
      </c>
      <c r="K30" s="138">
        <f ca="1">Portfolio!AG159</f>
        <v>0</v>
      </c>
      <c r="L30" s="134">
        <f ca="1">SUMIF(Model!D4:BS4,"&gt;"&amp;TODAY(),Model!D121:BS121)</f>
        <v>22125000</v>
      </c>
      <c r="M30" s="134">
        <f ca="1">SUMPRODUCT((Model!$D$4:$BS$4&gt;$D$13)*(Model!D115:BS120))</f>
        <v>1100000</v>
      </c>
      <c r="N30" s="135">
        <f t="shared" ca="1" si="6"/>
        <v>23225000</v>
      </c>
      <c r="O30" s="136">
        <f t="shared" ca="1" si="7"/>
        <v>0</v>
      </c>
      <c r="P30" s="138">
        <f ca="1">Portfolio!AH159</f>
        <v>0</v>
      </c>
      <c r="Q30" s="138">
        <f ca="1">SUMIF(Model!D4:BS4,"&gt;"&amp;TODAY(),Model!D138:BS138)</f>
        <v>0</v>
      </c>
    </row>
    <row r="31" spans="1:22" ht="15.75" customHeight="1" x14ac:dyDescent="0.2">
      <c r="A31" s="3"/>
      <c r="C31" s="139" t="s">
        <v>77</v>
      </c>
      <c r="D31" s="140">
        <f t="shared" ref="D31:E31" ca="1" si="8">SUM(D29:D30)</f>
        <v>43750000</v>
      </c>
      <c r="E31" s="140">
        <f t="shared" ca="1" si="8"/>
        <v>63000000</v>
      </c>
      <c r="F31" s="141">
        <f t="shared" ca="1" si="4"/>
        <v>106750000</v>
      </c>
      <c r="G31" s="140">
        <f t="shared" ref="G31:M31" ca="1" si="9">SUM(G29:G30)</f>
        <v>43750000</v>
      </c>
      <c r="H31" s="140">
        <f t="shared" ca="1" si="9"/>
        <v>3937500</v>
      </c>
      <c r="I31" s="140">
        <f t="shared" ca="1" si="9"/>
        <v>32812500</v>
      </c>
      <c r="J31" s="140">
        <f t="shared" ca="1" si="9"/>
        <v>26250000</v>
      </c>
      <c r="K31" s="141">
        <f t="shared" ca="1" si="9"/>
        <v>0</v>
      </c>
      <c r="L31" s="140">
        <f t="shared" ca="1" si="9"/>
        <v>22125000</v>
      </c>
      <c r="M31" s="140">
        <f t="shared" ca="1" si="9"/>
        <v>1100000</v>
      </c>
      <c r="N31" s="141">
        <f t="shared" ca="1" si="6"/>
        <v>23225000</v>
      </c>
      <c r="O31" s="140">
        <f t="shared" ref="O31:Q31" ca="1" si="10">SUM(O29:O30)</f>
        <v>0</v>
      </c>
      <c r="P31" s="141">
        <f t="shared" ca="1" si="10"/>
        <v>0</v>
      </c>
      <c r="Q31" s="141">
        <f t="shared" ca="1" si="10"/>
        <v>0</v>
      </c>
    </row>
    <row r="32" spans="1:22" ht="15.75" customHeight="1" x14ac:dyDescent="0.2">
      <c r="A32" s="3"/>
      <c r="C32" s="12" t="s">
        <v>78</v>
      </c>
      <c r="D32" s="142">
        <f t="shared" ref="D32:Q32" ca="1" si="11">D31/$D$11</f>
        <v>0.4375</v>
      </c>
      <c r="E32" s="143">
        <f t="shared" ca="1" si="11"/>
        <v>0.63</v>
      </c>
      <c r="F32" s="144">
        <f t="shared" ca="1" si="11"/>
        <v>1.0674999999999999</v>
      </c>
      <c r="G32" s="145">
        <f t="shared" ca="1" si="11"/>
        <v>0.4375</v>
      </c>
      <c r="H32" s="145">
        <f t="shared" ca="1" si="11"/>
        <v>3.9375E-2</v>
      </c>
      <c r="I32" s="145">
        <f t="shared" ca="1" si="11"/>
        <v>0.328125</v>
      </c>
      <c r="J32" s="145">
        <f t="shared" ca="1" si="11"/>
        <v>0.26250000000000001</v>
      </c>
      <c r="K32" s="146">
        <f t="shared" ca="1" si="11"/>
        <v>0</v>
      </c>
      <c r="L32" s="145">
        <f t="shared" ca="1" si="11"/>
        <v>0.22125</v>
      </c>
      <c r="M32" s="147">
        <f t="shared" ca="1" si="11"/>
        <v>1.0999999999999999E-2</v>
      </c>
      <c r="N32" s="148">
        <f t="shared" ca="1" si="11"/>
        <v>0.23225000000000001</v>
      </c>
      <c r="O32" s="147">
        <f t="shared" ca="1" si="11"/>
        <v>0</v>
      </c>
      <c r="P32" s="148">
        <f t="shared" ca="1" si="11"/>
        <v>0</v>
      </c>
      <c r="Q32" s="148">
        <f t="shared" ca="1" si="11"/>
        <v>0</v>
      </c>
    </row>
    <row r="33" spans="1:17" ht="15.75" customHeight="1" x14ac:dyDescent="0.2">
      <c r="A33" s="3"/>
      <c r="C33" s="12" t="s">
        <v>79</v>
      </c>
      <c r="D33" s="149">
        <f t="shared" ref="D33:Q33" ca="1" si="12">D31/$F$31</f>
        <v>0.4098360655737705</v>
      </c>
      <c r="E33" s="150">
        <f t="shared" ca="1" si="12"/>
        <v>0.5901639344262295</v>
      </c>
      <c r="F33" s="151">
        <f t="shared" ca="1" si="12"/>
        <v>1</v>
      </c>
      <c r="G33" s="149">
        <f t="shared" ca="1" si="12"/>
        <v>0.4098360655737705</v>
      </c>
      <c r="H33" s="150">
        <f t="shared" ca="1" si="12"/>
        <v>3.6885245901639344E-2</v>
      </c>
      <c r="I33" s="150">
        <f t="shared" ca="1" si="12"/>
        <v>0.30737704918032788</v>
      </c>
      <c r="J33" s="150">
        <f t="shared" ca="1" si="12"/>
        <v>0.24590163934426229</v>
      </c>
      <c r="K33" s="151">
        <f t="shared" ca="1" si="12"/>
        <v>0</v>
      </c>
      <c r="L33" s="150">
        <f t="shared" ca="1" si="12"/>
        <v>0.20725995316159251</v>
      </c>
      <c r="M33" s="150">
        <f t="shared" ca="1" si="12"/>
        <v>1.0304449648711944E-2</v>
      </c>
      <c r="N33" s="151">
        <f t="shared" ca="1" si="12"/>
        <v>0.21756440281030445</v>
      </c>
      <c r="O33" s="150">
        <f t="shared" ca="1" si="12"/>
        <v>0</v>
      </c>
      <c r="P33" s="151">
        <f t="shared" ca="1" si="12"/>
        <v>0</v>
      </c>
      <c r="Q33" s="151">
        <f t="shared" ca="1" si="12"/>
        <v>0</v>
      </c>
    </row>
    <row r="34" spans="1:17" ht="15.75" customHeight="1" x14ac:dyDescent="0.2">
      <c r="A34" s="3"/>
      <c r="C34" s="3"/>
      <c r="D34" s="143"/>
      <c r="E34" s="143"/>
      <c r="F34" s="143"/>
      <c r="G34" s="143"/>
      <c r="H34" s="143"/>
      <c r="I34" s="143"/>
      <c r="J34" s="143"/>
      <c r="K34" s="143"/>
    </row>
    <row r="35" spans="1:17" ht="15.75" customHeight="1" x14ac:dyDescent="0.2">
      <c r="A35" s="3"/>
      <c r="C35" s="3"/>
      <c r="D35" s="143"/>
      <c r="E35" s="143"/>
      <c r="F35" s="143"/>
      <c r="G35" s="143"/>
      <c r="H35" s="143"/>
      <c r="I35" s="143"/>
      <c r="J35" s="143"/>
      <c r="K35" s="143"/>
    </row>
    <row r="36" spans="1:17" ht="15.75" customHeight="1" x14ac:dyDescent="0.2">
      <c r="A36" s="3"/>
      <c r="C36" s="3"/>
      <c r="D36" s="499" t="s">
        <v>29</v>
      </c>
      <c r="E36" s="500"/>
      <c r="F36" s="143"/>
      <c r="G36" s="143"/>
      <c r="H36" s="143"/>
      <c r="I36" s="143"/>
      <c r="J36" s="143"/>
      <c r="K36" s="499" t="s">
        <v>80</v>
      </c>
      <c r="L36" s="500"/>
    </row>
    <row r="37" spans="1:17" ht="15.75" customHeight="1" x14ac:dyDescent="0.2">
      <c r="A37" s="3"/>
      <c r="C37" s="3"/>
      <c r="D37" s="117" t="s">
        <v>81</v>
      </c>
      <c r="E37" s="152">
        <f t="array" aca="1" ref="E37" ca="1">IFERROR(INDEX(Model!D4:BS4,MATCH(TRUE,Model!D140:BS140&lt;0,0)),"No Max-out Date")</f>
        <v>45838</v>
      </c>
      <c r="F37" s="143"/>
      <c r="G37" s="143"/>
      <c r="H37" s="143"/>
      <c r="I37" s="143"/>
      <c r="J37" s="143"/>
      <c r="K37" s="117" t="s">
        <v>81</v>
      </c>
      <c r="L37" s="152">
        <f t="array" aca="1" ref="L37" ca="1">IFERROR(INDEX(Model!D4:BS4,MATCH(TRUE,Model!D142:BS142&lt;0,0)),"No Max-out Day")</f>
        <v>45657</v>
      </c>
    </row>
    <row r="38" spans="1:17" ht="15.75" customHeight="1" x14ac:dyDescent="0.2">
      <c r="A38" s="3"/>
      <c r="C38" s="3"/>
      <c r="D38" s="153" t="s">
        <v>82</v>
      </c>
      <c r="E38" s="154">
        <f ca="1">IFERROR(IF($D$13&gt;$D$10,DATEDIF($D$13,E37,"m"),DATEDIF($D$10,E37,"m")),"NA")</f>
        <v>53</v>
      </c>
      <c r="F38" s="143"/>
      <c r="G38" s="143"/>
      <c r="H38" s="143"/>
      <c r="I38" s="143"/>
      <c r="J38" s="143"/>
      <c r="K38" s="155" t="s">
        <v>82</v>
      </c>
      <c r="L38" s="154">
        <f ca="1">IFERROR(IF($D$13&gt;$D$10,DATEDIF($D$13,L37,"m"),DATEDIF($D$10,L37,"m")),"NA")</f>
        <v>47</v>
      </c>
    </row>
    <row r="39" spans="1:17" ht="15.75" customHeight="1" x14ac:dyDescent="0.2">
      <c r="A39" s="3"/>
      <c r="C39" s="3"/>
      <c r="D39" s="153" t="s">
        <v>83</v>
      </c>
      <c r="E39" s="154">
        <f ca="1">IFERROR(IF($D$13&gt;$D$10,FLOOR(((YEAR(E37)*12+MONTH(E37))-(YEAR($D$13)*12+MONTH($D$13)))/3,1),FLOOR(((YEAR(E37)*12+MONTH(E37))-(YEAR($D$10)*12+MONTH($D$10)))/3,1)),"NA")</f>
        <v>17</v>
      </c>
      <c r="F39" s="143"/>
      <c r="G39" s="143"/>
      <c r="H39" s="143"/>
      <c r="I39" s="143"/>
      <c r="J39" s="143"/>
      <c r="K39" s="155" t="s">
        <v>83</v>
      </c>
      <c r="L39" s="154">
        <f ca="1">IFERROR(IF($D$13&gt;$D$10,FLOOR(((YEAR(L37)*12+MONTH(L37))-(YEAR($D$13)*12+MONTH($D$13)))/3,1),FLOOR(((YEAR(L37)*12+MONTH(L37))-(YEAR($D$10)*12+MONTH($D$10)))/3,1)),"NA")</f>
        <v>15</v>
      </c>
    </row>
    <row r="40" spans="1:17" ht="15.75" customHeight="1" x14ac:dyDescent="0.2">
      <c r="A40" s="3"/>
      <c r="C40" s="3"/>
      <c r="D40" s="153" t="s">
        <v>84</v>
      </c>
      <c r="E40" s="156">
        <f t="array" aca="1" ref="E40" ca="1">IFERROR(INDEX(Model!$D$146:$AU$146,(MATCH(E37,Model!$D$4:$AU$4,0))),"No Max-out")</f>
        <v>0.88524999999999998</v>
      </c>
      <c r="F40" s="143"/>
      <c r="G40" s="143"/>
      <c r="H40" s="143"/>
      <c r="I40" s="143"/>
      <c r="J40" s="143"/>
      <c r="K40" s="153" t="s">
        <v>84</v>
      </c>
      <c r="L40" s="156">
        <f t="array" aca="1" ref="L40" ca="1">IFERROR(INDEX(Model!$D$146:$AU$146,(MATCH(L37,Model!$D$4:$AU$4,0))),"No Max-out")</f>
        <v>0.79525000000000001</v>
      </c>
    </row>
    <row r="41" spans="1:17" ht="15.75" customHeight="1" x14ac:dyDescent="0.2">
      <c r="A41" s="3"/>
      <c r="D41" s="157" t="s">
        <v>85</v>
      </c>
      <c r="E41" s="158">
        <f ca="1">EDATE(INDEX(Model!$D$4:$AU$4,(MATCH($D$105,Model!$D$146:$AU$146))),3)</f>
        <v>48304</v>
      </c>
      <c r="K41" s="157" t="s">
        <v>85</v>
      </c>
      <c r="L41" s="158">
        <f t="array" aca="1" ref="L41" ca="1">EDATE(INDEX(Model!$D$4:$AU$4,(MATCH($D$105,Model!$D$146:$AU$146))),3)</f>
        <v>48304</v>
      </c>
    </row>
    <row r="42" spans="1:17" ht="15.75" customHeight="1" x14ac:dyDescent="0.2">
      <c r="A42" s="3"/>
    </row>
    <row r="43" spans="1:17" ht="15.75" customHeight="1" x14ac:dyDescent="0.2">
      <c r="A43" s="3"/>
    </row>
    <row r="44" spans="1:17" ht="15.75" customHeight="1" x14ac:dyDescent="0.2">
      <c r="A44" s="3"/>
    </row>
    <row r="45" spans="1:17" ht="15.75" customHeight="1" x14ac:dyDescent="0.2">
      <c r="A45" s="3"/>
    </row>
    <row r="46" spans="1:17" ht="15.75" customHeight="1" x14ac:dyDescent="0.2">
      <c r="A46" s="3"/>
    </row>
    <row r="47" spans="1:17" ht="15.75" customHeight="1" x14ac:dyDescent="0.2">
      <c r="A47" s="3"/>
    </row>
    <row r="48" spans="1:17" ht="15.75" customHeight="1" x14ac:dyDescent="0.2">
      <c r="A48" s="3"/>
    </row>
    <row r="49" spans="1:11" ht="15.75" customHeight="1" x14ac:dyDescent="0.2">
      <c r="A49" s="3"/>
    </row>
    <row r="50" spans="1:11" ht="15.75" customHeight="1" x14ac:dyDescent="0.2">
      <c r="A50" s="3"/>
    </row>
    <row r="51" spans="1:11" ht="15.75" customHeight="1" x14ac:dyDescent="0.2">
      <c r="A51" s="3"/>
    </row>
    <row r="52" spans="1:11" ht="15.75" customHeight="1" x14ac:dyDescent="0.2">
      <c r="A52" s="3"/>
    </row>
    <row r="53" spans="1:11" ht="15.75" customHeight="1" x14ac:dyDescent="0.2">
      <c r="A53" s="3"/>
    </row>
    <row r="54" spans="1:11" ht="15.75" customHeight="1" x14ac:dyDescent="0.2">
      <c r="A54" s="3"/>
    </row>
    <row r="55" spans="1:11" ht="15.75" customHeight="1" x14ac:dyDescent="0.2">
      <c r="A55" s="3"/>
    </row>
    <row r="56" spans="1:11" ht="15.75" customHeight="1" x14ac:dyDescent="0.2">
      <c r="A56" s="3"/>
    </row>
    <row r="57" spans="1:11" ht="15.75" customHeight="1" x14ac:dyDescent="0.2">
      <c r="A57" s="3"/>
    </row>
    <row r="58" spans="1:11" ht="15.75" customHeight="1" x14ac:dyDescent="0.2">
      <c r="A58" s="3"/>
    </row>
    <row r="59" spans="1:11" ht="15.75" customHeight="1" x14ac:dyDescent="0.2">
      <c r="A59" s="3"/>
    </row>
    <row r="60" spans="1:11" ht="15.75" customHeight="1" x14ac:dyDescent="0.2">
      <c r="A60" s="3"/>
    </row>
    <row r="61" spans="1:11" ht="15.75" customHeight="1" x14ac:dyDescent="0.2">
      <c r="A61" s="3"/>
      <c r="K61" s="159"/>
    </row>
    <row r="62" spans="1:11" ht="15.75" customHeight="1" x14ac:dyDescent="0.2">
      <c r="A62" s="3"/>
    </row>
    <row r="63" spans="1:11" ht="15.75" customHeight="1" x14ac:dyDescent="0.2">
      <c r="A63" s="3"/>
    </row>
    <row r="64" spans="1:11" ht="15.75" customHeight="1" x14ac:dyDescent="0.2">
      <c r="A64" s="3"/>
    </row>
    <row r="65" spans="1:22" ht="15.75" customHeight="1" x14ac:dyDescent="0.25">
      <c r="A65" s="83" t="s">
        <v>30</v>
      </c>
      <c r="B65" s="58" t="s">
        <v>86</v>
      </c>
      <c r="C65" s="58"/>
    </row>
    <row r="66" spans="1:22" ht="3" customHeight="1" x14ac:dyDescent="0.2">
      <c r="A66" s="109"/>
      <c r="B66" s="109"/>
      <c r="C66" s="109"/>
      <c r="D66" s="109"/>
      <c r="E66" s="109"/>
      <c r="F66" s="109"/>
      <c r="G66" s="109"/>
      <c r="H66" s="109"/>
      <c r="I66" s="109"/>
      <c r="J66" s="109"/>
      <c r="K66" s="109"/>
      <c r="L66" s="109"/>
      <c r="M66" s="109"/>
      <c r="N66" s="109"/>
      <c r="O66" s="109"/>
      <c r="P66" s="109"/>
      <c r="Q66" s="109"/>
      <c r="R66" s="109"/>
      <c r="S66" s="109"/>
      <c r="T66" s="109"/>
      <c r="U66" s="109"/>
      <c r="V66" s="109"/>
    </row>
    <row r="67" spans="1:22" ht="9" customHeight="1" x14ac:dyDescent="0.2">
      <c r="A67" s="3"/>
    </row>
    <row r="68" spans="1:22" ht="15.75" customHeight="1" x14ac:dyDescent="0.2">
      <c r="A68" s="3"/>
    </row>
    <row r="69" spans="1:22" ht="15.75" customHeight="1" x14ac:dyDescent="0.2">
      <c r="A69" s="3"/>
      <c r="D69" s="499" t="s">
        <v>87</v>
      </c>
      <c r="E69" s="500"/>
      <c r="J69" s="499" t="s">
        <v>88</v>
      </c>
      <c r="K69" s="500"/>
      <c r="Q69" s="499" t="s">
        <v>89</v>
      </c>
      <c r="R69" s="500"/>
    </row>
    <row r="70" spans="1:22" ht="15.75" customHeight="1" x14ac:dyDescent="0.2">
      <c r="A70" s="3"/>
      <c r="D70" s="8" t="s">
        <v>81</v>
      </c>
      <c r="E70" s="160">
        <f t="array" aca="1" ref="E70" ca="1">IFERROR(INDEX(Model!D4:BS4,MATCH(TRUE,Model!D173:BS173&lt;0,0)),"No Max-out")</f>
        <v>45838</v>
      </c>
      <c r="J70" s="8" t="s">
        <v>81</v>
      </c>
      <c r="K70" s="10">
        <f t="array" aca="1" ref="K70" ca="1">IFERROR(INDEX(Model!J4:BY4,MATCH(TRUE,Model!J200:BY200&lt;0,0)),"No Max-out")</f>
        <v>45930</v>
      </c>
      <c r="Q70" s="8" t="s">
        <v>81</v>
      </c>
      <c r="R70" s="10" t="str">
        <f t="array" aca="1" ref="R70" ca="1">IFERROR(INDEX(Model!Q4:CF4,MATCH(TRUE,Model!Q227:CF227&lt;0,0)),"No Max-out")</f>
        <v>No Max-out</v>
      </c>
    </row>
    <row r="71" spans="1:22" ht="15.75" customHeight="1" x14ac:dyDescent="0.2">
      <c r="A71" s="3"/>
      <c r="D71" s="153" t="s">
        <v>82</v>
      </c>
      <c r="E71" s="154">
        <f ca="1">IFERROR(IF($D$13&gt;$D$10,DATEDIF($D$13,E70,"m"),DATEDIF($D$10,E70,"m")),"NA")</f>
        <v>53</v>
      </c>
      <c r="J71" s="153" t="s">
        <v>82</v>
      </c>
      <c r="K71" s="154">
        <f ca="1">IFERROR(IF($D$13&gt;$D$10,DATEDIF($D$13,K70,"m"),DATEDIF($D$10,K70,"m")),"NA")</f>
        <v>56</v>
      </c>
      <c r="L71" s="5"/>
      <c r="M71" s="161"/>
      <c r="Q71" s="155" t="s">
        <v>82</v>
      </c>
      <c r="R71" s="154" t="str">
        <f ca="1">IFERROR(IF($D$13&gt;$D$10,DATEDIF($D$13,R70,"m"),DATEDIF($D$10,R70,"m")),"NA")</f>
        <v>NA</v>
      </c>
    </row>
    <row r="72" spans="1:22" ht="15.75" customHeight="1" x14ac:dyDescent="0.2">
      <c r="A72" s="3"/>
      <c r="D72" s="153" t="s">
        <v>83</v>
      </c>
      <c r="E72" s="154">
        <f ca="1">IFERROR(IF($D$13&gt;$D$10,FLOOR(((YEAR(E70)*12+MONTH(E70))-(YEAR($D$13)*12+MONTH($D$13)))/3,1),FLOOR(((YEAR(E70)*12+MONTH(E70))-(YEAR($D$10)*12+MONTH($D$10)))/3,1)),"NA")</f>
        <v>17</v>
      </c>
      <c r="J72" s="153" t="s">
        <v>83</v>
      </c>
      <c r="K72" s="154">
        <f ca="1">IFERROR(IF($D$13&gt;$D$10,FLOOR(((YEAR(K70)*12+MONTH(K70))-(YEAR($D$13)*12+MONTH($D$13)))/3,1),FLOOR(((YEAR(K70)*12+MONTH(K70))-(YEAR($D$10)*12+MONTH($D$10)))/3,1)),"NA")</f>
        <v>18</v>
      </c>
      <c r="Q72" s="155" t="s">
        <v>83</v>
      </c>
      <c r="R72" s="154" t="str">
        <f ca="1">IFERROR(IF($D$13&gt;$D$10,FLOOR(((YEAR(R70)*12+MONTH(R70))-(YEAR($D$13)*12+MONTH($D$13)))/3,1),FLOOR(((YEAR(R70)*12+MONTH(R70))-(YEAR($D$10)*12+MONTH($D$10)))/3,1)),"NA")</f>
        <v>NA</v>
      </c>
    </row>
    <row r="73" spans="1:22" ht="15.75" customHeight="1" x14ac:dyDescent="0.2">
      <c r="A73" s="3"/>
      <c r="C73" s="3"/>
      <c r="D73" s="157" t="s">
        <v>84</v>
      </c>
      <c r="E73" s="162">
        <f t="array" aca="1" ref="E73" ca="1">IFERROR(INDEX(Model!$D$160:$AU$160,(MATCH(E70,Model!$D$4:$AU$4,0))),"No Max-out")</f>
        <v>0.88524999999999998</v>
      </c>
      <c r="J73" s="157" t="s">
        <v>84</v>
      </c>
      <c r="K73" s="162">
        <f t="array" aca="1" ref="K73" ca="1">IFERROR(INDEX(Model!$D$187:$AU$187,(MATCH(K70,Model!$D$4:$AU$4,0))),"No Max-out")</f>
        <v>0.93812499999999999</v>
      </c>
      <c r="Q73" s="157" t="s">
        <v>84</v>
      </c>
      <c r="R73" s="162" t="str">
        <f t="array" aca="1" ref="R73" ca="1">IFERROR(INDEX(Model!$D$214:$AU$214,(MATCH(R70,Model!$D$4:$AU$4,0))),"No Max-out")</f>
        <v>No Max-out</v>
      </c>
    </row>
    <row r="74" spans="1:22" ht="15.75" customHeight="1" x14ac:dyDescent="0.2">
      <c r="A74" s="3"/>
      <c r="C74" s="3"/>
      <c r="D74" s="3"/>
    </row>
    <row r="75" spans="1:22" ht="15.75" customHeight="1" x14ac:dyDescent="0.2">
      <c r="A75" s="3"/>
      <c r="C75" s="3"/>
      <c r="D75" s="3"/>
    </row>
    <row r="76" spans="1:22" ht="15.75" customHeight="1" x14ac:dyDescent="0.2">
      <c r="A76" s="3"/>
    </row>
    <row r="77" spans="1:22" ht="15.75" customHeight="1" x14ac:dyDescent="0.2">
      <c r="A77" s="3"/>
    </row>
    <row r="78" spans="1:22" ht="15.75" customHeight="1" x14ac:dyDescent="0.2">
      <c r="A78" s="3"/>
    </row>
    <row r="79" spans="1:22" ht="15.75" customHeight="1" x14ac:dyDescent="0.2">
      <c r="A79" s="3"/>
    </row>
    <row r="80" spans="1:22" ht="15.75" customHeight="1" x14ac:dyDescent="0.2">
      <c r="A80" s="3"/>
    </row>
    <row r="81" spans="1:1" ht="15.75" customHeight="1" x14ac:dyDescent="0.2">
      <c r="A81" s="3"/>
    </row>
    <row r="82" spans="1:1" ht="15.75" customHeight="1" x14ac:dyDescent="0.2">
      <c r="A82" s="3"/>
    </row>
    <row r="83" spans="1:1" ht="15.75" customHeight="1" x14ac:dyDescent="0.2">
      <c r="A83" s="3"/>
    </row>
    <row r="84" spans="1:1" ht="15.75" customHeight="1" x14ac:dyDescent="0.2">
      <c r="A84" s="3"/>
    </row>
    <row r="85" spans="1:1" ht="15.75" customHeight="1" x14ac:dyDescent="0.2">
      <c r="A85" s="3"/>
    </row>
    <row r="86" spans="1:1" ht="15.75" customHeight="1" x14ac:dyDescent="0.2">
      <c r="A86" s="3"/>
    </row>
    <row r="87" spans="1:1" ht="15.75" customHeight="1" x14ac:dyDescent="0.2">
      <c r="A87" s="3"/>
    </row>
    <row r="88" spans="1:1" ht="15.75" customHeight="1" x14ac:dyDescent="0.2">
      <c r="A88" s="3"/>
    </row>
    <row r="89" spans="1:1" ht="15.75" customHeight="1" x14ac:dyDescent="0.2">
      <c r="A89" s="3"/>
    </row>
    <row r="90" spans="1:1" ht="15.75" customHeight="1" x14ac:dyDescent="0.2">
      <c r="A90" s="3"/>
    </row>
    <row r="91" spans="1:1" ht="15.75" customHeight="1" x14ac:dyDescent="0.2">
      <c r="A91" s="3"/>
    </row>
    <row r="92" spans="1:1" ht="15.75" customHeight="1" x14ac:dyDescent="0.2">
      <c r="A92" s="3"/>
    </row>
    <row r="93" spans="1:1" ht="15.75" customHeight="1" x14ac:dyDescent="0.2">
      <c r="A93" s="3"/>
    </row>
    <row r="94" spans="1:1" ht="15.75" customHeight="1" x14ac:dyDescent="0.2">
      <c r="A94" s="3"/>
    </row>
    <row r="95" spans="1:1" ht="15.75" customHeight="1" x14ac:dyDescent="0.2">
      <c r="A95" s="3"/>
    </row>
    <row r="96" spans="1:1" ht="15.75" customHeight="1" x14ac:dyDescent="0.2">
      <c r="A96" s="3"/>
    </row>
    <row r="97" spans="1:26" ht="15.75" customHeight="1" x14ac:dyDescent="0.2">
      <c r="A97" s="3"/>
    </row>
    <row r="98" spans="1:26" ht="15.75" customHeight="1" x14ac:dyDescent="0.25">
      <c r="A98" s="83" t="s">
        <v>30</v>
      </c>
      <c r="B98" s="58" t="s">
        <v>90</v>
      </c>
      <c r="C98" s="58"/>
    </row>
    <row r="99" spans="1:26" ht="3" customHeight="1" x14ac:dyDescent="0.2">
      <c r="A99" s="109"/>
      <c r="B99" s="109"/>
      <c r="C99" s="109"/>
      <c r="D99" s="109"/>
      <c r="E99" s="109"/>
      <c r="F99" s="109"/>
      <c r="G99" s="109"/>
      <c r="H99" s="109"/>
      <c r="I99" s="109"/>
      <c r="J99" s="109"/>
      <c r="K99" s="109"/>
      <c r="L99" s="109"/>
      <c r="M99" s="109"/>
      <c r="N99" s="109"/>
      <c r="O99" s="109"/>
      <c r="P99" s="109"/>
      <c r="Q99" s="109"/>
      <c r="R99" s="109"/>
      <c r="S99" s="109"/>
      <c r="T99" s="109"/>
      <c r="U99" s="109"/>
      <c r="V99" s="109"/>
    </row>
    <row r="100" spans="1:26" ht="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163" t="s">
        <v>91</v>
      </c>
      <c r="D101" s="164">
        <v>1250000</v>
      </c>
      <c r="E101" s="3"/>
      <c r="F101" s="3"/>
      <c r="G101" s="3"/>
      <c r="H101" s="3"/>
      <c r="I101" s="3"/>
      <c r="J101" s="20" t="s">
        <v>92</v>
      </c>
      <c r="K101" s="165"/>
      <c r="L101" s="105" t="s">
        <v>93</v>
      </c>
      <c r="M101" s="3"/>
      <c r="N101" s="166" t="s">
        <v>94</v>
      </c>
      <c r="O101" s="167"/>
      <c r="R101" s="3"/>
      <c r="S101" s="3"/>
      <c r="T101" s="3"/>
      <c r="U101" s="3"/>
      <c r="V101" s="3"/>
      <c r="W101" s="3"/>
      <c r="X101" s="3"/>
      <c r="Y101" s="3"/>
      <c r="Z101" s="3"/>
    </row>
    <row r="102" spans="1:26" ht="15.75" customHeight="1" x14ac:dyDescent="0.2">
      <c r="A102" s="3"/>
      <c r="C102" s="168" t="s">
        <v>95</v>
      </c>
      <c r="D102" s="169">
        <v>35</v>
      </c>
      <c r="J102" s="170" t="s">
        <v>48</v>
      </c>
      <c r="K102" s="171">
        <v>0.3</v>
      </c>
      <c r="L102" s="172" t="str">
        <f ca="1">Portfolio!G480</f>
        <v>NA</v>
      </c>
      <c r="N102" s="173" t="s">
        <v>10</v>
      </c>
      <c r="O102" s="174">
        <f>D101</f>
        <v>1250000</v>
      </c>
    </row>
    <row r="103" spans="1:26" ht="15.75" customHeight="1" x14ac:dyDescent="0.2">
      <c r="A103" s="3"/>
      <c r="C103" s="153" t="s">
        <v>96</v>
      </c>
      <c r="D103" s="175">
        <v>-1</v>
      </c>
      <c r="I103" s="176"/>
      <c r="J103" s="170" t="s">
        <v>12</v>
      </c>
      <c r="K103" s="177">
        <v>1.25</v>
      </c>
      <c r="L103" s="172" t="str">
        <f ca="1">Portfolio!H480</f>
        <v>NA</v>
      </c>
      <c r="N103" s="173" t="s">
        <v>48</v>
      </c>
      <c r="O103" s="174">
        <f>K102*D101</f>
        <v>375000</v>
      </c>
    </row>
    <row r="104" spans="1:26" ht="15.75" customHeight="1" x14ac:dyDescent="0.2">
      <c r="A104" s="3"/>
      <c r="C104" s="153" t="s">
        <v>97</v>
      </c>
      <c r="D104" s="178">
        <v>1</v>
      </c>
      <c r="J104" s="170" t="s">
        <v>13</v>
      </c>
      <c r="K104" s="177">
        <v>1.5</v>
      </c>
      <c r="L104" s="179" t="str">
        <f ca="1">Portfolio!I480</f>
        <v>NA</v>
      </c>
      <c r="N104" s="173" t="s">
        <v>49</v>
      </c>
      <c r="O104" s="174">
        <f>K103*D101</f>
        <v>1562500</v>
      </c>
    </row>
    <row r="105" spans="1:26" ht="15.75" customHeight="1" x14ac:dyDescent="0.2">
      <c r="A105" s="3"/>
      <c r="C105" s="157" t="s">
        <v>98</v>
      </c>
      <c r="D105" s="180">
        <f ca="1">F32</f>
        <v>1.0674999999999999</v>
      </c>
      <c r="J105" s="181" t="s">
        <v>14</v>
      </c>
      <c r="K105" s="182">
        <v>1.5</v>
      </c>
      <c r="L105" s="162" t="str">
        <f ca="1">Portfolio!J480</f>
        <v>NA</v>
      </c>
      <c r="N105" s="173" t="s">
        <v>50</v>
      </c>
      <c r="O105" s="174">
        <f>K104*D101</f>
        <v>1875000</v>
      </c>
    </row>
    <row r="106" spans="1:26" ht="15.75" customHeight="1" x14ac:dyDescent="0.2">
      <c r="A106" s="3"/>
      <c r="C106" s="183"/>
      <c r="D106" s="184"/>
      <c r="E106" s="184"/>
      <c r="F106" s="184"/>
      <c r="G106" s="185"/>
      <c r="H106" s="186"/>
      <c r="N106" s="187" t="s">
        <v>99</v>
      </c>
      <c r="O106" s="188">
        <f>O105+O104+O102</f>
        <v>4687500</v>
      </c>
    </row>
    <row r="107" spans="1:26" ht="15.75" customHeight="1" x14ac:dyDescent="0.2">
      <c r="A107" s="3"/>
      <c r="C107" s="183"/>
      <c r="D107" s="490" t="s">
        <v>100</v>
      </c>
      <c r="E107" s="491"/>
      <c r="F107" s="492"/>
      <c r="G107" s="189" t="s">
        <v>101</v>
      </c>
      <c r="H107" s="190">
        <f ca="1">IFERROR(HLOOKUP((DATE(YEAR(D13),((INT((MONTH(D13)-1)/3)+1)*3)+1,1)-1),Model!D237:AU238,2,1),0)</f>
        <v>0</v>
      </c>
    </row>
    <row r="108" spans="1:26" ht="15.75" customHeight="1" x14ac:dyDescent="0.2">
      <c r="A108" s="3"/>
      <c r="C108" s="191" t="s">
        <v>102</v>
      </c>
      <c r="D108" s="192" t="s">
        <v>103</v>
      </c>
      <c r="E108" s="193" t="s">
        <v>104</v>
      </c>
      <c r="F108" s="192" t="s">
        <v>105</v>
      </c>
      <c r="G108" s="183"/>
      <c r="H108" s="183"/>
    </row>
    <row r="109" spans="1:26" ht="15.75" customHeight="1" x14ac:dyDescent="0.2">
      <c r="C109" s="194">
        <f>YEAR(D10)</f>
        <v>2021</v>
      </c>
      <c r="D109" s="195">
        <f t="array" aca="1" ref="D109" ca="1">IF($G124&lt;$H$107,INDEX(Model!$D$177:$AU$177,(MATCH($G124,Model!$D$157:$AU$157,0)+3)),D124)</f>
        <v>0</v>
      </c>
      <c r="E109" s="196">
        <f t="array" aca="1" ref="E109" ca="1">IF($G124&lt;$H$107,INDEX(Model!$D$205:$AU$205,(MATCH($G124,Model!$D$157:$AU$157,0)+3)),E124)</f>
        <v>0</v>
      </c>
      <c r="F109" s="195">
        <f t="array" aca="1" ref="F109" ca="1">IF($G124&lt;$H$107,INDEX(Model!$D$205:$AU$205,(MATCH($G124,Model!$D$157:$AU$157,0)+3)),F124)</f>
        <v>0</v>
      </c>
      <c r="G109" s="183"/>
      <c r="H109" s="183"/>
    </row>
    <row r="110" spans="1:26" ht="15.75" customHeight="1" x14ac:dyDescent="0.2">
      <c r="C110" s="197">
        <f t="shared" ref="C110:C120" si="13">C109+1</f>
        <v>2022</v>
      </c>
      <c r="D110" s="195">
        <f t="array" aca="1" ref="D110" ca="1">IF($G125&lt;$H$107,INDEX(Model!$D$177:$AU$177,(MATCH($G125,Model!$D$157:$AU$157,0)+3)),D125)</f>
        <v>0</v>
      </c>
      <c r="E110" s="196">
        <f t="array" aca="1" ref="E110" ca="1">IF($G125&lt;$H$107,INDEX(Model!$D$205:$AU$205,(MATCH($G125,Model!$D$157:$AU$157,0)+3)),E125)</f>
        <v>0</v>
      </c>
      <c r="F110" s="195">
        <f t="array" aca="1" ref="F110" ca="1">IF($G125&lt;$H$107,INDEX(Model!$D$205:$AU$205,(MATCH($G125,Model!$D$157:$AU$157,0)+3)),F125)</f>
        <v>0</v>
      </c>
      <c r="G110" s="183"/>
      <c r="H110" s="183"/>
      <c r="J110" s="20" t="s">
        <v>106</v>
      </c>
      <c r="K110" s="105"/>
      <c r="L110" s="198" t="s">
        <v>107</v>
      </c>
      <c r="N110" s="20" t="s">
        <v>108</v>
      </c>
      <c r="O110" s="105"/>
    </row>
    <row r="111" spans="1:26" ht="15.75" customHeight="1" x14ac:dyDescent="0.2">
      <c r="C111" s="197">
        <f t="shared" si="13"/>
        <v>2023</v>
      </c>
      <c r="D111" s="195">
        <f t="array" aca="1" ref="D111" ca="1">IF($G126&lt;$H$107,INDEX(Model!$D$177:$AU$177,(MATCH($G126,Model!$D$157:$AU$157,0)+3)),D126)</f>
        <v>0</v>
      </c>
      <c r="E111" s="196">
        <f t="array" aca="1" ref="E111" ca="1">IF($G126&lt;$H$107,INDEX(Model!$D$205:$AU$205,(MATCH($G126,Model!$D$157:$AU$157,0)+3)),E126)</f>
        <v>0</v>
      </c>
      <c r="F111" s="195">
        <f t="array" aca="1" ref="F111" ca="1">IF($G126&lt;$H$107,INDEX(Model!$D$205:$AU$205,(MATCH($G126,Model!$D$157:$AU$157,0)+3)),F126)</f>
        <v>0.01</v>
      </c>
      <c r="G111" s="183"/>
      <c r="H111" s="183"/>
      <c r="J111" s="170" t="s">
        <v>48</v>
      </c>
      <c r="K111" s="199">
        <v>0.3</v>
      </c>
      <c r="L111" s="200" t="str">
        <f ca="1">E21</f>
        <v>NA</v>
      </c>
      <c r="N111" s="201" t="s">
        <v>48</v>
      </c>
      <c r="O111" s="73">
        <f t="shared" ref="O111:O114" si="14">ROUND($G$9*K111,0)</f>
        <v>11</v>
      </c>
    </row>
    <row r="112" spans="1:26" ht="15.75" customHeight="1" x14ac:dyDescent="0.2">
      <c r="C112" s="197">
        <f t="shared" si="13"/>
        <v>2024</v>
      </c>
      <c r="D112" s="195">
        <f t="array" aca="1" ref="D112" ca="1">IF($G127&lt;$H$107,INDEX(Model!$D$177:$AU$177,(MATCH($G127,Model!$D$157:$AU$157,0)+3)),D127)</f>
        <v>0</v>
      </c>
      <c r="E112" s="196">
        <f t="array" aca="1" ref="E112" ca="1">IF($G127&lt;$H$107,INDEX(Model!$D$205:$AU$205,(MATCH($G127,Model!$D$157:$AU$157,0)+3)),E127)</f>
        <v>0.02</v>
      </c>
      <c r="F112" s="195">
        <f t="array" aca="1" ref="F112" ca="1">IF($G127&lt;$H$107,INDEX(Model!$D$205:$AU$205,(MATCH($G127,Model!$D$157:$AU$157,0)+3)),F127)</f>
        <v>7.0000000000000007E-2</v>
      </c>
      <c r="G112" s="183"/>
      <c r="H112" s="183"/>
      <c r="J112" s="170" t="s">
        <v>12</v>
      </c>
      <c r="K112" s="199">
        <v>0.6</v>
      </c>
      <c r="L112" s="200" t="str">
        <f ca="1">F21</f>
        <v>NA</v>
      </c>
      <c r="N112" s="201" t="s">
        <v>12</v>
      </c>
      <c r="O112" s="73">
        <f t="shared" si="14"/>
        <v>21</v>
      </c>
    </row>
    <row r="113" spans="1:15" ht="15.75" customHeight="1" x14ac:dyDescent="0.2">
      <c r="C113" s="197">
        <f t="shared" si="13"/>
        <v>2025</v>
      </c>
      <c r="D113" s="202">
        <v>2.5000000000000001E-2</v>
      </c>
      <c r="E113" s="196">
        <f t="array" aca="1" ref="E113" ca="1">IF($G128&lt;$H$107,INDEX(Model!$D$205:$AU$205,(MATCH($G128,Model!$D$157:$AU$157,0)+3)),E128)</f>
        <v>0.06</v>
      </c>
      <c r="F113" s="195">
        <f t="array" aca="1" ref="F113" ca="1">IF($G128&lt;$H$107,INDEX(Model!$D$205:$AU$205,(MATCH($G128,Model!$D$157:$AU$157,0)+3)),F128)</f>
        <v>0.15</v>
      </c>
      <c r="G113" s="183"/>
      <c r="H113" s="183"/>
      <c r="J113" s="170" t="s">
        <v>13</v>
      </c>
      <c r="K113" s="203">
        <v>0.4</v>
      </c>
      <c r="L113" s="200" t="str">
        <f ca="1">G21</f>
        <v>NA</v>
      </c>
      <c r="N113" s="201" t="s">
        <v>13</v>
      </c>
      <c r="O113" s="73">
        <f t="shared" si="14"/>
        <v>14</v>
      </c>
    </row>
    <row r="114" spans="1:15" ht="15.75" customHeight="1" x14ac:dyDescent="0.2">
      <c r="C114" s="197">
        <f t="shared" si="13"/>
        <v>2026</v>
      </c>
      <c r="D114" s="202">
        <v>2.5000000000000001E-2</v>
      </c>
      <c r="E114" s="196">
        <f t="array" aca="1" ref="E114" ca="1">IF($G129&lt;$H$107,INDEX(Model!$D$205:$AU$205,(MATCH($G129,Model!$D$157:$AU$157,0)+3)),E129)</f>
        <v>0.08</v>
      </c>
      <c r="F114" s="195">
        <f t="array" aca="1" ref="F114" ca="1">IF($G129&lt;$H$107,INDEX(Model!$D$205:$AU$205,(MATCH($G129,Model!$D$157:$AU$157,0)+3)),F129)</f>
        <v>0.2</v>
      </c>
      <c r="G114" s="183"/>
      <c r="H114" s="183"/>
      <c r="J114" s="181" t="s">
        <v>14</v>
      </c>
      <c r="K114" s="204">
        <v>0</v>
      </c>
      <c r="L114" s="205" t="str">
        <f ca="1">H21</f>
        <v>NA</v>
      </c>
      <c r="N114" s="206" t="s">
        <v>14</v>
      </c>
      <c r="O114" s="207">
        <f t="shared" si="14"/>
        <v>0</v>
      </c>
    </row>
    <row r="115" spans="1:15" ht="15.75" customHeight="1" x14ac:dyDescent="0.2">
      <c r="C115" s="197">
        <f t="shared" si="13"/>
        <v>2027</v>
      </c>
      <c r="D115" s="202">
        <v>0.05</v>
      </c>
      <c r="E115" s="208">
        <f t="array" aca="1" ref="E115" ca="1">IF($G130&lt;$H$107,INDEX(Model!$D$205:$AU$205,(MATCH($G130,Model!$D$157:$AU$157,0)+3)),E130)</f>
        <v>0.1</v>
      </c>
      <c r="F115" s="209">
        <f t="array" aca="1" ref="F115" ca="1">IF($G130&lt;$H$107,INDEX(Model!$D$205:$AU$205,(MATCH($G130,Model!$D$157:$AU$157,0)+3)),F130)</f>
        <v>0.25</v>
      </c>
      <c r="G115" s="183"/>
      <c r="H115" s="183"/>
    </row>
    <row r="116" spans="1:15" ht="15.75" customHeight="1" x14ac:dyDescent="0.2">
      <c r="C116" s="197">
        <f t="shared" si="13"/>
        <v>2028</v>
      </c>
      <c r="D116" s="210">
        <v>7.4999999999999997E-2</v>
      </c>
      <c r="E116" s="208">
        <f t="array" aca="1" ref="E116" ca="1">IF($G131&lt;$H$107,INDEX(Model!$D$205:$AU$205,(MATCH($G131,Model!$D$157:$AU$157,0)+3)),E131)</f>
        <v>0.25</v>
      </c>
      <c r="F116" s="209">
        <f t="array" aca="1" ref="F116" ca="1">IF($G131&lt;$H$107,INDEX(Model!$D$205:$AU$205,(MATCH($G131,Model!$D$157:$AU$157,0)+3)),F131)</f>
        <v>0.35</v>
      </c>
      <c r="G116" s="183"/>
      <c r="H116" s="183"/>
    </row>
    <row r="117" spans="1:15" ht="15.75" customHeight="1" x14ac:dyDescent="0.2">
      <c r="C117" s="197">
        <f t="shared" si="13"/>
        <v>2029</v>
      </c>
      <c r="D117" s="210">
        <v>0.15</v>
      </c>
      <c r="E117" s="208">
        <f t="array" aca="1" ref="E117" ca="1">IF($G132&lt;$H$107,INDEX(Model!$D$205:$AU$205,(MATCH($G132,Model!$D$157:$AU$157,0)+3)),E132)</f>
        <v>0.5</v>
      </c>
      <c r="F117" s="209">
        <f t="array" aca="1" ref="F117" ca="1">IF($G132&lt;$H$107,INDEX(Model!$D$205:$AU$205,(MATCH($G132,Model!$D$157:$AU$157,0)+3)),F132)</f>
        <v>1</v>
      </c>
      <c r="G117" s="183"/>
      <c r="H117" s="183"/>
      <c r="J117" s="211" t="s">
        <v>109</v>
      </c>
      <c r="K117" s="105"/>
      <c r="L117" s="212" t="s">
        <v>110</v>
      </c>
      <c r="M117" s="198" t="s">
        <v>111</v>
      </c>
    </row>
    <row r="118" spans="1:15" ht="15.75" customHeight="1" x14ac:dyDescent="0.2">
      <c r="C118" s="197">
        <f t="shared" si="13"/>
        <v>2030</v>
      </c>
      <c r="D118" s="210">
        <v>0.25</v>
      </c>
      <c r="E118" s="208">
        <f t="array" aca="1" ref="E118" ca="1">IF($G133&lt;$H$107,INDEX(Model!$D$205:$AU$205,(MATCH($G133,Model!$D$157:$AU$157,0)+3)),E133)</f>
        <v>1</v>
      </c>
      <c r="F118" s="209">
        <f t="array" aca="1" ref="F118" ca="1">IF($G133&lt;$H$107,INDEX(Model!$D$205:$AU$205,(MATCH($G133,Model!$D$157:$AU$157,0)+3)),F133)</f>
        <v>1.5</v>
      </c>
      <c r="G118" s="183"/>
      <c r="H118" s="183"/>
      <c r="J118" s="213" t="s">
        <v>112</v>
      </c>
      <c r="K118" s="214">
        <v>5</v>
      </c>
      <c r="L118" s="215">
        <f t="shared" ref="L118:L123" si="15">K118/4</f>
        <v>1.25</v>
      </c>
      <c r="M118" s="216" t="str">
        <f ca="1">Portfolio!R324</f>
        <v>NA</v>
      </c>
    </row>
    <row r="119" spans="1:15" ht="15.75" customHeight="1" x14ac:dyDescent="0.2">
      <c r="C119" s="197">
        <f t="shared" si="13"/>
        <v>2031</v>
      </c>
      <c r="D119" s="209">
        <f t="array" aca="1" ref="D119" ca="1">IF($G134&lt;$H$107,INDEX(Model!$D$177:$AU$177,(MATCH($G134,Model!$D$157:$AU$157,0)+3)),D134)</f>
        <v>0.25</v>
      </c>
      <c r="E119" s="208">
        <f t="array" aca="1" ref="E119" ca="1">IF($G134&lt;$H$107,INDEX(Model!$D$205:$AU$205,(MATCH($G134,Model!$D$157:$AU$157,0)+3)),E134)</f>
        <v>0.5</v>
      </c>
      <c r="F119" s="209">
        <f t="array" aca="1" ref="F119" ca="1">IF($G134&lt;$H$107,INDEX(Model!$D$205:$AU$205,(MATCH($G134,Model!$D$157:$AU$157,0)+3)),F134)</f>
        <v>1</v>
      </c>
      <c r="G119" s="183"/>
      <c r="H119" s="183"/>
      <c r="J119" s="213" t="s">
        <v>113</v>
      </c>
      <c r="K119" s="217">
        <v>65</v>
      </c>
      <c r="L119" s="218">
        <f t="shared" si="15"/>
        <v>16.25</v>
      </c>
      <c r="M119" s="216" t="str">
        <f ca="1">Portfolio!S324</f>
        <v>NA</v>
      </c>
    </row>
    <row r="120" spans="1:15" ht="15.75" customHeight="1" x14ac:dyDescent="0.2">
      <c r="C120" s="219">
        <f t="shared" si="13"/>
        <v>2032</v>
      </c>
      <c r="D120" s="220">
        <v>0.2</v>
      </c>
      <c r="E120" s="221">
        <f t="shared" ref="E120:F120" ca="1" si="16">E119</f>
        <v>0.5</v>
      </c>
      <c r="F120" s="222">
        <f t="shared" ca="1" si="16"/>
        <v>1</v>
      </c>
      <c r="G120" s="183"/>
      <c r="H120" s="183"/>
      <c r="J120" s="170" t="s">
        <v>114</v>
      </c>
      <c r="K120" s="217">
        <v>75</v>
      </c>
      <c r="L120" s="218">
        <f t="shared" si="15"/>
        <v>18.75</v>
      </c>
      <c r="M120" s="216" t="str">
        <f ca="1">Portfolio!T324</f>
        <v>NA</v>
      </c>
    </row>
    <row r="121" spans="1:15" ht="15.75" customHeight="1" x14ac:dyDescent="0.2">
      <c r="J121" s="170" t="s">
        <v>115</v>
      </c>
      <c r="K121" s="217">
        <v>76</v>
      </c>
      <c r="L121" s="215">
        <f t="shared" si="15"/>
        <v>19</v>
      </c>
      <c r="M121" s="223" t="str">
        <f ca="1">Portfolio!U324</f>
        <v>NA</v>
      </c>
    </row>
    <row r="122" spans="1:15" ht="15.75" customHeight="1" x14ac:dyDescent="0.2">
      <c r="D122" s="493" t="s">
        <v>116</v>
      </c>
      <c r="E122" s="491"/>
      <c r="F122" s="492"/>
      <c r="G122" s="494" t="s">
        <v>117</v>
      </c>
      <c r="H122" s="492"/>
      <c r="J122" s="170" t="s">
        <v>118</v>
      </c>
      <c r="K122" s="217">
        <v>64</v>
      </c>
      <c r="L122" s="215">
        <f t="shared" si="15"/>
        <v>16</v>
      </c>
      <c r="M122" s="223" t="str">
        <f ca="1">Portfolio!V324</f>
        <v>NA</v>
      </c>
    </row>
    <row r="123" spans="1:15" ht="15.75" customHeight="1" x14ac:dyDescent="0.25">
      <c r="A123" s="83"/>
      <c r="B123" s="58"/>
      <c r="C123" s="20" t="s">
        <v>102</v>
      </c>
      <c r="D123" s="23" t="s">
        <v>103</v>
      </c>
      <c r="E123" s="22" t="s">
        <v>104</v>
      </c>
      <c r="F123" s="22" t="s">
        <v>105</v>
      </c>
      <c r="G123" s="23" t="s">
        <v>119</v>
      </c>
      <c r="H123" s="22" t="s">
        <v>120</v>
      </c>
      <c r="J123" s="181" t="s">
        <v>121</v>
      </c>
      <c r="K123" s="224">
        <v>0</v>
      </c>
      <c r="L123" s="225">
        <f t="shared" si="15"/>
        <v>0</v>
      </c>
      <c r="M123" s="226" t="str">
        <f ca="1">Portfolio!W324</f>
        <v>NA</v>
      </c>
    </row>
    <row r="124" spans="1:15" ht="15.75" customHeight="1" x14ac:dyDescent="0.25">
      <c r="A124" s="83"/>
      <c r="B124" s="58"/>
      <c r="C124" s="170" t="str">
        <f t="shared" ref="C124:C135" si="17">"Y"&amp;G124&amp;"-Y"&amp;H124</f>
        <v>Y0-Y0</v>
      </c>
      <c r="D124" s="227">
        <v>0</v>
      </c>
      <c r="E124" s="228">
        <v>0</v>
      </c>
      <c r="F124" s="228">
        <v>0</v>
      </c>
      <c r="G124" s="229">
        <v>0</v>
      </c>
      <c r="H124" s="230">
        <v>0</v>
      </c>
    </row>
    <row r="125" spans="1:15" ht="15.75" customHeight="1" x14ac:dyDescent="0.25">
      <c r="A125" s="83"/>
      <c r="B125" s="58"/>
      <c r="C125" s="170" t="str">
        <f t="shared" si="17"/>
        <v>Y1-Y1</v>
      </c>
      <c r="D125" s="231">
        <v>0</v>
      </c>
      <c r="E125" s="232">
        <v>0</v>
      </c>
      <c r="F125" s="232">
        <v>0</v>
      </c>
      <c r="G125" s="233">
        <f t="shared" ref="G125:G135" si="18">H124+1</f>
        <v>1</v>
      </c>
      <c r="H125" s="230">
        <v>1</v>
      </c>
      <c r="L125" s="234"/>
    </row>
    <row r="126" spans="1:15" ht="15.75" customHeight="1" x14ac:dyDescent="0.25">
      <c r="A126" s="83"/>
      <c r="B126" s="58"/>
      <c r="C126" s="170" t="str">
        <f t="shared" si="17"/>
        <v>Y2-Y2</v>
      </c>
      <c r="D126" s="231">
        <v>0</v>
      </c>
      <c r="E126" s="232">
        <v>0</v>
      </c>
      <c r="F126" s="232">
        <v>0.01</v>
      </c>
      <c r="G126" s="233">
        <f t="shared" si="18"/>
        <v>2</v>
      </c>
      <c r="H126" s="230">
        <v>2</v>
      </c>
    </row>
    <row r="127" spans="1:15" ht="15.75" customHeight="1" x14ac:dyDescent="0.25">
      <c r="A127" s="83"/>
      <c r="B127" s="58"/>
      <c r="C127" s="170" t="str">
        <f t="shared" si="17"/>
        <v>Y3-Y3</v>
      </c>
      <c r="D127" s="231">
        <v>0</v>
      </c>
      <c r="E127" s="235">
        <v>0.02</v>
      </c>
      <c r="F127" s="235">
        <v>7.0000000000000007E-2</v>
      </c>
      <c r="G127" s="233">
        <f t="shared" si="18"/>
        <v>3</v>
      </c>
      <c r="H127" s="230">
        <v>3</v>
      </c>
    </row>
    <row r="128" spans="1:15" ht="15.75" customHeight="1" x14ac:dyDescent="0.25">
      <c r="A128" s="83"/>
      <c r="B128" s="58"/>
      <c r="C128" s="170" t="str">
        <f t="shared" si="17"/>
        <v>Y4-Y4</v>
      </c>
      <c r="D128" s="236">
        <v>0</v>
      </c>
      <c r="E128" s="235">
        <v>0.06</v>
      </c>
      <c r="F128" s="235">
        <v>0.15</v>
      </c>
      <c r="G128" s="233">
        <f t="shared" si="18"/>
        <v>4</v>
      </c>
      <c r="H128" s="230">
        <v>4</v>
      </c>
    </row>
    <row r="129" spans="1:26" ht="15.75" customHeight="1" x14ac:dyDescent="0.25">
      <c r="A129" s="83"/>
      <c r="B129" s="58"/>
      <c r="C129" s="170" t="str">
        <f t="shared" si="17"/>
        <v>Y5-Y5</v>
      </c>
      <c r="D129" s="236">
        <v>0</v>
      </c>
      <c r="E129" s="235">
        <v>0.08</v>
      </c>
      <c r="F129" s="235">
        <v>0.2</v>
      </c>
      <c r="G129" s="233">
        <f t="shared" si="18"/>
        <v>5</v>
      </c>
      <c r="H129" s="230">
        <v>5</v>
      </c>
    </row>
    <row r="130" spans="1:26" ht="15.75" customHeight="1" x14ac:dyDescent="0.25">
      <c r="A130" s="83"/>
      <c r="B130" s="58"/>
      <c r="C130" s="170" t="str">
        <f t="shared" si="17"/>
        <v>Y6-Y6</v>
      </c>
      <c r="D130" s="236">
        <v>0</v>
      </c>
      <c r="E130" s="235">
        <v>0.1</v>
      </c>
      <c r="F130" s="232">
        <v>0.25</v>
      </c>
      <c r="G130" s="233">
        <f t="shared" si="18"/>
        <v>6</v>
      </c>
      <c r="H130" s="230">
        <v>6</v>
      </c>
    </row>
    <row r="131" spans="1:26" ht="15.75" customHeight="1" x14ac:dyDescent="0.25">
      <c r="A131" s="83"/>
      <c r="B131" s="58"/>
      <c r="C131" s="170" t="str">
        <f t="shared" si="17"/>
        <v>Y7-Y7</v>
      </c>
      <c r="D131" s="236">
        <v>0.05</v>
      </c>
      <c r="E131" s="235">
        <v>0.25</v>
      </c>
      <c r="F131" s="232">
        <v>0.35</v>
      </c>
      <c r="G131" s="233">
        <f t="shared" si="18"/>
        <v>7</v>
      </c>
      <c r="H131" s="230">
        <v>7</v>
      </c>
    </row>
    <row r="132" spans="1:26" ht="15.75" customHeight="1" x14ac:dyDescent="0.25">
      <c r="A132" s="83"/>
      <c r="B132" s="58"/>
      <c r="C132" s="170" t="str">
        <f t="shared" si="17"/>
        <v>Y8-Y8</v>
      </c>
      <c r="D132" s="236">
        <v>0.12</v>
      </c>
      <c r="E132" s="235">
        <v>0.5</v>
      </c>
      <c r="F132" s="235">
        <v>1</v>
      </c>
      <c r="G132" s="233">
        <f t="shared" si="18"/>
        <v>8</v>
      </c>
      <c r="H132" s="230">
        <v>8</v>
      </c>
    </row>
    <row r="133" spans="1:26" ht="15.75" customHeight="1" x14ac:dyDescent="0.25">
      <c r="A133" s="83"/>
      <c r="B133" s="58"/>
      <c r="C133" s="170" t="str">
        <f t="shared" si="17"/>
        <v>Y9-Y9</v>
      </c>
      <c r="D133" s="231">
        <v>0.2</v>
      </c>
      <c r="E133" s="235">
        <v>1</v>
      </c>
      <c r="F133" s="235">
        <v>1.5</v>
      </c>
      <c r="G133" s="233">
        <f t="shared" si="18"/>
        <v>9</v>
      </c>
      <c r="H133" s="230">
        <v>9</v>
      </c>
    </row>
    <row r="134" spans="1:26" ht="15.75" customHeight="1" x14ac:dyDescent="0.25">
      <c r="A134" s="83"/>
      <c r="B134" s="58"/>
      <c r="C134" s="170" t="str">
        <f t="shared" si="17"/>
        <v>Y10-Y10</v>
      </c>
      <c r="D134" s="231">
        <v>0.25</v>
      </c>
      <c r="E134" s="235">
        <v>0.5</v>
      </c>
      <c r="F134" s="235">
        <v>1</v>
      </c>
      <c r="G134" s="233">
        <f t="shared" si="18"/>
        <v>10</v>
      </c>
      <c r="H134" s="230">
        <v>10</v>
      </c>
    </row>
    <row r="135" spans="1:26" ht="15.75" customHeight="1" x14ac:dyDescent="0.25">
      <c r="A135" s="83"/>
      <c r="B135" s="58"/>
      <c r="C135" s="206" t="str">
        <f t="shared" si="17"/>
        <v>Y11-Y&gt;</v>
      </c>
      <c r="D135" s="237">
        <f t="shared" ref="D135:F135" si="19">D134</f>
        <v>0.25</v>
      </c>
      <c r="E135" s="237">
        <f t="shared" si="19"/>
        <v>0.5</v>
      </c>
      <c r="F135" s="237">
        <f t="shared" si="19"/>
        <v>1</v>
      </c>
      <c r="G135" s="238">
        <f t="shared" si="18"/>
        <v>11</v>
      </c>
      <c r="H135" s="239" t="s">
        <v>122</v>
      </c>
    </row>
    <row r="136" spans="1:26" ht="15.75" customHeight="1" x14ac:dyDescent="0.25">
      <c r="A136" s="83"/>
      <c r="B136" s="58"/>
    </row>
    <row r="137" spans="1:26" ht="15.75" customHeight="1" x14ac:dyDescent="0.25">
      <c r="A137" s="83"/>
      <c r="B137" s="58"/>
    </row>
    <row r="138" spans="1:26" ht="15.75" customHeight="1" x14ac:dyDescent="0.25">
      <c r="A138" s="83" t="s">
        <v>30</v>
      </c>
      <c r="B138" s="102" t="s">
        <v>123</v>
      </c>
      <c r="C138" s="58"/>
    </row>
    <row r="139" spans="1:26" ht="3" customHeight="1" x14ac:dyDescent="0.2">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row>
    <row r="140" spans="1:26" ht="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C141" s="20" t="s">
        <v>124</v>
      </c>
      <c r="D141" s="240" t="s">
        <v>125</v>
      </c>
      <c r="E141" s="105" t="s">
        <v>126</v>
      </c>
    </row>
    <row r="142" spans="1:26" ht="15.75" customHeight="1" x14ac:dyDescent="0.2">
      <c r="A142" s="3"/>
      <c r="C142" s="213" t="s">
        <v>127</v>
      </c>
      <c r="D142" s="241">
        <v>6.2500000000000003E-3</v>
      </c>
      <c r="E142" s="242" t="s">
        <v>128</v>
      </c>
    </row>
    <row r="143" spans="1:26" ht="15.75" customHeight="1" x14ac:dyDescent="0.2">
      <c r="A143" s="3"/>
      <c r="C143" s="243" t="s">
        <v>129</v>
      </c>
      <c r="D143" s="244">
        <v>1.25E-4</v>
      </c>
      <c r="E143" s="242" t="s">
        <v>130</v>
      </c>
    </row>
    <row r="144" spans="1:26" ht="15.75" customHeight="1" x14ac:dyDescent="0.2">
      <c r="A144" s="3"/>
      <c r="C144" s="243" t="s">
        <v>131</v>
      </c>
      <c r="D144" s="244">
        <v>1.4999999999999999E-2</v>
      </c>
      <c r="E144" s="245"/>
    </row>
    <row r="145" spans="1:5" ht="15.75" customHeight="1" x14ac:dyDescent="0.2">
      <c r="A145" s="3"/>
      <c r="C145" s="170" t="s">
        <v>132</v>
      </c>
      <c r="D145" s="246">
        <v>0</v>
      </c>
      <c r="E145" s="242" t="s">
        <v>128</v>
      </c>
    </row>
    <row r="146" spans="1:5" ht="15.75" customHeight="1" x14ac:dyDescent="0.2">
      <c r="A146" s="3"/>
      <c r="C146" s="170" t="s">
        <v>133</v>
      </c>
      <c r="D146" s="246">
        <v>0</v>
      </c>
      <c r="E146" s="242" t="s">
        <v>128</v>
      </c>
    </row>
    <row r="147" spans="1:5" ht="15.75" customHeight="1" x14ac:dyDescent="0.2">
      <c r="A147" s="3"/>
      <c r="C147" s="247" t="s">
        <v>134</v>
      </c>
      <c r="D147" s="248">
        <v>5000</v>
      </c>
      <c r="E147" s="242" t="s">
        <v>128</v>
      </c>
    </row>
    <row r="148" spans="1:5" ht="15.75" customHeight="1" x14ac:dyDescent="0.2">
      <c r="A148" s="3"/>
      <c r="C148" s="247" t="s">
        <v>135</v>
      </c>
      <c r="D148" s="248">
        <v>5000</v>
      </c>
      <c r="E148" s="242" t="s">
        <v>128</v>
      </c>
    </row>
    <row r="149" spans="1:5" ht="15.75" customHeight="1" x14ac:dyDescent="0.2">
      <c r="A149" s="3"/>
      <c r="C149" s="247" t="s">
        <v>136</v>
      </c>
      <c r="D149" s="248">
        <v>5000</v>
      </c>
      <c r="E149" s="242" t="s">
        <v>128</v>
      </c>
    </row>
    <row r="150" spans="1:5" ht="15.75" customHeight="1" x14ac:dyDescent="0.2">
      <c r="A150" s="3"/>
      <c r="C150" s="247" t="s">
        <v>137</v>
      </c>
      <c r="D150" s="248">
        <v>5000</v>
      </c>
      <c r="E150" s="242" t="s">
        <v>128</v>
      </c>
    </row>
    <row r="151" spans="1:5" ht="15.75" customHeight="1" x14ac:dyDescent="0.2">
      <c r="A151" s="3"/>
      <c r="C151" s="249" t="s">
        <v>138</v>
      </c>
      <c r="D151" s="250">
        <v>5000</v>
      </c>
      <c r="E151" s="251" t="s">
        <v>128</v>
      </c>
    </row>
    <row r="152" spans="1:5" ht="15.75" customHeight="1" x14ac:dyDescent="0.2">
      <c r="A152" s="3"/>
    </row>
    <row r="153" spans="1:5" ht="15.75" customHeight="1" x14ac:dyDescent="0.2">
      <c r="A153" s="3"/>
    </row>
    <row r="154" spans="1:5" ht="15.75" customHeight="1" x14ac:dyDescent="0.2">
      <c r="A154" s="3"/>
    </row>
    <row r="155" spans="1:5" ht="15.75" customHeight="1" x14ac:dyDescent="0.2">
      <c r="A155" s="3"/>
    </row>
    <row r="156" spans="1:5" ht="15.75" customHeight="1" x14ac:dyDescent="0.2">
      <c r="A156" s="3"/>
    </row>
    <row r="157" spans="1:5" ht="15.75" customHeight="1" x14ac:dyDescent="0.2">
      <c r="A157" s="3"/>
      <c r="B157" s="252"/>
      <c r="C157" s="252"/>
    </row>
    <row r="158" spans="1:5" ht="15.75" customHeight="1" x14ac:dyDescent="0.2">
      <c r="A158" s="3"/>
      <c r="B158" s="253"/>
      <c r="C158" s="253"/>
    </row>
    <row r="159" spans="1:5" ht="15.75" customHeight="1" x14ac:dyDescent="0.2">
      <c r="A159" s="3"/>
    </row>
    <row r="160" spans="1:5" ht="15.75" customHeight="1" x14ac:dyDescent="0.2">
      <c r="A160" s="3"/>
    </row>
    <row r="161" spans="1:1" ht="15.75" customHeight="1" x14ac:dyDescent="0.2">
      <c r="A161" s="3"/>
    </row>
    <row r="162" spans="1:1" ht="15.75" customHeight="1" x14ac:dyDescent="0.2">
      <c r="A162" s="3"/>
    </row>
    <row r="163" spans="1:1" ht="15.75" customHeight="1" x14ac:dyDescent="0.2">
      <c r="A163" s="3"/>
    </row>
    <row r="164" spans="1:1" ht="15.75" customHeight="1" x14ac:dyDescent="0.2">
      <c r="A164" s="3"/>
    </row>
    <row r="165" spans="1:1" ht="15.75" customHeight="1" x14ac:dyDescent="0.2">
      <c r="A165" s="3"/>
    </row>
    <row r="166" spans="1:1" ht="15.75" customHeight="1" x14ac:dyDescent="0.2">
      <c r="A166" s="3"/>
    </row>
    <row r="167" spans="1:1" ht="15.75" customHeight="1" x14ac:dyDescent="0.2">
      <c r="A167" s="3"/>
    </row>
    <row r="168" spans="1:1" ht="15.75" customHeight="1" x14ac:dyDescent="0.2">
      <c r="A168" s="3"/>
    </row>
    <row r="169" spans="1:1" ht="15.75" customHeight="1" x14ac:dyDescent="0.2">
      <c r="A169" s="3"/>
    </row>
    <row r="170" spans="1:1" ht="15.75" customHeight="1" x14ac:dyDescent="0.2">
      <c r="A170" s="3"/>
    </row>
    <row r="171" spans="1:1" ht="15.75" customHeight="1" x14ac:dyDescent="0.2">
      <c r="A171" s="3"/>
    </row>
    <row r="172" spans="1:1" ht="15.75" customHeight="1" x14ac:dyDescent="0.2">
      <c r="A172" s="3"/>
    </row>
    <row r="173" spans="1:1" ht="15.75" customHeight="1" x14ac:dyDescent="0.2">
      <c r="A173" s="3"/>
    </row>
    <row r="174" spans="1:1" ht="15.75" customHeight="1" x14ac:dyDescent="0.2">
      <c r="A174" s="3"/>
    </row>
    <row r="175" spans="1:1" ht="15.75" customHeight="1" x14ac:dyDescent="0.2">
      <c r="A175" s="3"/>
    </row>
    <row r="176" spans="1:1" ht="15.75" customHeight="1" x14ac:dyDescent="0.2">
      <c r="A176" s="3"/>
    </row>
    <row r="177" spans="1:1" ht="15.75" customHeight="1" x14ac:dyDescent="0.2">
      <c r="A177" s="3"/>
    </row>
    <row r="178" spans="1:1" ht="15.75" customHeight="1" x14ac:dyDescent="0.2">
      <c r="A178" s="3"/>
    </row>
    <row r="179" spans="1:1" ht="15.75" customHeight="1" x14ac:dyDescent="0.2">
      <c r="A179" s="3"/>
    </row>
    <row r="180" spans="1:1" ht="15.75" customHeight="1" x14ac:dyDescent="0.2">
      <c r="A180" s="3"/>
    </row>
    <row r="181" spans="1:1" ht="15.75" customHeight="1" x14ac:dyDescent="0.2">
      <c r="A181" s="3"/>
    </row>
    <row r="182" spans="1:1" ht="15.75" customHeight="1" x14ac:dyDescent="0.2">
      <c r="A182" s="3"/>
    </row>
    <row r="183" spans="1:1" ht="15.75" customHeight="1" x14ac:dyDescent="0.2">
      <c r="A183" s="3"/>
    </row>
    <row r="184" spans="1:1" ht="15.75" customHeight="1" x14ac:dyDescent="0.2">
      <c r="A184" s="3"/>
    </row>
    <row r="185" spans="1:1" ht="15.75" customHeight="1" x14ac:dyDescent="0.2">
      <c r="A185" s="3"/>
    </row>
    <row r="186" spans="1:1" ht="15.75" customHeight="1" x14ac:dyDescent="0.2">
      <c r="A186" s="3"/>
    </row>
    <row r="187" spans="1:1" ht="15.75" customHeight="1" x14ac:dyDescent="0.2">
      <c r="A187" s="3"/>
    </row>
    <row r="188" spans="1:1" ht="15.75" customHeight="1" x14ac:dyDescent="0.2">
      <c r="A188" s="3"/>
    </row>
    <row r="189" spans="1:1" ht="15.75" customHeight="1" x14ac:dyDescent="0.2">
      <c r="A189" s="3"/>
    </row>
    <row r="190" spans="1:1" ht="15.75" customHeight="1" x14ac:dyDescent="0.2">
      <c r="A190" s="3"/>
    </row>
    <row r="191" spans="1:1" ht="15.75" customHeight="1" x14ac:dyDescent="0.2">
      <c r="A191" s="3"/>
    </row>
    <row r="192" spans="1:1" ht="15.75" customHeight="1" x14ac:dyDescent="0.2">
      <c r="A192" s="3"/>
    </row>
    <row r="193" spans="1:1" ht="15.75" customHeight="1" x14ac:dyDescent="0.2">
      <c r="A193" s="3"/>
    </row>
    <row r="194" spans="1:1" ht="15.75" customHeight="1" x14ac:dyDescent="0.2">
      <c r="A194" s="3"/>
    </row>
    <row r="195" spans="1:1" ht="15.75" customHeight="1" x14ac:dyDescent="0.2">
      <c r="A195" s="3"/>
    </row>
    <row r="196" spans="1:1" ht="15.75" customHeight="1" x14ac:dyDescent="0.2">
      <c r="A196" s="3"/>
    </row>
    <row r="197" spans="1:1" ht="15.75" customHeight="1" x14ac:dyDescent="0.2">
      <c r="A197" s="3"/>
    </row>
    <row r="198" spans="1:1" ht="15.75" customHeight="1" x14ac:dyDescent="0.2">
      <c r="A198" s="3"/>
    </row>
    <row r="199" spans="1:1" ht="15.75" customHeight="1" x14ac:dyDescent="0.2">
      <c r="A199" s="3"/>
    </row>
    <row r="200" spans="1:1" ht="15.75" customHeight="1" x14ac:dyDescent="0.2">
      <c r="A200" s="3"/>
    </row>
    <row r="201" spans="1:1" ht="15.75" customHeight="1" x14ac:dyDescent="0.2">
      <c r="A201" s="3"/>
    </row>
    <row r="202" spans="1:1" ht="15.75" customHeight="1" x14ac:dyDescent="0.2">
      <c r="A202" s="3"/>
    </row>
    <row r="203" spans="1:1" ht="15.75" customHeight="1" x14ac:dyDescent="0.2">
      <c r="A203" s="3"/>
    </row>
    <row r="204" spans="1:1" ht="15.75" customHeight="1" x14ac:dyDescent="0.2">
      <c r="A204" s="3"/>
    </row>
    <row r="205" spans="1:1" ht="15.75" customHeight="1" x14ac:dyDescent="0.2">
      <c r="A205" s="3"/>
    </row>
    <row r="206" spans="1:1" ht="15.75" customHeight="1" x14ac:dyDescent="0.2">
      <c r="A206" s="3"/>
    </row>
    <row r="207" spans="1:1" ht="15.75" customHeight="1" x14ac:dyDescent="0.2">
      <c r="A207" s="3"/>
    </row>
    <row r="208" spans="1:1" ht="15.75" customHeight="1" x14ac:dyDescent="0.2">
      <c r="A208" s="3"/>
    </row>
    <row r="209" spans="1:1" ht="15.75" customHeight="1" x14ac:dyDescent="0.2">
      <c r="A209" s="3"/>
    </row>
    <row r="210" spans="1:1" ht="15.75" customHeight="1" x14ac:dyDescent="0.2">
      <c r="A210" s="3"/>
    </row>
    <row r="211" spans="1:1" ht="15.75" customHeight="1" x14ac:dyDescent="0.2">
      <c r="A211" s="3"/>
    </row>
    <row r="212" spans="1:1" ht="15.75" customHeight="1" x14ac:dyDescent="0.2">
      <c r="A212" s="3"/>
    </row>
    <row r="213" spans="1:1" ht="15.75" customHeight="1" x14ac:dyDescent="0.2">
      <c r="A213" s="3"/>
    </row>
    <row r="214" spans="1:1" ht="15.75" customHeight="1" x14ac:dyDescent="0.2">
      <c r="A214" s="3"/>
    </row>
    <row r="215" spans="1:1" ht="15.75" customHeight="1" x14ac:dyDescent="0.2">
      <c r="A215" s="3"/>
    </row>
    <row r="216" spans="1:1" ht="15.75" customHeight="1" x14ac:dyDescent="0.2">
      <c r="A216" s="3"/>
    </row>
    <row r="217" spans="1:1" ht="15.75" customHeight="1" x14ac:dyDescent="0.2">
      <c r="A217" s="3"/>
    </row>
    <row r="218" spans="1:1" ht="15.75" customHeight="1" x14ac:dyDescent="0.2">
      <c r="A218" s="3"/>
    </row>
    <row r="219" spans="1:1" ht="15.75" customHeight="1" x14ac:dyDescent="0.2">
      <c r="A219" s="3"/>
    </row>
    <row r="220" spans="1:1" ht="15.75" customHeight="1" x14ac:dyDescent="0.2">
      <c r="A220" s="3"/>
    </row>
    <row r="221" spans="1:1" ht="15.75" customHeight="1" x14ac:dyDescent="0.2">
      <c r="A221" s="3"/>
    </row>
    <row r="222" spans="1:1" ht="15.75" customHeight="1" x14ac:dyDescent="0.2">
      <c r="A222" s="3"/>
    </row>
    <row r="223" spans="1:1" ht="15.75" customHeight="1" x14ac:dyDescent="0.2">
      <c r="A223" s="3"/>
    </row>
    <row r="224" spans="1:1" ht="15.75" customHeight="1" x14ac:dyDescent="0.2">
      <c r="A224" s="3"/>
    </row>
    <row r="225" spans="1:1" ht="15.75" customHeight="1" x14ac:dyDescent="0.2">
      <c r="A225" s="3"/>
    </row>
    <row r="226" spans="1:1" ht="15.75" customHeight="1" x14ac:dyDescent="0.2">
      <c r="A226" s="3"/>
    </row>
    <row r="227" spans="1:1" ht="15.75" customHeight="1" x14ac:dyDescent="0.2">
      <c r="A227" s="3"/>
    </row>
    <row r="228" spans="1:1" ht="15.75" customHeight="1" x14ac:dyDescent="0.2">
      <c r="A228" s="3"/>
    </row>
    <row r="229" spans="1:1" ht="15.75" customHeight="1" x14ac:dyDescent="0.2">
      <c r="A229" s="3"/>
    </row>
    <row r="230" spans="1:1" ht="15.75" customHeight="1" x14ac:dyDescent="0.2">
      <c r="A230" s="3"/>
    </row>
    <row r="231" spans="1:1" ht="15.75" customHeight="1" x14ac:dyDescent="0.2">
      <c r="A231" s="3"/>
    </row>
    <row r="232" spans="1:1" ht="15.75" customHeight="1" x14ac:dyDescent="0.2">
      <c r="A232" s="3"/>
    </row>
    <row r="233" spans="1:1" ht="15.75" customHeight="1" x14ac:dyDescent="0.2">
      <c r="A233" s="3"/>
    </row>
    <row r="234" spans="1:1" ht="15.75" customHeight="1" x14ac:dyDescent="0.2">
      <c r="A234" s="3"/>
    </row>
    <row r="235" spans="1:1" ht="15.75" customHeight="1" x14ac:dyDescent="0.2">
      <c r="A235" s="3"/>
    </row>
    <row r="236" spans="1:1" ht="15.75" customHeight="1" x14ac:dyDescent="0.2">
      <c r="A236" s="3"/>
    </row>
    <row r="237" spans="1:1" ht="15.75" customHeight="1" x14ac:dyDescent="0.2">
      <c r="A237" s="3"/>
    </row>
    <row r="238" spans="1:1" ht="15.75" customHeight="1" x14ac:dyDescent="0.2">
      <c r="A238" s="3"/>
    </row>
    <row r="239" spans="1:1" ht="15.75" customHeight="1" x14ac:dyDescent="0.2">
      <c r="A239" s="3"/>
    </row>
    <row r="240" spans="1:1" ht="15.75" customHeight="1" x14ac:dyDescent="0.2">
      <c r="A240" s="3"/>
    </row>
    <row r="241" spans="1:1" ht="15.75" customHeight="1" x14ac:dyDescent="0.2">
      <c r="A241" s="3"/>
    </row>
    <row r="242" spans="1:1" ht="15.75" customHeight="1" x14ac:dyDescent="0.2">
      <c r="A242" s="3"/>
    </row>
    <row r="243" spans="1:1" ht="15.75" customHeight="1" x14ac:dyDescent="0.2">
      <c r="A243" s="3"/>
    </row>
    <row r="244" spans="1:1" ht="15.75" customHeight="1" x14ac:dyDescent="0.2">
      <c r="A244" s="3"/>
    </row>
    <row r="245" spans="1:1" ht="15.75" customHeight="1" x14ac:dyDescent="0.2">
      <c r="A245" s="3"/>
    </row>
    <row r="246" spans="1:1" ht="15.75" customHeight="1" x14ac:dyDescent="0.2">
      <c r="A246" s="3"/>
    </row>
    <row r="247" spans="1:1" ht="15.75" customHeight="1" x14ac:dyDescent="0.2">
      <c r="A247" s="3"/>
    </row>
    <row r="248" spans="1:1" ht="15.75" customHeight="1" x14ac:dyDescent="0.2">
      <c r="A248" s="3"/>
    </row>
    <row r="249" spans="1:1" ht="15.75" customHeight="1" x14ac:dyDescent="0.2">
      <c r="A249" s="3"/>
    </row>
    <row r="250" spans="1:1" ht="15.75" customHeight="1" x14ac:dyDescent="0.2">
      <c r="A250" s="3"/>
    </row>
    <row r="251" spans="1:1" ht="15.75" customHeight="1" x14ac:dyDescent="0.2">
      <c r="A251" s="3"/>
    </row>
    <row r="252" spans="1:1" ht="15.75" customHeight="1" x14ac:dyDescent="0.2">
      <c r="A252" s="3"/>
    </row>
    <row r="253" spans="1:1" ht="15.75" customHeight="1" x14ac:dyDescent="0.2">
      <c r="A253" s="3"/>
    </row>
    <row r="254" spans="1:1" ht="15.75" customHeight="1" x14ac:dyDescent="0.2">
      <c r="A254" s="3"/>
    </row>
    <row r="255" spans="1:1" ht="15.75" customHeight="1" x14ac:dyDescent="0.2">
      <c r="A255" s="3"/>
    </row>
    <row r="256" spans="1:1" ht="15.75" customHeight="1" x14ac:dyDescent="0.2">
      <c r="A256" s="3"/>
    </row>
    <row r="257" spans="1:1" ht="15.75" customHeight="1" x14ac:dyDescent="0.2">
      <c r="A257" s="3"/>
    </row>
    <row r="258" spans="1:1" ht="15.75" customHeight="1" x14ac:dyDescent="0.2">
      <c r="A258" s="3"/>
    </row>
    <row r="259" spans="1:1" ht="15.75" customHeight="1" x14ac:dyDescent="0.2">
      <c r="A259" s="3"/>
    </row>
    <row r="260" spans="1:1" ht="15.75" customHeight="1" x14ac:dyDescent="0.2">
      <c r="A260" s="3"/>
    </row>
    <row r="261" spans="1:1" ht="15.75" customHeight="1" x14ac:dyDescent="0.2">
      <c r="A261" s="3"/>
    </row>
    <row r="262" spans="1:1" ht="15.75" customHeight="1" x14ac:dyDescent="0.2">
      <c r="A262" s="3"/>
    </row>
    <row r="263" spans="1:1" ht="15.75" customHeight="1" x14ac:dyDescent="0.2">
      <c r="A263" s="3"/>
    </row>
    <row r="264" spans="1:1" ht="15.75" customHeight="1" x14ac:dyDescent="0.2">
      <c r="A264" s="3"/>
    </row>
    <row r="265" spans="1:1" ht="15.75" customHeight="1" x14ac:dyDescent="0.2">
      <c r="A265" s="3"/>
    </row>
    <row r="266" spans="1:1" ht="15.75" customHeight="1" x14ac:dyDescent="0.2">
      <c r="A266" s="3"/>
    </row>
    <row r="267" spans="1:1" ht="15.75" customHeight="1" x14ac:dyDescent="0.2">
      <c r="A267" s="3"/>
    </row>
    <row r="268" spans="1:1" ht="15.75" customHeight="1" x14ac:dyDescent="0.2">
      <c r="A268" s="3"/>
    </row>
    <row r="269" spans="1:1" ht="15.75" customHeight="1" x14ac:dyDescent="0.2">
      <c r="A269" s="3"/>
    </row>
    <row r="270" spans="1:1" ht="15.75" customHeight="1" x14ac:dyDescent="0.2">
      <c r="A270" s="3"/>
    </row>
    <row r="271" spans="1:1" ht="15.75" customHeight="1" x14ac:dyDescent="0.2">
      <c r="A271" s="3"/>
    </row>
    <row r="272" spans="1:1" ht="15.75" customHeight="1" x14ac:dyDescent="0.2">
      <c r="A272" s="3"/>
    </row>
    <row r="273" spans="1:1" ht="15.75" customHeight="1" x14ac:dyDescent="0.2">
      <c r="A273" s="3"/>
    </row>
    <row r="274" spans="1:1" ht="15.75" customHeight="1" x14ac:dyDescent="0.2">
      <c r="A274" s="3"/>
    </row>
    <row r="275" spans="1:1" ht="15.75" customHeight="1" x14ac:dyDescent="0.2">
      <c r="A275" s="3"/>
    </row>
    <row r="276" spans="1:1" ht="15.75" customHeight="1" x14ac:dyDescent="0.2">
      <c r="A276" s="3"/>
    </row>
    <row r="277" spans="1:1" ht="15.75" customHeight="1" x14ac:dyDescent="0.2">
      <c r="A277" s="3"/>
    </row>
    <row r="278" spans="1:1" ht="15.75" customHeight="1" x14ac:dyDescent="0.2">
      <c r="A278" s="3"/>
    </row>
    <row r="279" spans="1:1" ht="15.75" customHeight="1" x14ac:dyDescent="0.2">
      <c r="A279" s="3"/>
    </row>
    <row r="280" spans="1:1" ht="15.75" customHeight="1" x14ac:dyDescent="0.2">
      <c r="A280" s="3"/>
    </row>
    <row r="281" spans="1:1" ht="15.75" customHeight="1" x14ac:dyDescent="0.2">
      <c r="A281" s="3"/>
    </row>
    <row r="282" spans="1:1" ht="15.75" customHeight="1" x14ac:dyDescent="0.2">
      <c r="A282" s="3"/>
    </row>
    <row r="283" spans="1:1" ht="15.75" customHeight="1" x14ac:dyDescent="0.2">
      <c r="A283" s="3"/>
    </row>
    <row r="284" spans="1:1" ht="15.75" customHeight="1" x14ac:dyDescent="0.2">
      <c r="A284" s="3"/>
    </row>
    <row r="285" spans="1:1" ht="15.75" customHeight="1" x14ac:dyDescent="0.2">
      <c r="A285" s="3"/>
    </row>
    <row r="286" spans="1:1" ht="15.75" customHeight="1" x14ac:dyDescent="0.2">
      <c r="A286" s="3"/>
    </row>
    <row r="287" spans="1:1" ht="15.75" customHeight="1" x14ac:dyDescent="0.2">
      <c r="A287" s="3"/>
    </row>
    <row r="288" spans="1:1" ht="15.75" customHeight="1" x14ac:dyDescent="0.2">
      <c r="A288" s="3"/>
    </row>
    <row r="289" spans="1:1" ht="15.75" customHeight="1" x14ac:dyDescent="0.2">
      <c r="A289" s="3"/>
    </row>
    <row r="290" spans="1:1" ht="15.75" customHeight="1" x14ac:dyDescent="0.2">
      <c r="A290" s="3"/>
    </row>
    <row r="291" spans="1:1" ht="15.75" customHeight="1" x14ac:dyDescent="0.2">
      <c r="A291" s="3"/>
    </row>
    <row r="292" spans="1:1" ht="15.75" customHeight="1" x14ac:dyDescent="0.2">
      <c r="A292" s="3"/>
    </row>
    <row r="293" spans="1:1" ht="15.75" customHeight="1" x14ac:dyDescent="0.2">
      <c r="A293" s="3"/>
    </row>
    <row r="294" spans="1:1" ht="15.75" customHeight="1" x14ac:dyDescent="0.2">
      <c r="A294" s="3"/>
    </row>
    <row r="295" spans="1:1" ht="15.75" customHeight="1" x14ac:dyDescent="0.2">
      <c r="A295" s="3"/>
    </row>
    <row r="296" spans="1:1" ht="15.75" customHeight="1" x14ac:dyDescent="0.2">
      <c r="A296" s="3"/>
    </row>
    <row r="297" spans="1:1" ht="15.75" customHeight="1" x14ac:dyDescent="0.2">
      <c r="A297" s="3"/>
    </row>
    <row r="298" spans="1:1" ht="15.75" customHeight="1" x14ac:dyDescent="0.2">
      <c r="A298" s="3"/>
    </row>
    <row r="299" spans="1:1" ht="15.75" customHeight="1" x14ac:dyDescent="0.2">
      <c r="A299" s="3"/>
    </row>
    <row r="300" spans="1:1" ht="15.75" customHeight="1" x14ac:dyDescent="0.2">
      <c r="A300" s="3"/>
    </row>
    <row r="301" spans="1:1" ht="15.75" customHeight="1" x14ac:dyDescent="0.2">
      <c r="A301" s="3"/>
    </row>
    <row r="302" spans="1:1" ht="15.75" customHeight="1" x14ac:dyDescent="0.2">
      <c r="A302" s="3"/>
    </row>
    <row r="303" spans="1:1" ht="15.75" customHeight="1" x14ac:dyDescent="0.2">
      <c r="A303" s="3"/>
    </row>
    <row r="304" spans="1:1" ht="15.75" customHeight="1" x14ac:dyDescent="0.2">
      <c r="A304" s="3"/>
    </row>
    <row r="305" spans="1:1" ht="15.75" customHeight="1" x14ac:dyDescent="0.2">
      <c r="A305" s="3"/>
    </row>
    <row r="306" spans="1:1" ht="15.75" customHeight="1" x14ac:dyDescent="0.2">
      <c r="A306" s="3"/>
    </row>
    <row r="307" spans="1:1" ht="15.75" customHeight="1" x14ac:dyDescent="0.2">
      <c r="A307" s="3"/>
    </row>
    <row r="308" spans="1:1" ht="15.75" customHeight="1" x14ac:dyDescent="0.2">
      <c r="A308" s="3"/>
    </row>
    <row r="309" spans="1:1" ht="15.75" customHeight="1" x14ac:dyDescent="0.2">
      <c r="A309" s="3"/>
    </row>
    <row r="310" spans="1:1" ht="15.75" customHeight="1" x14ac:dyDescent="0.2">
      <c r="A310" s="3"/>
    </row>
    <row r="311" spans="1:1" ht="15.75" customHeight="1" x14ac:dyDescent="0.2">
      <c r="A311" s="3"/>
    </row>
    <row r="312" spans="1:1" ht="15.75" customHeight="1" x14ac:dyDescent="0.2">
      <c r="A312" s="3"/>
    </row>
    <row r="313" spans="1:1" ht="15.75" customHeight="1" x14ac:dyDescent="0.2">
      <c r="A313" s="3"/>
    </row>
    <row r="314" spans="1:1" ht="15.75" customHeight="1" x14ac:dyDescent="0.2">
      <c r="A314" s="3"/>
    </row>
    <row r="315" spans="1:1" ht="15.75" customHeight="1" x14ac:dyDescent="0.2">
      <c r="A315" s="3"/>
    </row>
    <row r="316" spans="1:1" ht="15.75" customHeight="1" x14ac:dyDescent="0.2">
      <c r="A316" s="3"/>
    </row>
    <row r="317" spans="1:1" ht="15.75" customHeight="1" x14ac:dyDescent="0.2">
      <c r="A317" s="3"/>
    </row>
    <row r="318" spans="1:1" ht="15.75" customHeight="1" x14ac:dyDescent="0.2">
      <c r="A318" s="3"/>
    </row>
    <row r="319" spans="1:1" ht="15.75" customHeight="1" x14ac:dyDescent="0.2">
      <c r="A319" s="3"/>
    </row>
    <row r="320" spans="1:1" ht="15.75" customHeight="1" x14ac:dyDescent="0.2">
      <c r="A320" s="3"/>
    </row>
    <row r="321" spans="1:1" ht="15.75" customHeight="1" x14ac:dyDescent="0.2">
      <c r="A321" s="3"/>
    </row>
    <row r="322" spans="1:1" ht="15.75" customHeight="1" x14ac:dyDescent="0.2">
      <c r="A322" s="3"/>
    </row>
    <row r="323" spans="1:1" ht="15.75" customHeight="1" x14ac:dyDescent="0.2">
      <c r="A323" s="3"/>
    </row>
    <row r="324" spans="1:1" ht="15.75" customHeight="1" x14ac:dyDescent="0.2">
      <c r="A324" s="3"/>
    </row>
    <row r="325" spans="1:1" ht="15.75" customHeight="1" x14ac:dyDescent="0.2">
      <c r="A325" s="3"/>
    </row>
    <row r="326" spans="1:1" ht="15.75" customHeight="1" x14ac:dyDescent="0.2">
      <c r="A326" s="3"/>
    </row>
    <row r="327" spans="1:1" ht="15.75" customHeight="1" x14ac:dyDescent="0.2">
      <c r="A327" s="3"/>
    </row>
    <row r="328" spans="1:1" ht="15.75" customHeight="1" x14ac:dyDescent="0.2">
      <c r="A328" s="3"/>
    </row>
    <row r="329" spans="1:1" ht="15.75" customHeight="1" x14ac:dyDescent="0.2">
      <c r="A329" s="3"/>
    </row>
    <row r="330" spans="1:1" ht="15.75" customHeight="1" x14ac:dyDescent="0.2">
      <c r="A330" s="3"/>
    </row>
    <row r="331" spans="1:1" ht="15.75" customHeight="1" x14ac:dyDescent="0.2">
      <c r="A331" s="3"/>
    </row>
    <row r="332" spans="1:1" ht="15.75" customHeight="1" x14ac:dyDescent="0.2">
      <c r="A332" s="3"/>
    </row>
    <row r="333" spans="1:1" ht="15.75" customHeight="1" x14ac:dyDescent="0.2">
      <c r="A333" s="3"/>
    </row>
    <row r="334" spans="1:1" ht="15.75" customHeight="1" x14ac:dyDescent="0.2">
      <c r="A334" s="3"/>
    </row>
    <row r="335" spans="1:1" ht="15.75" customHeight="1" x14ac:dyDescent="0.2">
      <c r="A335" s="3"/>
    </row>
    <row r="336" spans="1:1" ht="15.75" customHeight="1" x14ac:dyDescent="0.2">
      <c r="A336" s="3"/>
    </row>
    <row r="337" spans="1:1" ht="15.75" customHeight="1" x14ac:dyDescent="0.2">
      <c r="A337" s="3"/>
    </row>
    <row r="338" spans="1:1" ht="15.75" customHeight="1" x14ac:dyDescent="0.2">
      <c r="A338" s="3"/>
    </row>
    <row r="339" spans="1:1" ht="15.75" customHeight="1" x14ac:dyDescent="0.2">
      <c r="A339" s="3"/>
    </row>
    <row r="340" spans="1:1" ht="15.75" customHeight="1" x14ac:dyDescent="0.2">
      <c r="A340" s="3"/>
    </row>
    <row r="341" spans="1:1" ht="15.75" customHeight="1" x14ac:dyDescent="0.2">
      <c r="A341" s="3"/>
    </row>
    <row r="342" spans="1:1" ht="15.75" customHeight="1" x14ac:dyDescent="0.2">
      <c r="A342" s="3"/>
    </row>
    <row r="343" spans="1:1" ht="15.75" customHeight="1" x14ac:dyDescent="0.2">
      <c r="A343" s="3"/>
    </row>
    <row r="344" spans="1:1" ht="15.75" customHeight="1" x14ac:dyDescent="0.2">
      <c r="A344" s="3"/>
    </row>
    <row r="345" spans="1:1" ht="15.75" customHeight="1" x14ac:dyDescent="0.2">
      <c r="A345" s="3"/>
    </row>
    <row r="346" spans="1:1" ht="15.75" customHeight="1" x14ac:dyDescent="0.2">
      <c r="A346" s="3"/>
    </row>
    <row r="347" spans="1:1" ht="15.75" customHeight="1" x14ac:dyDescent="0.2">
      <c r="A347" s="3"/>
    </row>
    <row r="348" spans="1:1" ht="15.75" customHeight="1" x14ac:dyDescent="0.2">
      <c r="A348" s="3"/>
    </row>
    <row r="349" spans="1:1" ht="15.75" customHeight="1" x14ac:dyDescent="0.2">
      <c r="A349" s="3"/>
    </row>
    <row r="350" spans="1:1" ht="15.75" customHeight="1" x14ac:dyDescent="0.2">
      <c r="A350" s="3"/>
    </row>
    <row r="351" spans="1:1" ht="15.75" customHeight="1" x14ac:dyDescent="0.2">
      <c r="A351" s="3"/>
    </row>
    <row r="352" spans="1:1" ht="15.75" customHeight="1" x14ac:dyDescent="0.2">
      <c r="A352" s="3"/>
    </row>
    <row r="353" spans="1:1" ht="15.75" customHeight="1" x14ac:dyDescent="0.2">
      <c r="A353" s="3"/>
    </row>
    <row r="354" spans="1:1" ht="15.75" customHeight="1" x14ac:dyDescent="0.2">
      <c r="A354" s="3"/>
    </row>
    <row r="355" spans="1:1" ht="15.75" customHeight="1" x14ac:dyDescent="0.2">
      <c r="A355" s="3"/>
    </row>
    <row r="356" spans="1:1" ht="15.75" customHeight="1" x14ac:dyDescent="0.2">
      <c r="A356" s="3"/>
    </row>
    <row r="357" spans="1:1" ht="15.75" customHeight="1" x14ac:dyDescent="0.2">
      <c r="A357" s="3"/>
    </row>
    <row r="358" spans="1:1" ht="15.75" customHeight="1" x14ac:dyDescent="0.2">
      <c r="A358" s="3"/>
    </row>
    <row r="359" spans="1:1" ht="15.75" customHeight="1" x14ac:dyDescent="0.2">
      <c r="A359" s="3"/>
    </row>
    <row r="360" spans="1:1" ht="15.75" customHeight="1" x14ac:dyDescent="0.2">
      <c r="A360" s="3"/>
    </row>
    <row r="361" spans="1:1" ht="15.75" customHeight="1" x14ac:dyDescent="0.2">
      <c r="A361" s="3"/>
    </row>
    <row r="362" spans="1:1" ht="15.75" customHeight="1" x14ac:dyDescent="0.2">
      <c r="A362" s="3"/>
    </row>
    <row r="363" spans="1:1" ht="15.75" customHeight="1" x14ac:dyDescent="0.2">
      <c r="A363" s="3"/>
    </row>
    <row r="364" spans="1:1" ht="15.75" customHeight="1" x14ac:dyDescent="0.2">
      <c r="A364" s="3"/>
    </row>
    <row r="365" spans="1:1" ht="15.75" customHeight="1" x14ac:dyDescent="0.2">
      <c r="A365" s="3"/>
    </row>
    <row r="366" spans="1:1" ht="15.75" customHeight="1" x14ac:dyDescent="0.2">
      <c r="A366" s="3"/>
    </row>
    <row r="367" spans="1:1" ht="15.75" customHeight="1" x14ac:dyDescent="0.2">
      <c r="A367" s="3"/>
    </row>
    <row r="368" spans="1:1" ht="15.75" customHeight="1" x14ac:dyDescent="0.2">
      <c r="A368" s="3"/>
    </row>
    <row r="369" spans="1:1" ht="15.75" customHeight="1" x14ac:dyDescent="0.2">
      <c r="A369" s="3"/>
    </row>
    <row r="370" spans="1:1" ht="15.75" customHeight="1" x14ac:dyDescent="0.2">
      <c r="A370" s="3"/>
    </row>
    <row r="371" spans="1:1" ht="15.75" customHeight="1" x14ac:dyDescent="0.2">
      <c r="A371" s="3"/>
    </row>
    <row r="372" spans="1:1" ht="15.75" customHeight="1" x14ac:dyDescent="0.2">
      <c r="A372" s="3"/>
    </row>
    <row r="373" spans="1:1" ht="15.75" customHeight="1" x14ac:dyDescent="0.2">
      <c r="A373" s="3"/>
    </row>
    <row r="374" spans="1:1" ht="15.75" customHeight="1" x14ac:dyDescent="0.2">
      <c r="A374" s="3"/>
    </row>
    <row r="375" spans="1:1" ht="15.75" customHeight="1" x14ac:dyDescent="0.2">
      <c r="A375" s="3"/>
    </row>
    <row r="376" spans="1:1" ht="15.75" customHeight="1" x14ac:dyDescent="0.2">
      <c r="A376" s="3"/>
    </row>
    <row r="377" spans="1:1" ht="15.75" customHeight="1" x14ac:dyDescent="0.2">
      <c r="A377" s="3"/>
    </row>
    <row r="378" spans="1:1" ht="15.75" customHeight="1" x14ac:dyDescent="0.2">
      <c r="A378" s="3"/>
    </row>
    <row r="379" spans="1:1" ht="15.75" customHeight="1" x14ac:dyDescent="0.2">
      <c r="A379" s="3"/>
    </row>
    <row r="380" spans="1:1" ht="15.75" customHeight="1" x14ac:dyDescent="0.2">
      <c r="A380" s="3"/>
    </row>
    <row r="381" spans="1:1" ht="15.75" customHeight="1" x14ac:dyDescent="0.2">
      <c r="A381" s="3"/>
    </row>
    <row r="382" spans="1:1" ht="15.75" customHeight="1" x14ac:dyDescent="0.2">
      <c r="A382" s="3"/>
    </row>
    <row r="383" spans="1:1" ht="15.75" customHeight="1" x14ac:dyDescent="0.2">
      <c r="A383" s="3"/>
    </row>
    <row r="384" spans="1:1" ht="15.75" customHeight="1" x14ac:dyDescent="0.2">
      <c r="A384" s="3"/>
    </row>
    <row r="385" spans="1:1" ht="15.75" customHeight="1" x14ac:dyDescent="0.2">
      <c r="A385" s="3"/>
    </row>
    <row r="386" spans="1:1" ht="15.75" customHeight="1" x14ac:dyDescent="0.2">
      <c r="A386" s="3"/>
    </row>
    <row r="387" spans="1:1" ht="15.75" customHeight="1" x14ac:dyDescent="0.2">
      <c r="A387" s="3"/>
    </row>
    <row r="388" spans="1:1" ht="15.75" customHeight="1" x14ac:dyDescent="0.2">
      <c r="A388" s="3"/>
    </row>
    <row r="389" spans="1:1" ht="15.75" customHeight="1" x14ac:dyDescent="0.2">
      <c r="A389" s="3"/>
    </row>
    <row r="390" spans="1:1" ht="15.75" customHeight="1" x14ac:dyDescent="0.2">
      <c r="A390" s="3"/>
    </row>
    <row r="391" spans="1:1" ht="15.75" customHeight="1" x14ac:dyDescent="0.2">
      <c r="A391" s="3"/>
    </row>
    <row r="392" spans="1:1" ht="15.75" customHeight="1" x14ac:dyDescent="0.2">
      <c r="A392" s="3"/>
    </row>
    <row r="393" spans="1:1" ht="15.75" customHeight="1" x14ac:dyDescent="0.2">
      <c r="A393" s="3"/>
    </row>
    <row r="394" spans="1:1" ht="15.75" customHeight="1" x14ac:dyDescent="0.2">
      <c r="A394" s="3"/>
    </row>
    <row r="395" spans="1:1" ht="15.75" customHeight="1" x14ac:dyDescent="0.2">
      <c r="A395" s="3"/>
    </row>
    <row r="396" spans="1:1" ht="15.75" customHeight="1" x14ac:dyDescent="0.2">
      <c r="A396" s="3"/>
    </row>
    <row r="397" spans="1:1" ht="15.75" customHeight="1" x14ac:dyDescent="0.2">
      <c r="A397" s="3"/>
    </row>
    <row r="398" spans="1:1" ht="15.75" customHeight="1" x14ac:dyDescent="0.2">
      <c r="A398" s="3"/>
    </row>
    <row r="399" spans="1:1" ht="15.75" customHeight="1" x14ac:dyDescent="0.2">
      <c r="A399" s="3"/>
    </row>
    <row r="400" spans="1:1" ht="15.75" customHeight="1" x14ac:dyDescent="0.2">
      <c r="A400" s="3"/>
    </row>
    <row r="401" spans="1:1" ht="15.75" customHeight="1" x14ac:dyDescent="0.2">
      <c r="A401" s="3"/>
    </row>
    <row r="402" spans="1:1" ht="15.75" customHeight="1" x14ac:dyDescent="0.2">
      <c r="A402" s="3"/>
    </row>
    <row r="403" spans="1:1" ht="15.75" customHeight="1" x14ac:dyDescent="0.2">
      <c r="A403" s="3"/>
    </row>
    <row r="404" spans="1:1" ht="15.75" customHeight="1" x14ac:dyDescent="0.2">
      <c r="A404" s="3"/>
    </row>
    <row r="405" spans="1:1" ht="15.75" customHeight="1" x14ac:dyDescent="0.2">
      <c r="A405" s="3"/>
    </row>
    <row r="406" spans="1:1" ht="15.75" customHeight="1" x14ac:dyDescent="0.2">
      <c r="A406" s="3"/>
    </row>
    <row r="407" spans="1:1" ht="15.75" customHeight="1" x14ac:dyDescent="0.2">
      <c r="A407" s="3"/>
    </row>
    <row r="408" spans="1:1" ht="15.75" customHeight="1" x14ac:dyDescent="0.2">
      <c r="A408" s="3"/>
    </row>
    <row r="409" spans="1:1" ht="15.75" customHeight="1" x14ac:dyDescent="0.2">
      <c r="A409" s="3"/>
    </row>
    <row r="410" spans="1:1" ht="15.75" customHeight="1" x14ac:dyDescent="0.2">
      <c r="A410" s="3"/>
    </row>
    <row r="411" spans="1:1" ht="15.75" customHeight="1" x14ac:dyDescent="0.2">
      <c r="A411" s="3"/>
    </row>
    <row r="412" spans="1:1" ht="15.75" customHeight="1" x14ac:dyDescent="0.2">
      <c r="A412" s="3"/>
    </row>
    <row r="413" spans="1:1" ht="15.75" customHeight="1" x14ac:dyDescent="0.2">
      <c r="A413" s="3"/>
    </row>
    <row r="414" spans="1:1" ht="15.75" customHeight="1" x14ac:dyDescent="0.2">
      <c r="A414" s="3"/>
    </row>
    <row r="415" spans="1:1" ht="15.75" customHeight="1" x14ac:dyDescent="0.2">
      <c r="A415" s="3"/>
    </row>
    <row r="416" spans="1:1" ht="15.75" customHeight="1" x14ac:dyDescent="0.2">
      <c r="A416" s="3"/>
    </row>
    <row r="417" spans="1:1" ht="15.75" customHeight="1" x14ac:dyDescent="0.2">
      <c r="A417" s="3"/>
    </row>
    <row r="418" spans="1:1" ht="15.75" customHeight="1" x14ac:dyDescent="0.2">
      <c r="A418" s="3"/>
    </row>
    <row r="419" spans="1:1" ht="15.75" customHeight="1" x14ac:dyDescent="0.2">
      <c r="A419" s="3"/>
    </row>
    <row r="420" spans="1:1" ht="15.75" customHeight="1" x14ac:dyDescent="0.2">
      <c r="A420" s="3"/>
    </row>
    <row r="421" spans="1:1" ht="15.75" customHeight="1" x14ac:dyDescent="0.2">
      <c r="A421" s="3"/>
    </row>
    <row r="422" spans="1:1" ht="15.75" customHeight="1" x14ac:dyDescent="0.2">
      <c r="A422" s="3"/>
    </row>
    <row r="423" spans="1:1" ht="15.75" customHeight="1" x14ac:dyDescent="0.2">
      <c r="A423" s="3"/>
    </row>
    <row r="424" spans="1:1" ht="15.75" customHeight="1" x14ac:dyDescent="0.2">
      <c r="A424" s="3"/>
    </row>
    <row r="425" spans="1:1" ht="15.75" customHeight="1" x14ac:dyDescent="0.2">
      <c r="A425" s="3"/>
    </row>
    <row r="426" spans="1:1" ht="15.75" customHeight="1" x14ac:dyDescent="0.2">
      <c r="A426" s="3"/>
    </row>
    <row r="427" spans="1:1" ht="15.75" customHeight="1" x14ac:dyDescent="0.2">
      <c r="A427" s="3"/>
    </row>
    <row r="428" spans="1:1" ht="15.75" customHeight="1" x14ac:dyDescent="0.2">
      <c r="A428" s="3"/>
    </row>
    <row r="429" spans="1:1" ht="15.75" customHeight="1" x14ac:dyDescent="0.2">
      <c r="A429" s="3"/>
    </row>
    <row r="430" spans="1:1" ht="15.75" customHeight="1" x14ac:dyDescent="0.2">
      <c r="A430" s="3"/>
    </row>
    <row r="431" spans="1:1" ht="15.75" customHeight="1" x14ac:dyDescent="0.2">
      <c r="A431" s="3"/>
    </row>
    <row r="432" spans="1:1" ht="15.75" customHeight="1" x14ac:dyDescent="0.2">
      <c r="A432" s="3"/>
    </row>
    <row r="433" spans="1:1" ht="15.75" customHeight="1" x14ac:dyDescent="0.2">
      <c r="A433" s="3"/>
    </row>
    <row r="434" spans="1:1" ht="15.75" customHeight="1" x14ac:dyDescent="0.2">
      <c r="A434" s="3"/>
    </row>
    <row r="435" spans="1:1" ht="15.75" customHeight="1" x14ac:dyDescent="0.2">
      <c r="A435" s="3"/>
    </row>
    <row r="436" spans="1:1" ht="15.75" customHeight="1" x14ac:dyDescent="0.2">
      <c r="A436" s="3"/>
    </row>
    <row r="437" spans="1:1" ht="15.75" customHeight="1" x14ac:dyDescent="0.2">
      <c r="A437" s="3"/>
    </row>
    <row r="438" spans="1:1" ht="15.75" customHeight="1" x14ac:dyDescent="0.2">
      <c r="A438" s="3"/>
    </row>
    <row r="439" spans="1:1" ht="15.75" customHeight="1" x14ac:dyDescent="0.2">
      <c r="A439" s="3"/>
    </row>
    <row r="440" spans="1:1" ht="15.75" customHeight="1" x14ac:dyDescent="0.2">
      <c r="A440" s="3"/>
    </row>
    <row r="441" spans="1:1" ht="15.75" customHeight="1" x14ac:dyDescent="0.2">
      <c r="A441" s="3"/>
    </row>
    <row r="442" spans="1:1" ht="15.75" customHeight="1" x14ac:dyDescent="0.2">
      <c r="A442" s="3"/>
    </row>
    <row r="443" spans="1:1" ht="15.75" customHeight="1" x14ac:dyDescent="0.2">
      <c r="A443" s="3"/>
    </row>
    <row r="444" spans="1:1" ht="15.75" customHeight="1" x14ac:dyDescent="0.2">
      <c r="A444" s="3"/>
    </row>
    <row r="445" spans="1:1" ht="15.75" customHeight="1" x14ac:dyDescent="0.2">
      <c r="A445" s="3"/>
    </row>
    <row r="446" spans="1:1" ht="15.75" customHeight="1" x14ac:dyDescent="0.2">
      <c r="A446" s="3"/>
    </row>
    <row r="447" spans="1:1" ht="15.75" customHeight="1" x14ac:dyDescent="0.2">
      <c r="A447" s="3"/>
    </row>
    <row r="448" spans="1:1" ht="15.75" customHeight="1" x14ac:dyDescent="0.2">
      <c r="A448" s="3"/>
    </row>
    <row r="449" spans="1:1" ht="15.75" customHeight="1" x14ac:dyDescent="0.2">
      <c r="A449" s="3"/>
    </row>
    <row r="450" spans="1:1" ht="15.75" customHeight="1" x14ac:dyDescent="0.2">
      <c r="A450" s="3"/>
    </row>
    <row r="451" spans="1:1" ht="15.75" customHeight="1" x14ac:dyDescent="0.2">
      <c r="A451" s="3"/>
    </row>
    <row r="452" spans="1:1" ht="15.75" customHeight="1" x14ac:dyDescent="0.2">
      <c r="A452" s="3"/>
    </row>
    <row r="453" spans="1:1" ht="15.75" customHeight="1" x14ac:dyDescent="0.2">
      <c r="A453" s="3"/>
    </row>
    <row r="454" spans="1:1" ht="15.75" customHeight="1" x14ac:dyDescent="0.2">
      <c r="A454" s="3"/>
    </row>
    <row r="455" spans="1:1" ht="15.75" customHeight="1" x14ac:dyDescent="0.2">
      <c r="A455" s="3"/>
    </row>
    <row r="456" spans="1:1" ht="15.75" customHeight="1" x14ac:dyDescent="0.2">
      <c r="A456" s="3"/>
    </row>
    <row r="457" spans="1:1" ht="15.75" customHeight="1" x14ac:dyDescent="0.2">
      <c r="A457" s="3"/>
    </row>
    <row r="458" spans="1:1" ht="15.75" customHeight="1" x14ac:dyDescent="0.2">
      <c r="A458" s="3"/>
    </row>
    <row r="459" spans="1:1" ht="15.75" customHeight="1" x14ac:dyDescent="0.2">
      <c r="A459" s="3"/>
    </row>
    <row r="460" spans="1:1" ht="15.75" customHeight="1" x14ac:dyDescent="0.2">
      <c r="A460" s="3"/>
    </row>
    <row r="461" spans="1:1" ht="15.75" customHeight="1" x14ac:dyDescent="0.2">
      <c r="A461" s="3"/>
    </row>
    <row r="462" spans="1:1" ht="15.75" customHeight="1" x14ac:dyDescent="0.2">
      <c r="A462" s="3"/>
    </row>
    <row r="463" spans="1:1" ht="15.75" customHeight="1" x14ac:dyDescent="0.2">
      <c r="A463" s="3"/>
    </row>
    <row r="464" spans="1:1" ht="15.75" customHeight="1" x14ac:dyDescent="0.2">
      <c r="A464" s="3"/>
    </row>
    <row r="465" spans="1:1" ht="15.75" customHeight="1" x14ac:dyDescent="0.2">
      <c r="A465" s="3"/>
    </row>
    <row r="466" spans="1:1" ht="15.75" customHeight="1" x14ac:dyDescent="0.2">
      <c r="A466" s="3"/>
    </row>
    <row r="467" spans="1:1" ht="15.75" customHeight="1" x14ac:dyDescent="0.2">
      <c r="A467" s="3"/>
    </row>
    <row r="468" spans="1:1" ht="15.75" customHeight="1" x14ac:dyDescent="0.2">
      <c r="A468" s="3"/>
    </row>
    <row r="469" spans="1:1" ht="15.75" customHeight="1" x14ac:dyDescent="0.2">
      <c r="A469" s="3"/>
    </row>
    <row r="470" spans="1:1" ht="15.75" customHeight="1" x14ac:dyDescent="0.2">
      <c r="A470" s="3"/>
    </row>
    <row r="471" spans="1:1" ht="15.75" customHeight="1" x14ac:dyDescent="0.2">
      <c r="A471" s="3"/>
    </row>
    <row r="472" spans="1:1" ht="15.75" customHeight="1" x14ac:dyDescent="0.2">
      <c r="A472" s="3"/>
    </row>
    <row r="473" spans="1:1" ht="15.75" customHeight="1" x14ac:dyDescent="0.2">
      <c r="A473" s="3"/>
    </row>
    <row r="474" spans="1:1" ht="15.75" customHeight="1" x14ac:dyDescent="0.2">
      <c r="A474" s="3"/>
    </row>
    <row r="475" spans="1:1" ht="15.75" customHeight="1" x14ac:dyDescent="0.2">
      <c r="A475" s="3"/>
    </row>
    <row r="476" spans="1:1" ht="15.75" customHeight="1" x14ac:dyDescent="0.2">
      <c r="A476" s="3"/>
    </row>
    <row r="477" spans="1:1" ht="15.75" customHeight="1" x14ac:dyDescent="0.2">
      <c r="A477" s="3"/>
    </row>
    <row r="478" spans="1:1" ht="15.75" customHeight="1" x14ac:dyDescent="0.2">
      <c r="A478" s="3"/>
    </row>
    <row r="479" spans="1:1" ht="15.75" customHeight="1" x14ac:dyDescent="0.2">
      <c r="A479" s="3"/>
    </row>
    <row r="480" spans="1:1" ht="15.75" customHeight="1" x14ac:dyDescent="0.2">
      <c r="A480" s="3"/>
    </row>
    <row r="481" spans="1:1" ht="15.75" customHeight="1" x14ac:dyDescent="0.2">
      <c r="A481" s="3"/>
    </row>
    <row r="482" spans="1:1" ht="15.75" customHeight="1" x14ac:dyDescent="0.2">
      <c r="A482" s="3"/>
    </row>
    <row r="483" spans="1:1" ht="15.75" customHeight="1" x14ac:dyDescent="0.2">
      <c r="A483" s="3"/>
    </row>
    <row r="484" spans="1:1" ht="15.75" customHeight="1" x14ac:dyDescent="0.2">
      <c r="A484" s="3"/>
    </row>
    <row r="485" spans="1:1" ht="15.75" customHeight="1" x14ac:dyDescent="0.2">
      <c r="A485" s="3"/>
    </row>
    <row r="486" spans="1:1" ht="15.75" customHeight="1" x14ac:dyDescent="0.2">
      <c r="A486" s="3"/>
    </row>
    <row r="487" spans="1:1" ht="15.75" customHeight="1" x14ac:dyDescent="0.2">
      <c r="A487" s="3"/>
    </row>
    <row r="488" spans="1:1" ht="15.75" customHeight="1" x14ac:dyDescent="0.2">
      <c r="A488" s="3"/>
    </row>
    <row r="489" spans="1:1" ht="15.75" customHeight="1" x14ac:dyDescent="0.2">
      <c r="A489" s="3"/>
    </row>
    <row r="490" spans="1:1" ht="15.75" customHeight="1" x14ac:dyDescent="0.2">
      <c r="A490" s="3"/>
    </row>
    <row r="491" spans="1:1" ht="15.75" customHeight="1" x14ac:dyDescent="0.2">
      <c r="A491" s="3"/>
    </row>
    <row r="492" spans="1:1" ht="15.75" customHeight="1" x14ac:dyDescent="0.2">
      <c r="A492" s="3"/>
    </row>
    <row r="493" spans="1:1" ht="15.75" customHeight="1" x14ac:dyDescent="0.2">
      <c r="A493" s="3"/>
    </row>
    <row r="494" spans="1:1" ht="15.75" customHeight="1" x14ac:dyDescent="0.2">
      <c r="A494" s="3"/>
    </row>
    <row r="495" spans="1:1" ht="15.75" customHeight="1" x14ac:dyDescent="0.2">
      <c r="A495" s="3"/>
    </row>
    <row r="496" spans="1:1" ht="15.75" customHeight="1" x14ac:dyDescent="0.2">
      <c r="A496" s="3"/>
    </row>
    <row r="497" spans="1:1" ht="15.75" customHeight="1" x14ac:dyDescent="0.2">
      <c r="A497" s="3"/>
    </row>
    <row r="498" spans="1:1" ht="15.75" customHeight="1" x14ac:dyDescent="0.2">
      <c r="A498" s="3"/>
    </row>
    <row r="499" spans="1:1" ht="15.75" customHeight="1" x14ac:dyDescent="0.2">
      <c r="A499" s="3"/>
    </row>
    <row r="500" spans="1:1" ht="15.75" customHeight="1" x14ac:dyDescent="0.2">
      <c r="A500" s="3"/>
    </row>
    <row r="501" spans="1:1" ht="15.75" customHeight="1" x14ac:dyDescent="0.2">
      <c r="A501" s="3"/>
    </row>
    <row r="502" spans="1:1" ht="15.75" customHeight="1" x14ac:dyDescent="0.2">
      <c r="A502" s="3"/>
    </row>
    <row r="503" spans="1:1" ht="15.75" customHeight="1" x14ac:dyDescent="0.2">
      <c r="A503" s="3"/>
    </row>
    <row r="504" spans="1:1" ht="15.75" customHeight="1" x14ac:dyDescent="0.2">
      <c r="A504" s="3"/>
    </row>
    <row r="505" spans="1:1" ht="15.75" customHeight="1" x14ac:dyDescent="0.2">
      <c r="A505" s="3"/>
    </row>
    <row r="506" spans="1:1" ht="15.75" customHeight="1" x14ac:dyDescent="0.2">
      <c r="A506" s="3"/>
    </row>
    <row r="507" spans="1:1" ht="15.75" customHeight="1" x14ac:dyDescent="0.2">
      <c r="A507" s="3"/>
    </row>
    <row r="508" spans="1:1" ht="15.75" customHeight="1" x14ac:dyDescent="0.2">
      <c r="A508" s="3"/>
    </row>
    <row r="509" spans="1:1" ht="15.75" customHeight="1" x14ac:dyDescent="0.2">
      <c r="A509" s="3"/>
    </row>
    <row r="510" spans="1:1" ht="15.75" customHeight="1" x14ac:dyDescent="0.2">
      <c r="A510" s="3"/>
    </row>
    <row r="511" spans="1:1" ht="15.75" customHeight="1" x14ac:dyDescent="0.2">
      <c r="A511" s="3"/>
    </row>
    <row r="512" spans="1:1" ht="15.75" customHeight="1" x14ac:dyDescent="0.2">
      <c r="A512" s="3"/>
    </row>
    <row r="513" spans="1:1" ht="15.75" customHeight="1" x14ac:dyDescent="0.2">
      <c r="A513" s="3"/>
    </row>
    <row r="514" spans="1:1" ht="15.75" customHeight="1" x14ac:dyDescent="0.2">
      <c r="A514" s="3"/>
    </row>
    <row r="515" spans="1:1" ht="15.75" customHeight="1" x14ac:dyDescent="0.2">
      <c r="A515" s="3"/>
    </row>
    <row r="516" spans="1:1" ht="15.75" customHeight="1" x14ac:dyDescent="0.2">
      <c r="A516" s="3"/>
    </row>
    <row r="517" spans="1:1" ht="15.75" customHeight="1" x14ac:dyDescent="0.2">
      <c r="A517" s="3"/>
    </row>
    <row r="518" spans="1:1" ht="15.75" customHeight="1" x14ac:dyDescent="0.2">
      <c r="A518" s="3"/>
    </row>
    <row r="519" spans="1:1" ht="15.75" customHeight="1" x14ac:dyDescent="0.2">
      <c r="A519" s="3"/>
    </row>
    <row r="520" spans="1:1" ht="15.75" customHeight="1" x14ac:dyDescent="0.2">
      <c r="A520" s="3"/>
    </row>
    <row r="521" spans="1:1" ht="15.75" customHeight="1" x14ac:dyDescent="0.2">
      <c r="A521" s="3"/>
    </row>
    <row r="522" spans="1:1" ht="15.75" customHeight="1" x14ac:dyDescent="0.2">
      <c r="A522" s="3"/>
    </row>
    <row r="523" spans="1:1" ht="15.75" customHeight="1" x14ac:dyDescent="0.2">
      <c r="A523" s="3"/>
    </row>
    <row r="524" spans="1:1" ht="15.75" customHeight="1" x14ac:dyDescent="0.2">
      <c r="A524" s="3"/>
    </row>
    <row r="525" spans="1:1" ht="15.75" customHeight="1" x14ac:dyDescent="0.2">
      <c r="A525" s="3"/>
    </row>
    <row r="526" spans="1:1" ht="15.75" customHeight="1" x14ac:dyDescent="0.2">
      <c r="A526" s="3"/>
    </row>
    <row r="527" spans="1:1" ht="15.75" customHeight="1" x14ac:dyDescent="0.2">
      <c r="A527" s="3"/>
    </row>
    <row r="528" spans="1:1" ht="15.75" customHeight="1" x14ac:dyDescent="0.2">
      <c r="A528" s="3"/>
    </row>
    <row r="529" spans="1:1" ht="15.75" customHeight="1" x14ac:dyDescent="0.2">
      <c r="A529" s="3"/>
    </row>
    <row r="530" spans="1:1" ht="15.75" customHeight="1" x14ac:dyDescent="0.2">
      <c r="A530" s="3"/>
    </row>
    <row r="531" spans="1:1" ht="15.75" customHeight="1" x14ac:dyDescent="0.2">
      <c r="A531" s="3"/>
    </row>
    <row r="532" spans="1:1" ht="15.75" customHeight="1" x14ac:dyDescent="0.2">
      <c r="A532" s="3"/>
    </row>
    <row r="533" spans="1:1" ht="15.75" customHeight="1" x14ac:dyDescent="0.2">
      <c r="A533" s="3"/>
    </row>
    <row r="534" spans="1:1" ht="15.75" customHeight="1" x14ac:dyDescent="0.2">
      <c r="A534" s="3"/>
    </row>
    <row r="535" spans="1:1" ht="15.75" customHeight="1" x14ac:dyDescent="0.2">
      <c r="A535" s="3"/>
    </row>
    <row r="536" spans="1:1" ht="15.75" customHeight="1" x14ac:dyDescent="0.2">
      <c r="A536" s="3"/>
    </row>
    <row r="537" spans="1:1" ht="15.75" customHeight="1" x14ac:dyDescent="0.2">
      <c r="A537" s="3"/>
    </row>
    <row r="538" spans="1:1" ht="15.75" customHeight="1" x14ac:dyDescent="0.2">
      <c r="A538" s="3"/>
    </row>
    <row r="539" spans="1:1" ht="15.75" customHeight="1" x14ac:dyDescent="0.2">
      <c r="A539" s="3"/>
    </row>
    <row r="540" spans="1:1" ht="15.75" customHeight="1" x14ac:dyDescent="0.2">
      <c r="A540" s="3"/>
    </row>
    <row r="541" spans="1:1" ht="15.75" customHeight="1" x14ac:dyDescent="0.2">
      <c r="A541" s="3"/>
    </row>
    <row r="542" spans="1:1" ht="15.75" customHeight="1" x14ac:dyDescent="0.2">
      <c r="A542" s="3"/>
    </row>
    <row r="543" spans="1:1" ht="15.75" customHeight="1" x14ac:dyDescent="0.2">
      <c r="A543" s="3"/>
    </row>
    <row r="544" spans="1:1" ht="15.75" customHeight="1" x14ac:dyDescent="0.2">
      <c r="A544" s="3"/>
    </row>
    <row r="545" spans="1:1" ht="15.75" customHeight="1" x14ac:dyDescent="0.2">
      <c r="A545" s="3"/>
    </row>
    <row r="546" spans="1:1" ht="15.75" customHeight="1" x14ac:dyDescent="0.2">
      <c r="A546" s="3"/>
    </row>
    <row r="547" spans="1:1" ht="15.75" customHeight="1" x14ac:dyDescent="0.2">
      <c r="A547" s="3"/>
    </row>
    <row r="548" spans="1:1" ht="15.75" customHeight="1" x14ac:dyDescent="0.2">
      <c r="A548" s="3"/>
    </row>
    <row r="549" spans="1:1" ht="15.75" customHeight="1" x14ac:dyDescent="0.2">
      <c r="A549" s="3"/>
    </row>
    <row r="550" spans="1:1" ht="15.75" customHeight="1" x14ac:dyDescent="0.2">
      <c r="A550" s="3"/>
    </row>
    <row r="551" spans="1:1" ht="15.75" customHeight="1" x14ac:dyDescent="0.2">
      <c r="A551" s="3"/>
    </row>
    <row r="552" spans="1:1" ht="15.75" customHeight="1" x14ac:dyDescent="0.2">
      <c r="A552" s="3"/>
    </row>
    <row r="553" spans="1:1" ht="15.75" customHeight="1" x14ac:dyDescent="0.2">
      <c r="A553" s="3"/>
    </row>
    <row r="554" spans="1:1" ht="15.75" customHeight="1" x14ac:dyDescent="0.2">
      <c r="A554" s="3"/>
    </row>
    <row r="555" spans="1:1" ht="15.75" customHeight="1" x14ac:dyDescent="0.2">
      <c r="A555" s="3"/>
    </row>
    <row r="556" spans="1:1" ht="15.75" customHeight="1" x14ac:dyDescent="0.2">
      <c r="A556" s="3"/>
    </row>
    <row r="557" spans="1:1" ht="15.75" customHeight="1" x14ac:dyDescent="0.2">
      <c r="A557" s="3"/>
    </row>
    <row r="558" spans="1:1" ht="15.75" customHeight="1" x14ac:dyDescent="0.2">
      <c r="A558" s="3"/>
    </row>
    <row r="559" spans="1:1" ht="15.75" customHeight="1" x14ac:dyDescent="0.2">
      <c r="A559" s="3"/>
    </row>
    <row r="560" spans="1:1" ht="15.75" customHeight="1" x14ac:dyDescent="0.2">
      <c r="A560" s="3"/>
    </row>
    <row r="561" spans="1:1" ht="15.75" customHeight="1" x14ac:dyDescent="0.2">
      <c r="A561" s="3"/>
    </row>
    <row r="562" spans="1:1" ht="15.75" customHeight="1" x14ac:dyDescent="0.2">
      <c r="A562" s="3"/>
    </row>
    <row r="563" spans="1:1" ht="15.75" customHeight="1" x14ac:dyDescent="0.2">
      <c r="A563" s="3"/>
    </row>
    <row r="564" spans="1:1" ht="15.75" customHeight="1" x14ac:dyDescent="0.2">
      <c r="A564" s="3"/>
    </row>
    <row r="565" spans="1:1" ht="15.75" customHeight="1" x14ac:dyDescent="0.2">
      <c r="A565" s="3"/>
    </row>
    <row r="566" spans="1:1" ht="15.75" customHeight="1" x14ac:dyDescent="0.2">
      <c r="A566" s="3"/>
    </row>
    <row r="567" spans="1:1" ht="15.75" customHeight="1" x14ac:dyDescent="0.2">
      <c r="A567" s="3"/>
    </row>
    <row r="568" spans="1:1" ht="15.75" customHeight="1" x14ac:dyDescent="0.2">
      <c r="A568" s="3"/>
    </row>
    <row r="569" spans="1:1" ht="15.75" customHeight="1" x14ac:dyDescent="0.2">
      <c r="A569" s="3"/>
    </row>
    <row r="570" spans="1:1" ht="15.75" customHeight="1" x14ac:dyDescent="0.2">
      <c r="A570" s="3"/>
    </row>
    <row r="571" spans="1:1" ht="15.75" customHeight="1" x14ac:dyDescent="0.2">
      <c r="A571" s="3"/>
    </row>
    <row r="572" spans="1:1" ht="15.75" customHeight="1" x14ac:dyDescent="0.2">
      <c r="A572" s="3"/>
    </row>
    <row r="573" spans="1:1" ht="15.75" customHeight="1" x14ac:dyDescent="0.2">
      <c r="A573" s="3"/>
    </row>
    <row r="574" spans="1:1" ht="15.75" customHeight="1" x14ac:dyDescent="0.2">
      <c r="A574" s="3"/>
    </row>
    <row r="575" spans="1:1" ht="15.75" customHeight="1" x14ac:dyDescent="0.2">
      <c r="A575" s="3"/>
    </row>
    <row r="576" spans="1:1" ht="15.75" customHeight="1" x14ac:dyDescent="0.2">
      <c r="A576" s="3"/>
    </row>
    <row r="577" spans="1:1" ht="15.75" customHeight="1" x14ac:dyDescent="0.2">
      <c r="A577" s="3"/>
    </row>
    <row r="578" spans="1:1" ht="15.75" customHeight="1" x14ac:dyDescent="0.2">
      <c r="A578" s="3"/>
    </row>
    <row r="579" spans="1:1" ht="15.75" customHeight="1" x14ac:dyDescent="0.2">
      <c r="A579" s="3"/>
    </row>
    <row r="580" spans="1:1" ht="15.75" customHeight="1" x14ac:dyDescent="0.2">
      <c r="A580" s="3"/>
    </row>
    <row r="581" spans="1:1" ht="15.75" customHeight="1" x14ac:dyDescent="0.2">
      <c r="A581" s="3"/>
    </row>
    <row r="582" spans="1:1" ht="15.75" customHeight="1" x14ac:dyDescent="0.2">
      <c r="A582" s="3"/>
    </row>
    <row r="583" spans="1:1" ht="15.75" customHeight="1" x14ac:dyDescent="0.2">
      <c r="A583" s="3"/>
    </row>
    <row r="584" spans="1:1" ht="15.75" customHeight="1" x14ac:dyDescent="0.2">
      <c r="A584" s="3"/>
    </row>
    <row r="585" spans="1:1" ht="15.75" customHeight="1" x14ac:dyDescent="0.2">
      <c r="A585" s="3"/>
    </row>
    <row r="586" spans="1:1" ht="15.75" customHeight="1" x14ac:dyDescent="0.2">
      <c r="A586" s="3"/>
    </row>
    <row r="587" spans="1:1" ht="15.75" customHeight="1" x14ac:dyDescent="0.2">
      <c r="A587" s="3"/>
    </row>
    <row r="588" spans="1:1" ht="15.75" customHeight="1" x14ac:dyDescent="0.2">
      <c r="A588" s="3"/>
    </row>
    <row r="589" spans="1:1" ht="15.75" customHeight="1" x14ac:dyDescent="0.2">
      <c r="A589" s="3"/>
    </row>
    <row r="590" spans="1:1" ht="15.75" customHeight="1" x14ac:dyDescent="0.2">
      <c r="A590" s="3"/>
    </row>
    <row r="591" spans="1:1" ht="15.75" customHeight="1" x14ac:dyDescent="0.2">
      <c r="A591" s="3"/>
    </row>
    <row r="592" spans="1:1" ht="15.75" customHeight="1" x14ac:dyDescent="0.2">
      <c r="A592" s="3"/>
    </row>
    <row r="593" spans="1:1" ht="15.75" customHeight="1" x14ac:dyDescent="0.2">
      <c r="A593" s="3"/>
    </row>
    <row r="594" spans="1:1" ht="15.75" customHeight="1" x14ac:dyDescent="0.2">
      <c r="A594" s="3"/>
    </row>
    <row r="595" spans="1:1" ht="15.75" customHeight="1" x14ac:dyDescent="0.2">
      <c r="A595" s="3"/>
    </row>
    <row r="596" spans="1:1" ht="15.75" customHeight="1" x14ac:dyDescent="0.2">
      <c r="A596" s="3"/>
    </row>
    <row r="597" spans="1:1" ht="15.75" customHeight="1" x14ac:dyDescent="0.2">
      <c r="A597" s="3"/>
    </row>
    <row r="598" spans="1:1" ht="15.75" customHeight="1" x14ac:dyDescent="0.2">
      <c r="A598" s="3"/>
    </row>
    <row r="599" spans="1:1" ht="15.75" customHeight="1" x14ac:dyDescent="0.2">
      <c r="A599" s="3"/>
    </row>
    <row r="600" spans="1:1" ht="15.75" customHeight="1" x14ac:dyDescent="0.2">
      <c r="A600" s="3"/>
    </row>
    <row r="601" spans="1:1" ht="15.75" customHeight="1" x14ac:dyDescent="0.2">
      <c r="A601" s="3"/>
    </row>
    <row r="602" spans="1:1" ht="15.75" customHeight="1" x14ac:dyDescent="0.2">
      <c r="A602" s="3"/>
    </row>
    <row r="603" spans="1:1" ht="15.75" customHeight="1" x14ac:dyDescent="0.2">
      <c r="A603" s="3"/>
    </row>
    <row r="604" spans="1:1" ht="15.75" customHeight="1" x14ac:dyDescent="0.2">
      <c r="A604" s="3"/>
    </row>
    <row r="605" spans="1:1" ht="15.75" customHeight="1" x14ac:dyDescent="0.2">
      <c r="A605" s="3"/>
    </row>
    <row r="606" spans="1:1" ht="15.75" customHeight="1" x14ac:dyDescent="0.2">
      <c r="A606" s="3"/>
    </row>
    <row r="607" spans="1:1" ht="15.75" customHeight="1" x14ac:dyDescent="0.2">
      <c r="A607" s="3"/>
    </row>
    <row r="608" spans="1:1" ht="15.75" customHeight="1" x14ac:dyDescent="0.2">
      <c r="A608" s="3"/>
    </row>
    <row r="609" spans="1:1" ht="15.75" customHeight="1" x14ac:dyDescent="0.2">
      <c r="A609" s="3"/>
    </row>
    <row r="610" spans="1:1" ht="15.75" customHeight="1" x14ac:dyDescent="0.2">
      <c r="A610" s="3"/>
    </row>
    <row r="611" spans="1:1" ht="15.75" customHeight="1" x14ac:dyDescent="0.2">
      <c r="A611" s="3"/>
    </row>
    <row r="612" spans="1:1" ht="15.75" customHeight="1" x14ac:dyDescent="0.2">
      <c r="A612" s="3"/>
    </row>
    <row r="613" spans="1:1" ht="15.75" customHeight="1" x14ac:dyDescent="0.2">
      <c r="A613" s="3"/>
    </row>
    <row r="614" spans="1:1" ht="15.75" customHeight="1" x14ac:dyDescent="0.2">
      <c r="A614" s="3"/>
    </row>
    <row r="615" spans="1:1" ht="15.75" customHeight="1" x14ac:dyDescent="0.2">
      <c r="A615" s="3"/>
    </row>
    <row r="616" spans="1:1" ht="15.75" customHeight="1" x14ac:dyDescent="0.2">
      <c r="A616" s="3"/>
    </row>
    <row r="617" spans="1:1" ht="15.75" customHeight="1" x14ac:dyDescent="0.2">
      <c r="A617" s="3"/>
    </row>
    <row r="618" spans="1:1" ht="15.75" customHeight="1" x14ac:dyDescent="0.2">
      <c r="A618" s="3"/>
    </row>
    <row r="619" spans="1:1" ht="15.75" customHeight="1" x14ac:dyDescent="0.2">
      <c r="A619" s="3"/>
    </row>
    <row r="620" spans="1:1" ht="15.75" customHeight="1" x14ac:dyDescent="0.2">
      <c r="A620" s="3"/>
    </row>
    <row r="621" spans="1:1" ht="15.75" customHeight="1" x14ac:dyDescent="0.2">
      <c r="A621" s="3"/>
    </row>
    <row r="622" spans="1:1" ht="15.75" customHeight="1" x14ac:dyDescent="0.2">
      <c r="A622" s="3"/>
    </row>
    <row r="623" spans="1:1" ht="15.75" customHeight="1" x14ac:dyDescent="0.2">
      <c r="A623" s="3"/>
    </row>
    <row r="624" spans="1:1" ht="15.75" customHeight="1" x14ac:dyDescent="0.2">
      <c r="A624" s="3"/>
    </row>
    <row r="625" spans="1:1" ht="15.75" customHeight="1" x14ac:dyDescent="0.2">
      <c r="A625" s="3"/>
    </row>
    <row r="626" spans="1:1" ht="15.75" customHeight="1" x14ac:dyDescent="0.2">
      <c r="A626" s="3"/>
    </row>
    <row r="627" spans="1:1" ht="15.75" customHeight="1" x14ac:dyDescent="0.2">
      <c r="A627" s="3"/>
    </row>
    <row r="628" spans="1:1" ht="15.75" customHeight="1" x14ac:dyDescent="0.2">
      <c r="A628" s="3"/>
    </row>
    <row r="629" spans="1:1" ht="15.75" customHeight="1" x14ac:dyDescent="0.2">
      <c r="A629" s="3"/>
    </row>
    <row r="630" spans="1:1" ht="15.75" customHeight="1" x14ac:dyDescent="0.2">
      <c r="A630" s="3"/>
    </row>
    <row r="631" spans="1:1" ht="15.75" customHeight="1" x14ac:dyDescent="0.2">
      <c r="A631" s="3"/>
    </row>
    <row r="632" spans="1:1" ht="15.75" customHeight="1" x14ac:dyDescent="0.2">
      <c r="A632" s="3"/>
    </row>
    <row r="633" spans="1:1" ht="15.75" customHeight="1" x14ac:dyDescent="0.2">
      <c r="A633" s="3"/>
    </row>
    <row r="634" spans="1:1" ht="15.75" customHeight="1" x14ac:dyDescent="0.2">
      <c r="A634" s="3"/>
    </row>
    <row r="635" spans="1:1" ht="15.75" customHeight="1" x14ac:dyDescent="0.2">
      <c r="A635" s="3"/>
    </row>
    <row r="636" spans="1:1" ht="15.75" customHeight="1" x14ac:dyDescent="0.2">
      <c r="A636" s="3"/>
    </row>
    <row r="637" spans="1:1" ht="15.75" customHeight="1" x14ac:dyDescent="0.2">
      <c r="A637" s="3"/>
    </row>
    <row r="638" spans="1:1" ht="15.75" customHeight="1" x14ac:dyDescent="0.2">
      <c r="A638" s="3"/>
    </row>
    <row r="639" spans="1:1" ht="15.75" customHeight="1" x14ac:dyDescent="0.2">
      <c r="A639" s="3"/>
    </row>
    <row r="640" spans="1:1" ht="15.75" customHeight="1" x14ac:dyDescent="0.2">
      <c r="A640" s="3"/>
    </row>
    <row r="641" spans="1:1" ht="15.75" customHeight="1" x14ac:dyDescent="0.2">
      <c r="A641" s="3"/>
    </row>
    <row r="642" spans="1:1" ht="15.75" customHeight="1" x14ac:dyDescent="0.2">
      <c r="A642" s="3"/>
    </row>
    <row r="643" spans="1:1" ht="15.75" customHeight="1" x14ac:dyDescent="0.2">
      <c r="A643" s="3"/>
    </row>
    <row r="644" spans="1:1" ht="15.75" customHeight="1" x14ac:dyDescent="0.2">
      <c r="A644" s="3"/>
    </row>
    <row r="645" spans="1:1" ht="15.75" customHeight="1" x14ac:dyDescent="0.2">
      <c r="A645" s="3"/>
    </row>
    <row r="646" spans="1:1" ht="15.75" customHeight="1" x14ac:dyDescent="0.2">
      <c r="A646" s="3"/>
    </row>
    <row r="647" spans="1:1" ht="15.75" customHeight="1" x14ac:dyDescent="0.2">
      <c r="A647" s="3"/>
    </row>
    <row r="648" spans="1:1" ht="15.75" customHeight="1" x14ac:dyDescent="0.2">
      <c r="A648" s="3"/>
    </row>
    <row r="649" spans="1:1" ht="15.75" customHeight="1" x14ac:dyDescent="0.2">
      <c r="A649" s="3"/>
    </row>
    <row r="650" spans="1:1" ht="15.75" customHeight="1" x14ac:dyDescent="0.2">
      <c r="A650" s="3"/>
    </row>
    <row r="651" spans="1:1" ht="15.75" customHeight="1" x14ac:dyDescent="0.2">
      <c r="A651" s="3"/>
    </row>
    <row r="652" spans="1:1" ht="15.75" customHeight="1" x14ac:dyDescent="0.2">
      <c r="A652" s="3"/>
    </row>
    <row r="653" spans="1:1" ht="15.75" customHeight="1" x14ac:dyDescent="0.2">
      <c r="A653" s="3"/>
    </row>
    <row r="654" spans="1:1" ht="15.75" customHeight="1" x14ac:dyDescent="0.2">
      <c r="A654" s="3"/>
    </row>
    <row r="655" spans="1:1" ht="15.75" customHeight="1" x14ac:dyDescent="0.2">
      <c r="A655" s="3"/>
    </row>
    <row r="656" spans="1:1" ht="15.75" customHeight="1" x14ac:dyDescent="0.2">
      <c r="A656" s="3"/>
    </row>
    <row r="657" spans="1:1" ht="15.75" customHeight="1" x14ac:dyDescent="0.2">
      <c r="A657" s="3"/>
    </row>
    <row r="658" spans="1:1" ht="15.75" customHeight="1" x14ac:dyDescent="0.2">
      <c r="A658" s="3"/>
    </row>
    <row r="659" spans="1:1" ht="15.75" customHeight="1" x14ac:dyDescent="0.2">
      <c r="A659" s="3"/>
    </row>
    <row r="660" spans="1:1" ht="15.75" customHeight="1" x14ac:dyDescent="0.2">
      <c r="A660" s="3"/>
    </row>
    <row r="661" spans="1:1" ht="15.75" customHeight="1" x14ac:dyDescent="0.2">
      <c r="A661" s="3"/>
    </row>
    <row r="662" spans="1:1" ht="15.75" customHeight="1" x14ac:dyDescent="0.2">
      <c r="A662" s="3"/>
    </row>
    <row r="663" spans="1:1" ht="15.75" customHeight="1" x14ac:dyDescent="0.2">
      <c r="A663" s="3"/>
    </row>
    <row r="664" spans="1:1" ht="15.75" customHeight="1" x14ac:dyDescent="0.2">
      <c r="A664" s="3"/>
    </row>
    <row r="665" spans="1:1" ht="15.75" customHeight="1" x14ac:dyDescent="0.2">
      <c r="A665" s="3"/>
    </row>
    <row r="666" spans="1:1" ht="15.75" customHeight="1" x14ac:dyDescent="0.2">
      <c r="A666" s="3"/>
    </row>
    <row r="667" spans="1:1" ht="15.75" customHeight="1" x14ac:dyDescent="0.2">
      <c r="A667" s="3"/>
    </row>
    <row r="668" spans="1:1" ht="15.75" customHeight="1" x14ac:dyDescent="0.2">
      <c r="A668" s="3"/>
    </row>
    <row r="669" spans="1:1" ht="15.75" customHeight="1" x14ac:dyDescent="0.2">
      <c r="A669" s="3"/>
    </row>
    <row r="670" spans="1:1" ht="15.75" customHeight="1" x14ac:dyDescent="0.2">
      <c r="A670" s="3"/>
    </row>
    <row r="671" spans="1:1" ht="15.75" customHeight="1" x14ac:dyDescent="0.2">
      <c r="A671" s="3"/>
    </row>
    <row r="672" spans="1:1" ht="15.75" customHeight="1" x14ac:dyDescent="0.2">
      <c r="A672" s="3"/>
    </row>
    <row r="673" spans="1:1" ht="15.75" customHeight="1" x14ac:dyDescent="0.2">
      <c r="A673" s="3"/>
    </row>
    <row r="674" spans="1:1" ht="15.75" customHeight="1" x14ac:dyDescent="0.2">
      <c r="A674" s="3"/>
    </row>
    <row r="675" spans="1:1" ht="15.75" customHeight="1" x14ac:dyDescent="0.2">
      <c r="A675" s="3"/>
    </row>
    <row r="676" spans="1:1" ht="15.75" customHeight="1" x14ac:dyDescent="0.2">
      <c r="A676" s="3"/>
    </row>
    <row r="677" spans="1:1" ht="15.75" customHeight="1" x14ac:dyDescent="0.2">
      <c r="A677" s="3"/>
    </row>
    <row r="678" spans="1:1" ht="15.75" customHeight="1" x14ac:dyDescent="0.2">
      <c r="A678" s="3"/>
    </row>
    <row r="679" spans="1:1" ht="15.75" customHeight="1" x14ac:dyDescent="0.2">
      <c r="A679" s="3"/>
    </row>
    <row r="680" spans="1:1" ht="15.75" customHeight="1" x14ac:dyDescent="0.2">
      <c r="A680" s="3"/>
    </row>
    <row r="681" spans="1:1" ht="15.75" customHeight="1" x14ac:dyDescent="0.2">
      <c r="A681" s="3"/>
    </row>
    <row r="682" spans="1:1" ht="15.75" customHeight="1" x14ac:dyDescent="0.2">
      <c r="A682" s="3"/>
    </row>
    <row r="683" spans="1:1" ht="15.75" customHeight="1" x14ac:dyDescent="0.2">
      <c r="A683" s="3"/>
    </row>
    <row r="684" spans="1:1" ht="15.75" customHeight="1" x14ac:dyDescent="0.2">
      <c r="A684" s="3"/>
    </row>
    <row r="685" spans="1:1" ht="15.75" customHeight="1" x14ac:dyDescent="0.2">
      <c r="A685" s="3"/>
    </row>
    <row r="686" spans="1:1" ht="15.75" customHeight="1" x14ac:dyDescent="0.2">
      <c r="A686" s="3"/>
    </row>
    <row r="687" spans="1:1" ht="15.75" customHeight="1" x14ac:dyDescent="0.2">
      <c r="A687" s="3"/>
    </row>
    <row r="688" spans="1:1" ht="15.75" customHeight="1" x14ac:dyDescent="0.2">
      <c r="A688" s="3"/>
    </row>
    <row r="689" spans="1:1" ht="15.75" customHeight="1" x14ac:dyDescent="0.2">
      <c r="A689" s="3"/>
    </row>
    <row r="690" spans="1:1" ht="15.75" customHeight="1" x14ac:dyDescent="0.2">
      <c r="A690" s="3"/>
    </row>
    <row r="691" spans="1:1" ht="15.75" customHeight="1" x14ac:dyDescent="0.2">
      <c r="A691" s="3"/>
    </row>
    <row r="692" spans="1:1" ht="15.75" customHeight="1" x14ac:dyDescent="0.2">
      <c r="A692" s="3"/>
    </row>
    <row r="693" spans="1:1" ht="15.75" customHeight="1" x14ac:dyDescent="0.2">
      <c r="A693" s="3"/>
    </row>
    <row r="694" spans="1:1" ht="15.75" customHeight="1" x14ac:dyDescent="0.2">
      <c r="A694" s="3"/>
    </row>
    <row r="695" spans="1:1" ht="15.75" customHeight="1" x14ac:dyDescent="0.2">
      <c r="A695" s="3"/>
    </row>
    <row r="696" spans="1:1" ht="15.75" customHeight="1" x14ac:dyDescent="0.2">
      <c r="A696" s="3"/>
    </row>
    <row r="697" spans="1:1" ht="15.75" customHeight="1" x14ac:dyDescent="0.2">
      <c r="A697" s="3"/>
    </row>
    <row r="698" spans="1:1" ht="15.75" customHeight="1" x14ac:dyDescent="0.2">
      <c r="A698" s="3"/>
    </row>
    <row r="699" spans="1:1" ht="15.75" customHeight="1" x14ac:dyDescent="0.2">
      <c r="A699" s="3"/>
    </row>
    <row r="700" spans="1:1" ht="15.75" customHeight="1" x14ac:dyDescent="0.2">
      <c r="A700" s="3"/>
    </row>
    <row r="701" spans="1:1" ht="15.75" customHeight="1" x14ac:dyDescent="0.2">
      <c r="A701" s="3"/>
    </row>
    <row r="702" spans="1:1" ht="15.75" customHeight="1" x14ac:dyDescent="0.2">
      <c r="A702" s="3"/>
    </row>
    <row r="703" spans="1:1" ht="15.75" customHeight="1" x14ac:dyDescent="0.2">
      <c r="A703" s="3"/>
    </row>
    <row r="704" spans="1:1" ht="15.75" customHeight="1" x14ac:dyDescent="0.2">
      <c r="A704" s="3"/>
    </row>
    <row r="705" spans="1:1" ht="15.75" customHeight="1" x14ac:dyDescent="0.2">
      <c r="A705" s="3"/>
    </row>
    <row r="706" spans="1:1" ht="15.75" customHeight="1" x14ac:dyDescent="0.2">
      <c r="A706" s="3"/>
    </row>
    <row r="707" spans="1:1" ht="15.75" customHeight="1" x14ac:dyDescent="0.2">
      <c r="A707" s="3"/>
    </row>
    <row r="708" spans="1:1" ht="15.75" customHeight="1" x14ac:dyDescent="0.2">
      <c r="A708" s="3"/>
    </row>
    <row r="709" spans="1:1" ht="15.75" customHeight="1" x14ac:dyDescent="0.2">
      <c r="A709" s="3"/>
    </row>
    <row r="710" spans="1:1" ht="15.75" customHeight="1" x14ac:dyDescent="0.2">
      <c r="A710" s="3"/>
    </row>
    <row r="711" spans="1:1" ht="15.75" customHeight="1" x14ac:dyDescent="0.2">
      <c r="A711" s="3"/>
    </row>
    <row r="712" spans="1:1" ht="15.75" customHeight="1" x14ac:dyDescent="0.2">
      <c r="A712" s="3"/>
    </row>
    <row r="713" spans="1:1" ht="15.75" customHeight="1" x14ac:dyDescent="0.2">
      <c r="A713" s="3"/>
    </row>
    <row r="714" spans="1:1" ht="15.75" customHeight="1" x14ac:dyDescent="0.2">
      <c r="A714" s="3"/>
    </row>
    <row r="715" spans="1:1" ht="15.75" customHeight="1" x14ac:dyDescent="0.2">
      <c r="A715" s="3"/>
    </row>
    <row r="716" spans="1:1" ht="15.75" customHeight="1" x14ac:dyDescent="0.2">
      <c r="A716" s="3"/>
    </row>
    <row r="717" spans="1:1" ht="15.75" customHeight="1" x14ac:dyDescent="0.2">
      <c r="A717" s="3"/>
    </row>
    <row r="718" spans="1:1" ht="15.75" customHeight="1" x14ac:dyDescent="0.2">
      <c r="A718" s="3"/>
    </row>
    <row r="719" spans="1:1" ht="15.75" customHeight="1" x14ac:dyDescent="0.2">
      <c r="A719" s="3"/>
    </row>
    <row r="720" spans="1:1" ht="15.75" customHeight="1" x14ac:dyDescent="0.2">
      <c r="A720" s="3"/>
    </row>
    <row r="721" spans="1:1" ht="15.75" customHeight="1" x14ac:dyDescent="0.2">
      <c r="A721" s="3"/>
    </row>
    <row r="722" spans="1:1" ht="15.75" customHeight="1" x14ac:dyDescent="0.2">
      <c r="A722" s="3"/>
    </row>
    <row r="723" spans="1:1" ht="15.75" customHeight="1" x14ac:dyDescent="0.2">
      <c r="A723" s="3"/>
    </row>
    <row r="724" spans="1:1" ht="15.75" customHeight="1" x14ac:dyDescent="0.2">
      <c r="A724" s="3"/>
    </row>
    <row r="725" spans="1:1" ht="15.75" customHeight="1" x14ac:dyDescent="0.2">
      <c r="A725" s="3"/>
    </row>
    <row r="726" spans="1:1" ht="15.75" customHeight="1" x14ac:dyDescent="0.2">
      <c r="A726" s="3"/>
    </row>
    <row r="727" spans="1:1" ht="15.75" customHeight="1" x14ac:dyDescent="0.2">
      <c r="A727" s="3"/>
    </row>
    <row r="728" spans="1:1" ht="15.75" customHeight="1" x14ac:dyDescent="0.2">
      <c r="A728" s="3"/>
    </row>
    <row r="729" spans="1:1" ht="15.75" customHeight="1" x14ac:dyDescent="0.2">
      <c r="A729" s="3"/>
    </row>
    <row r="730" spans="1:1" ht="15.75" customHeight="1" x14ac:dyDescent="0.2">
      <c r="A730" s="3"/>
    </row>
    <row r="731" spans="1:1" ht="15.75" customHeight="1" x14ac:dyDescent="0.2">
      <c r="A731" s="3"/>
    </row>
    <row r="732" spans="1:1" ht="15.75" customHeight="1" x14ac:dyDescent="0.2">
      <c r="A732" s="3"/>
    </row>
    <row r="733" spans="1:1" ht="15.75" customHeight="1" x14ac:dyDescent="0.2">
      <c r="A733" s="3"/>
    </row>
    <row r="734" spans="1:1" ht="15.75" customHeight="1" x14ac:dyDescent="0.2">
      <c r="A734" s="3"/>
    </row>
    <row r="735" spans="1:1" ht="15.75" customHeight="1" x14ac:dyDescent="0.2">
      <c r="A735" s="3"/>
    </row>
    <row r="736" spans="1:1" ht="15.75" customHeight="1" x14ac:dyDescent="0.2">
      <c r="A736" s="3"/>
    </row>
    <row r="737" spans="1:1" ht="15.75" customHeight="1" x14ac:dyDescent="0.2">
      <c r="A737" s="3"/>
    </row>
    <row r="738" spans="1:1" ht="15.75" customHeight="1" x14ac:dyDescent="0.2">
      <c r="A738" s="3"/>
    </row>
    <row r="739" spans="1:1" ht="15.75" customHeight="1" x14ac:dyDescent="0.2">
      <c r="A739" s="3"/>
    </row>
    <row r="740" spans="1:1" ht="15.75" customHeight="1" x14ac:dyDescent="0.2">
      <c r="A740" s="3"/>
    </row>
    <row r="741" spans="1:1" ht="15.75" customHeight="1" x14ac:dyDescent="0.2">
      <c r="A741" s="3"/>
    </row>
    <row r="742" spans="1:1" ht="15.75" customHeight="1" x14ac:dyDescent="0.2">
      <c r="A742" s="3"/>
    </row>
    <row r="743" spans="1:1" ht="15.75" customHeight="1" x14ac:dyDescent="0.2">
      <c r="A743" s="3"/>
    </row>
    <row r="744" spans="1:1" ht="15.75" customHeight="1" x14ac:dyDescent="0.2">
      <c r="A744" s="3"/>
    </row>
    <row r="745" spans="1:1" ht="15.75" customHeight="1" x14ac:dyDescent="0.2">
      <c r="A745" s="3"/>
    </row>
    <row r="746" spans="1:1" ht="15.75" customHeight="1" x14ac:dyDescent="0.2">
      <c r="A746" s="3"/>
    </row>
    <row r="747" spans="1:1" ht="15.75" customHeight="1" x14ac:dyDescent="0.2">
      <c r="A747" s="3"/>
    </row>
    <row r="748" spans="1:1" ht="15.75" customHeight="1" x14ac:dyDescent="0.2">
      <c r="A748" s="3"/>
    </row>
    <row r="749" spans="1:1" ht="15.75" customHeight="1" x14ac:dyDescent="0.2">
      <c r="A749" s="3"/>
    </row>
    <row r="750" spans="1:1" ht="15.75" customHeight="1" x14ac:dyDescent="0.2">
      <c r="A750" s="3"/>
    </row>
    <row r="751" spans="1:1" ht="15.75" customHeight="1" x14ac:dyDescent="0.2">
      <c r="A751" s="3"/>
    </row>
    <row r="752" spans="1:1" ht="15.75" customHeight="1" x14ac:dyDescent="0.2">
      <c r="A752" s="3"/>
    </row>
    <row r="753" spans="1:1" ht="15.75" customHeight="1" x14ac:dyDescent="0.2">
      <c r="A753" s="3"/>
    </row>
    <row r="754" spans="1:1" ht="15.75" customHeight="1" x14ac:dyDescent="0.2">
      <c r="A754" s="3"/>
    </row>
    <row r="755" spans="1:1" ht="15.75" customHeight="1" x14ac:dyDescent="0.2">
      <c r="A755" s="3"/>
    </row>
    <row r="756" spans="1:1" ht="15.75" customHeight="1" x14ac:dyDescent="0.2">
      <c r="A756" s="3"/>
    </row>
    <row r="757" spans="1:1" ht="15.75" customHeight="1" x14ac:dyDescent="0.2">
      <c r="A757" s="3"/>
    </row>
    <row r="758" spans="1:1" ht="15.75" customHeight="1" x14ac:dyDescent="0.2">
      <c r="A758" s="3"/>
    </row>
    <row r="759" spans="1:1" ht="15.75" customHeight="1" x14ac:dyDescent="0.2">
      <c r="A759" s="3"/>
    </row>
    <row r="760" spans="1:1" ht="15.75" customHeight="1" x14ac:dyDescent="0.2">
      <c r="A760" s="3"/>
    </row>
    <row r="761" spans="1:1" ht="15.75" customHeight="1" x14ac:dyDescent="0.2">
      <c r="A761" s="3"/>
    </row>
    <row r="762" spans="1:1" ht="15.75" customHeight="1" x14ac:dyDescent="0.2">
      <c r="A762" s="3"/>
    </row>
    <row r="763" spans="1:1" ht="15.75" customHeight="1" x14ac:dyDescent="0.2">
      <c r="A763" s="3"/>
    </row>
    <row r="764" spans="1:1" ht="15.75" customHeight="1" x14ac:dyDescent="0.2">
      <c r="A764" s="3"/>
    </row>
    <row r="765" spans="1:1" ht="15.75" customHeight="1" x14ac:dyDescent="0.2">
      <c r="A765" s="3"/>
    </row>
    <row r="766" spans="1:1" ht="15.75" customHeight="1" x14ac:dyDescent="0.2">
      <c r="A766" s="3"/>
    </row>
    <row r="767" spans="1:1" ht="15.75" customHeight="1" x14ac:dyDescent="0.2">
      <c r="A767" s="3"/>
    </row>
    <row r="768" spans="1:1" ht="15.75" customHeight="1" x14ac:dyDescent="0.2">
      <c r="A768" s="3"/>
    </row>
    <row r="769" spans="1:1" ht="15.75" customHeight="1" x14ac:dyDescent="0.2">
      <c r="A769" s="3"/>
    </row>
    <row r="770" spans="1:1" ht="15.75" customHeight="1" x14ac:dyDescent="0.2">
      <c r="A770" s="3"/>
    </row>
    <row r="771" spans="1:1" ht="15.75" customHeight="1" x14ac:dyDescent="0.2">
      <c r="A771" s="3"/>
    </row>
    <row r="772" spans="1:1" ht="15.75" customHeight="1" x14ac:dyDescent="0.2">
      <c r="A772" s="3"/>
    </row>
    <row r="773" spans="1:1" ht="15.75" customHeight="1" x14ac:dyDescent="0.2">
      <c r="A773" s="3"/>
    </row>
    <row r="774" spans="1:1" ht="15.75" customHeight="1" x14ac:dyDescent="0.2">
      <c r="A774" s="3"/>
    </row>
    <row r="775" spans="1:1" ht="15.75" customHeight="1" x14ac:dyDescent="0.2">
      <c r="A775" s="3"/>
    </row>
    <row r="776" spans="1:1" ht="15.75" customHeight="1" x14ac:dyDescent="0.2">
      <c r="A776" s="3"/>
    </row>
    <row r="777" spans="1:1" ht="15.75" customHeight="1" x14ac:dyDescent="0.2">
      <c r="A777" s="3"/>
    </row>
    <row r="778" spans="1:1" ht="15.75" customHeight="1" x14ac:dyDescent="0.2">
      <c r="A778" s="3"/>
    </row>
    <row r="779" spans="1:1" ht="15.75" customHeight="1" x14ac:dyDescent="0.2">
      <c r="A779" s="3"/>
    </row>
    <row r="780" spans="1:1" ht="15.75" customHeight="1" x14ac:dyDescent="0.2">
      <c r="A780" s="3"/>
    </row>
    <row r="781" spans="1:1" ht="15.75" customHeight="1" x14ac:dyDescent="0.2">
      <c r="A781" s="3"/>
    </row>
    <row r="782" spans="1:1" ht="15.75" customHeight="1" x14ac:dyDescent="0.2">
      <c r="A782" s="3"/>
    </row>
    <row r="783" spans="1:1" ht="15.75" customHeight="1" x14ac:dyDescent="0.2">
      <c r="A783" s="3"/>
    </row>
    <row r="784" spans="1:1" ht="15.75" customHeight="1" x14ac:dyDescent="0.2">
      <c r="A784" s="3"/>
    </row>
    <row r="785" spans="1:1" ht="15.75" customHeight="1" x14ac:dyDescent="0.2">
      <c r="A785" s="3"/>
    </row>
    <row r="786" spans="1:1" ht="15.75" customHeight="1" x14ac:dyDescent="0.2">
      <c r="A786" s="3"/>
    </row>
    <row r="787" spans="1:1" ht="15.75" customHeight="1" x14ac:dyDescent="0.2">
      <c r="A787" s="3"/>
    </row>
    <row r="788" spans="1:1" ht="15.75" customHeight="1" x14ac:dyDescent="0.2">
      <c r="A788" s="3"/>
    </row>
    <row r="789" spans="1:1" ht="15.75" customHeight="1" x14ac:dyDescent="0.2">
      <c r="A789" s="3"/>
    </row>
    <row r="790" spans="1:1" ht="15.75" customHeight="1" x14ac:dyDescent="0.2">
      <c r="A790" s="3"/>
    </row>
    <row r="791" spans="1:1" ht="15.75" customHeight="1" x14ac:dyDescent="0.2">
      <c r="A791" s="3"/>
    </row>
    <row r="792" spans="1:1" ht="15.75" customHeight="1" x14ac:dyDescent="0.2">
      <c r="A792" s="3"/>
    </row>
    <row r="793" spans="1:1" ht="15.75" customHeight="1" x14ac:dyDescent="0.2">
      <c r="A793" s="3"/>
    </row>
    <row r="794" spans="1:1" ht="15.75" customHeight="1" x14ac:dyDescent="0.2">
      <c r="A794" s="3"/>
    </row>
    <row r="795" spans="1:1" ht="15.75" customHeight="1" x14ac:dyDescent="0.2">
      <c r="A795" s="3"/>
    </row>
    <row r="796" spans="1:1" ht="15.75" customHeight="1" x14ac:dyDescent="0.2">
      <c r="A796" s="3"/>
    </row>
    <row r="797" spans="1:1" ht="15.75" customHeight="1" x14ac:dyDescent="0.2">
      <c r="A797" s="3"/>
    </row>
    <row r="798" spans="1:1" ht="15.75" customHeight="1" x14ac:dyDescent="0.2">
      <c r="A798" s="3"/>
    </row>
    <row r="799" spans="1:1" ht="15.75" customHeight="1" x14ac:dyDescent="0.2">
      <c r="A799" s="3"/>
    </row>
    <row r="800" spans="1:1" ht="15.75" customHeight="1" x14ac:dyDescent="0.2">
      <c r="A800" s="3"/>
    </row>
    <row r="801" spans="1:1" ht="15.75" customHeight="1" x14ac:dyDescent="0.2">
      <c r="A801" s="3"/>
    </row>
    <row r="802" spans="1:1" ht="15.75" customHeight="1" x14ac:dyDescent="0.2">
      <c r="A802" s="3"/>
    </row>
    <row r="803" spans="1:1" ht="15.75" customHeight="1" x14ac:dyDescent="0.2">
      <c r="A803" s="3"/>
    </row>
    <row r="804" spans="1:1" ht="15.75" customHeight="1" x14ac:dyDescent="0.2">
      <c r="A804" s="3"/>
    </row>
    <row r="805" spans="1:1" ht="15.75" customHeight="1" x14ac:dyDescent="0.2">
      <c r="A805" s="3"/>
    </row>
    <row r="806" spans="1:1" ht="15.75" customHeight="1" x14ac:dyDescent="0.2">
      <c r="A806" s="3"/>
    </row>
    <row r="807" spans="1:1" ht="15.75" customHeight="1" x14ac:dyDescent="0.2">
      <c r="A807" s="3"/>
    </row>
    <row r="808" spans="1:1" ht="15.75" customHeight="1" x14ac:dyDescent="0.2">
      <c r="A808" s="3"/>
    </row>
    <row r="809" spans="1:1" ht="15.75" customHeight="1" x14ac:dyDescent="0.2">
      <c r="A809" s="3"/>
    </row>
    <row r="810" spans="1:1" ht="15.75" customHeight="1" x14ac:dyDescent="0.2">
      <c r="A810" s="3"/>
    </row>
    <row r="811" spans="1:1" ht="15.75" customHeight="1" x14ac:dyDescent="0.2">
      <c r="A811" s="3"/>
    </row>
    <row r="812" spans="1:1" ht="15.75" customHeight="1" x14ac:dyDescent="0.2">
      <c r="A812" s="3"/>
    </row>
    <row r="813" spans="1:1" ht="15.75" customHeight="1" x14ac:dyDescent="0.2">
      <c r="A813" s="3"/>
    </row>
    <row r="814" spans="1:1" ht="15.75" customHeight="1" x14ac:dyDescent="0.2">
      <c r="A814" s="3"/>
    </row>
    <row r="815" spans="1:1" ht="15.75" customHeight="1" x14ac:dyDescent="0.2">
      <c r="A815" s="3"/>
    </row>
    <row r="816" spans="1:1" ht="15.75" customHeight="1" x14ac:dyDescent="0.2">
      <c r="A816" s="3"/>
    </row>
    <row r="817" spans="1:1" ht="15.75" customHeight="1" x14ac:dyDescent="0.2">
      <c r="A817" s="3"/>
    </row>
    <row r="818" spans="1:1" ht="15.75" customHeight="1" x14ac:dyDescent="0.2">
      <c r="A818" s="3"/>
    </row>
    <row r="819" spans="1:1" ht="15.75" customHeight="1" x14ac:dyDescent="0.2">
      <c r="A819" s="3"/>
    </row>
    <row r="820" spans="1:1" ht="15.75" customHeight="1" x14ac:dyDescent="0.2">
      <c r="A820" s="3"/>
    </row>
    <row r="821" spans="1:1" ht="15.75" customHeight="1" x14ac:dyDescent="0.2">
      <c r="A821" s="3"/>
    </row>
    <row r="822" spans="1:1" ht="15.75" customHeight="1" x14ac:dyDescent="0.2">
      <c r="A822" s="3"/>
    </row>
    <row r="823" spans="1:1" ht="15.75" customHeight="1" x14ac:dyDescent="0.2">
      <c r="A823" s="3"/>
    </row>
    <row r="824" spans="1:1" ht="15.75" customHeight="1" x14ac:dyDescent="0.2">
      <c r="A824" s="3"/>
    </row>
    <row r="825" spans="1:1" ht="15.75" customHeight="1" x14ac:dyDescent="0.2">
      <c r="A825" s="3"/>
    </row>
    <row r="826" spans="1:1" ht="15.75" customHeight="1" x14ac:dyDescent="0.2">
      <c r="A826" s="3"/>
    </row>
    <row r="827" spans="1:1" ht="15.75" customHeight="1" x14ac:dyDescent="0.2">
      <c r="A827" s="3"/>
    </row>
    <row r="828" spans="1:1" ht="15.75" customHeight="1" x14ac:dyDescent="0.2">
      <c r="A828" s="3"/>
    </row>
    <row r="829" spans="1:1" ht="15.75" customHeight="1" x14ac:dyDescent="0.2">
      <c r="A829" s="3"/>
    </row>
    <row r="830" spans="1:1" ht="15.75" customHeight="1" x14ac:dyDescent="0.2">
      <c r="A830" s="3"/>
    </row>
    <row r="831" spans="1:1" ht="15.75" customHeight="1" x14ac:dyDescent="0.2">
      <c r="A831" s="3"/>
    </row>
    <row r="832" spans="1:1" ht="15.75" customHeight="1" x14ac:dyDescent="0.2">
      <c r="A832" s="3"/>
    </row>
    <row r="833" spans="1:1" ht="15.75" customHeight="1" x14ac:dyDescent="0.2">
      <c r="A833" s="3"/>
    </row>
    <row r="834" spans="1:1" ht="15.75" customHeight="1" x14ac:dyDescent="0.2">
      <c r="A834" s="3"/>
    </row>
    <row r="835" spans="1:1" ht="15.75" customHeight="1" x14ac:dyDescent="0.2">
      <c r="A835" s="3"/>
    </row>
    <row r="836" spans="1:1" ht="15.75" customHeight="1" x14ac:dyDescent="0.2">
      <c r="A836" s="3"/>
    </row>
    <row r="837" spans="1:1" ht="15.75" customHeight="1" x14ac:dyDescent="0.2">
      <c r="A837" s="3"/>
    </row>
    <row r="838" spans="1:1" ht="15.75" customHeight="1" x14ac:dyDescent="0.2">
      <c r="A838" s="3"/>
    </row>
    <row r="839" spans="1:1" ht="15.75" customHeight="1" x14ac:dyDescent="0.2">
      <c r="A839" s="3"/>
    </row>
    <row r="840" spans="1:1" ht="15.75" customHeight="1" x14ac:dyDescent="0.2">
      <c r="A840" s="3"/>
    </row>
    <row r="841" spans="1:1" ht="15.75" customHeight="1" x14ac:dyDescent="0.2">
      <c r="A841" s="3"/>
    </row>
    <row r="842" spans="1:1" ht="15.75" customHeight="1" x14ac:dyDescent="0.2">
      <c r="A842" s="3"/>
    </row>
    <row r="843" spans="1:1" ht="15.75" customHeight="1" x14ac:dyDescent="0.2">
      <c r="A843" s="3"/>
    </row>
    <row r="844" spans="1:1" ht="15.75" customHeight="1" x14ac:dyDescent="0.2">
      <c r="A844" s="3"/>
    </row>
    <row r="845" spans="1:1" ht="15.75" customHeight="1" x14ac:dyDescent="0.2">
      <c r="A845" s="3"/>
    </row>
    <row r="846" spans="1:1" ht="15.75" customHeight="1" x14ac:dyDescent="0.2">
      <c r="A846" s="3"/>
    </row>
    <row r="847" spans="1:1" ht="15.75" customHeight="1" x14ac:dyDescent="0.2">
      <c r="A847" s="3"/>
    </row>
    <row r="848" spans="1:1" ht="15.75" customHeight="1" x14ac:dyDescent="0.2">
      <c r="A848" s="3"/>
    </row>
    <row r="849" spans="1:1" ht="15.75" customHeight="1" x14ac:dyDescent="0.2">
      <c r="A849" s="3"/>
    </row>
    <row r="850" spans="1:1" ht="15.75" customHeight="1" x14ac:dyDescent="0.2">
      <c r="A850" s="3"/>
    </row>
    <row r="851" spans="1:1" ht="15.75" customHeight="1" x14ac:dyDescent="0.2">
      <c r="A851" s="3"/>
    </row>
    <row r="852" spans="1:1" ht="15.75" customHeight="1" x14ac:dyDescent="0.2">
      <c r="A852" s="3"/>
    </row>
    <row r="853" spans="1:1" ht="15.75" customHeight="1" x14ac:dyDescent="0.2">
      <c r="A853" s="3"/>
    </row>
    <row r="854" spans="1:1" ht="15.75" customHeight="1" x14ac:dyDescent="0.2">
      <c r="A854" s="3"/>
    </row>
    <row r="855" spans="1:1" ht="15.75" customHeight="1" x14ac:dyDescent="0.2">
      <c r="A855" s="3"/>
    </row>
    <row r="856" spans="1:1" ht="15.75" customHeight="1" x14ac:dyDescent="0.2">
      <c r="A856" s="3"/>
    </row>
    <row r="857" spans="1:1" ht="15.75" customHeight="1" x14ac:dyDescent="0.2">
      <c r="A857" s="3"/>
    </row>
    <row r="858" spans="1:1" ht="15.75" customHeight="1" x14ac:dyDescent="0.2">
      <c r="A858" s="3"/>
    </row>
    <row r="859" spans="1:1" ht="15.75" customHeight="1" x14ac:dyDescent="0.2">
      <c r="A859" s="3"/>
    </row>
    <row r="860" spans="1:1" ht="15.75" customHeight="1" x14ac:dyDescent="0.2">
      <c r="A860" s="3"/>
    </row>
    <row r="861" spans="1:1" ht="15.75" customHeight="1" x14ac:dyDescent="0.2">
      <c r="A861" s="3"/>
    </row>
    <row r="862" spans="1:1" ht="15.75" customHeight="1" x14ac:dyDescent="0.2">
      <c r="A862" s="3"/>
    </row>
    <row r="863" spans="1:1" ht="15.75" customHeight="1" x14ac:dyDescent="0.2">
      <c r="A863" s="3"/>
    </row>
    <row r="864" spans="1:1" ht="15.75" customHeight="1" x14ac:dyDescent="0.2">
      <c r="A864" s="3"/>
    </row>
    <row r="865" spans="1:1" ht="15.75" customHeight="1" x14ac:dyDescent="0.2">
      <c r="A865" s="3"/>
    </row>
    <row r="866" spans="1:1" ht="15.75" customHeight="1" x14ac:dyDescent="0.2">
      <c r="A866" s="3"/>
    </row>
    <row r="867" spans="1:1" ht="15.75" customHeight="1" x14ac:dyDescent="0.2">
      <c r="A867" s="3"/>
    </row>
    <row r="868" spans="1:1" ht="15.75" customHeight="1" x14ac:dyDescent="0.2">
      <c r="A868" s="3"/>
    </row>
    <row r="869" spans="1:1" ht="15.75" customHeight="1" x14ac:dyDescent="0.2">
      <c r="A869" s="3"/>
    </row>
    <row r="870" spans="1:1" ht="15.75" customHeight="1" x14ac:dyDescent="0.2">
      <c r="A870" s="3"/>
    </row>
    <row r="871" spans="1:1" ht="15.75" customHeight="1" x14ac:dyDescent="0.2">
      <c r="A871" s="3"/>
    </row>
    <row r="872" spans="1:1" ht="15.75" customHeight="1" x14ac:dyDescent="0.2">
      <c r="A872" s="3"/>
    </row>
    <row r="873" spans="1:1" ht="15.75" customHeight="1" x14ac:dyDescent="0.2">
      <c r="A873" s="3"/>
    </row>
    <row r="874" spans="1:1" ht="15.75" customHeight="1" x14ac:dyDescent="0.2">
      <c r="A874" s="3"/>
    </row>
    <row r="875" spans="1:1" ht="15.75" customHeight="1" x14ac:dyDescent="0.2">
      <c r="A875" s="3"/>
    </row>
    <row r="876" spans="1:1" ht="15.75" customHeight="1" x14ac:dyDescent="0.2">
      <c r="A876" s="3"/>
    </row>
    <row r="877" spans="1:1" ht="15.75" customHeight="1" x14ac:dyDescent="0.2">
      <c r="A877" s="3"/>
    </row>
    <row r="878" spans="1:1" ht="15.75" customHeight="1" x14ac:dyDescent="0.2">
      <c r="A878" s="3"/>
    </row>
    <row r="879" spans="1:1" ht="15.75" customHeight="1" x14ac:dyDescent="0.2">
      <c r="A879" s="3"/>
    </row>
    <row r="880" spans="1:1" ht="15.75" customHeight="1" x14ac:dyDescent="0.2">
      <c r="A880" s="3"/>
    </row>
    <row r="881" spans="1:1" ht="15.75" customHeight="1" x14ac:dyDescent="0.2">
      <c r="A881" s="3"/>
    </row>
    <row r="882" spans="1:1" ht="15.75" customHeight="1" x14ac:dyDescent="0.2">
      <c r="A882" s="3"/>
    </row>
    <row r="883" spans="1:1" ht="15.75" customHeight="1" x14ac:dyDescent="0.2">
      <c r="A883" s="3"/>
    </row>
    <row r="884" spans="1:1" ht="15.75" customHeight="1" x14ac:dyDescent="0.2">
      <c r="A884" s="3"/>
    </row>
    <row r="885" spans="1:1" ht="15.75" customHeight="1" x14ac:dyDescent="0.2">
      <c r="A885" s="3"/>
    </row>
    <row r="886" spans="1:1" ht="15.75" customHeight="1" x14ac:dyDescent="0.2">
      <c r="A886" s="3"/>
    </row>
    <row r="887" spans="1:1" ht="15.75" customHeight="1" x14ac:dyDescent="0.2">
      <c r="A887" s="3"/>
    </row>
    <row r="888" spans="1:1" ht="15.75" customHeight="1" x14ac:dyDescent="0.2">
      <c r="A888" s="3"/>
    </row>
    <row r="889" spans="1:1" ht="15.75" customHeight="1" x14ac:dyDescent="0.2">
      <c r="A889" s="3"/>
    </row>
    <row r="890" spans="1:1" ht="15.75" customHeight="1" x14ac:dyDescent="0.2">
      <c r="A890" s="3"/>
    </row>
    <row r="891" spans="1:1" ht="15.75" customHeight="1" x14ac:dyDescent="0.2">
      <c r="A891" s="3"/>
    </row>
    <row r="892" spans="1:1" ht="15.75" customHeight="1" x14ac:dyDescent="0.2">
      <c r="A892" s="3"/>
    </row>
    <row r="893" spans="1:1" ht="15.75" customHeight="1" x14ac:dyDescent="0.2">
      <c r="A893" s="3"/>
    </row>
    <row r="894" spans="1:1" ht="15.75" customHeight="1" x14ac:dyDescent="0.2">
      <c r="A894" s="3"/>
    </row>
    <row r="895" spans="1:1" ht="15.75" customHeight="1" x14ac:dyDescent="0.2">
      <c r="A895" s="3"/>
    </row>
    <row r="896" spans="1:1" ht="15.75" customHeight="1" x14ac:dyDescent="0.2">
      <c r="A896" s="3"/>
    </row>
    <row r="897" spans="1:1" ht="15.75" customHeight="1" x14ac:dyDescent="0.2">
      <c r="A897" s="3"/>
    </row>
    <row r="898" spans="1:1" ht="15.75" customHeight="1" x14ac:dyDescent="0.2">
      <c r="A898" s="3"/>
    </row>
    <row r="899" spans="1:1" ht="15.75" customHeight="1" x14ac:dyDescent="0.2">
      <c r="A899" s="3"/>
    </row>
    <row r="900" spans="1:1" ht="15.75" customHeight="1" x14ac:dyDescent="0.2">
      <c r="A900" s="3"/>
    </row>
    <row r="901" spans="1:1" ht="15.75" customHeight="1" x14ac:dyDescent="0.2">
      <c r="A901" s="3"/>
    </row>
    <row r="902" spans="1:1" ht="15.75" customHeight="1" x14ac:dyDescent="0.2">
      <c r="A902" s="3"/>
    </row>
    <row r="903" spans="1:1" ht="15.75" customHeight="1" x14ac:dyDescent="0.2">
      <c r="A903" s="3"/>
    </row>
    <row r="904" spans="1:1" ht="15.75" customHeight="1" x14ac:dyDescent="0.2">
      <c r="A904" s="3"/>
    </row>
    <row r="905" spans="1:1" ht="15.75" customHeight="1" x14ac:dyDescent="0.2">
      <c r="A905" s="3"/>
    </row>
    <row r="906" spans="1:1" ht="15.75" customHeight="1" x14ac:dyDescent="0.2">
      <c r="A906" s="3"/>
    </row>
    <row r="907" spans="1:1" ht="15.75" customHeight="1" x14ac:dyDescent="0.2">
      <c r="A907" s="3"/>
    </row>
    <row r="908" spans="1:1" ht="15.75" customHeight="1" x14ac:dyDescent="0.2">
      <c r="A908" s="3"/>
    </row>
    <row r="909" spans="1:1" ht="15.75" customHeight="1" x14ac:dyDescent="0.2">
      <c r="A909" s="3"/>
    </row>
    <row r="910" spans="1:1" ht="15.75" customHeight="1" x14ac:dyDescent="0.2">
      <c r="A910" s="3"/>
    </row>
    <row r="911" spans="1:1" ht="15.75" customHeight="1" x14ac:dyDescent="0.2">
      <c r="A911" s="3"/>
    </row>
    <row r="912" spans="1:1" ht="15.75" customHeight="1" x14ac:dyDescent="0.2">
      <c r="A912" s="3"/>
    </row>
    <row r="913" spans="1:1" ht="15.75" customHeight="1" x14ac:dyDescent="0.2">
      <c r="A913" s="3"/>
    </row>
    <row r="914" spans="1:1" ht="15.75" customHeight="1" x14ac:dyDescent="0.2">
      <c r="A914" s="3"/>
    </row>
    <row r="915" spans="1:1" ht="15.75" customHeight="1" x14ac:dyDescent="0.2">
      <c r="A915" s="3"/>
    </row>
    <row r="916" spans="1:1" ht="15.75" customHeight="1" x14ac:dyDescent="0.2">
      <c r="A916" s="3"/>
    </row>
    <row r="917" spans="1:1" ht="15.75" customHeight="1" x14ac:dyDescent="0.2">
      <c r="A917" s="3"/>
    </row>
    <row r="918" spans="1:1" ht="15.75" customHeight="1" x14ac:dyDescent="0.2">
      <c r="A918" s="3"/>
    </row>
    <row r="919" spans="1:1" ht="15.75" customHeight="1" x14ac:dyDescent="0.2">
      <c r="A919" s="3"/>
    </row>
    <row r="920" spans="1:1" ht="15.75" customHeight="1" x14ac:dyDescent="0.2">
      <c r="A920" s="3"/>
    </row>
    <row r="921" spans="1:1" ht="15.75" customHeight="1" x14ac:dyDescent="0.2">
      <c r="A921" s="3"/>
    </row>
    <row r="922" spans="1:1" ht="15.75" customHeight="1" x14ac:dyDescent="0.2">
      <c r="A922" s="3"/>
    </row>
    <row r="923" spans="1:1" ht="15.75" customHeight="1" x14ac:dyDescent="0.2">
      <c r="A923" s="3"/>
    </row>
    <row r="924" spans="1:1" ht="15.75" customHeight="1" x14ac:dyDescent="0.2">
      <c r="A924" s="3"/>
    </row>
    <row r="925" spans="1:1" ht="15.75" customHeight="1" x14ac:dyDescent="0.2">
      <c r="A925" s="3"/>
    </row>
    <row r="926" spans="1:1" ht="15.75" customHeight="1" x14ac:dyDescent="0.2">
      <c r="A926" s="3"/>
    </row>
    <row r="927" spans="1:1" ht="15.75" customHeight="1" x14ac:dyDescent="0.2">
      <c r="A927" s="3"/>
    </row>
    <row r="928" spans="1:1" ht="15.75" customHeight="1" x14ac:dyDescent="0.2">
      <c r="A928" s="3"/>
    </row>
    <row r="929" spans="1:1" ht="15.75" customHeight="1" x14ac:dyDescent="0.2">
      <c r="A929" s="3"/>
    </row>
    <row r="930" spans="1:1" ht="15.75" customHeight="1" x14ac:dyDescent="0.2">
      <c r="A930" s="3"/>
    </row>
    <row r="931" spans="1:1" ht="15.75" customHeight="1" x14ac:dyDescent="0.2">
      <c r="A931" s="3"/>
    </row>
    <row r="932" spans="1:1" ht="15.75" customHeight="1" x14ac:dyDescent="0.2">
      <c r="A932" s="3"/>
    </row>
    <row r="933" spans="1:1" ht="15.75" customHeight="1" x14ac:dyDescent="0.2">
      <c r="A933" s="3"/>
    </row>
    <row r="934" spans="1:1" ht="15.75" customHeight="1" x14ac:dyDescent="0.2">
      <c r="A934" s="3"/>
    </row>
    <row r="935" spans="1:1" ht="15.75" customHeight="1" x14ac:dyDescent="0.2">
      <c r="A935" s="3"/>
    </row>
    <row r="936" spans="1:1" ht="15.75" customHeight="1" x14ac:dyDescent="0.2">
      <c r="A936" s="3"/>
    </row>
    <row r="937" spans="1:1" ht="15.75" customHeight="1" x14ac:dyDescent="0.2">
      <c r="A937" s="3"/>
    </row>
    <row r="938" spans="1:1" ht="15.75" customHeight="1" x14ac:dyDescent="0.2">
      <c r="A938" s="3"/>
    </row>
    <row r="939" spans="1:1" ht="15.75" customHeight="1" x14ac:dyDescent="0.2">
      <c r="A939" s="3"/>
    </row>
    <row r="940" spans="1:1" ht="15.75" customHeight="1" x14ac:dyDescent="0.2">
      <c r="A940" s="3"/>
    </row>
    <row r="941" spans="1:1" ht="15.75" customHeight="1" x14ac:dyDescent="0.2">
      <c r="A941" s="3"/>
    </row>
    <row r="942" spans="1:1" ht="15.75" customHeight="1" x14ac:dyDescent="0.2">
      <c r="A942" s="3"/>
    </row>
    <row r="943" spans="1:1" ht="15.75" customHeight="1" x14ac:dyDescent="0.2">
      <c r="A943" s="3"/>
    </row>
    <row r="944" spans="1:1" ht="15.75" customHeight="1" x14ac:dyDescent="0.2">
      <c r="A944" s="3"/>
    </row>
    <row r="945" spans="1:1" ht="15.75" customHeight="1" x14ac:dyDescent="0.2">
      <c r="A945" s="3"/>
    </row>
    <row r="946" spans="1:1" ht="15.75" customHeight="1" x14ac:dyDescent="0.2">
      <c r="A946" s="3"/>
    </row>
    <row r="947" spans="1:1" ht="15.75" customHeight="1" x14ac:dyDescent="0.2">
      <c r="A947" s="3"/>
    </row>
    <row r="948" spans="1:1" ht="15.75" customHeight="1" x14ac:dyDescent="0.2">
      <c r="A948" s="3"/>
    </row>
    <row r="949" spans="1:1" ht="15.75" customHeight="1" x14ac:dyDescent="0.2">
      <c r="A949" s="3"/>
    </row>
    <row r="950" spans="1:1" ht="15.75" customHeight="1" x14ac:dyDescent="0.2">
      <c r="A950" s="3"/>
    </row>
    <row r="951" spans="1:1" ht="15.75" customHeight="1" x14ac:dyDescent="0.2">
      <c r="A951" s="3"/>
    </row>
    <row r="952" spans="1:1" ht="15.75" customHeight="1" x14ac:dyDescent="0.2">
      <c r="A952" s="3"/>
    </row>
    <row r="953" spans="1:1" ht="15.75" customHeight="1" x14ac:dyDescent="0.2">
      <c r="A953" s="3"/>
    </row>
    <row r="954" spans="1:1" ht="15.75" customHeight="1" x14ac:dyDescent="0.2">
      <c r="A954" s="3"/>
    </row>
    <row r="955" spans="1:1" ht="15.75" customHeight="1" x14ac:dyDescent="0.2">
      <c r="A955" s="3"/>
    </row>
    <row r="956" spans="1:1" ht="15.75" customHeight="1" x14ac:dyDescent="0.2">
      <c r="A956" s="3"/>
    </row>
    <row r="957" spans="1:1" ht="15.75" customHeight="1" x14ac:dyDescent="0.2">
      <c r="A957" s="3"/>
    </row>
    <row r="958" spans="1:1" ht="15.75" customHeight="1" x14ac:dyDescent="0.2">
      <c r="A958" s="3"/>
    </row>
    <row r="959" spans="1:1" ht="15.75" customHeight="1" x14ac:dyDescent="0.2">
      <c r="A959" s="3"/>
    </row>
    <row r="960" spans="1:1" ht="15.75" customHeight="1" x14ac:dyDescent="0.2">
      <c r="A960" s="3"/>
    </row>
    <row r="961" spans="1:1" ht="15.75" customHeight="1" x14ac:dyDescent="0.2">
      <c r="A961" s="3"/>
    </row>
    <row r="962" spans="1:1" ht="15.75" customHeight="1" x14ac:dyDescent="0.2">
      <c r="A962" s="3"/>
    </row>
    <row r="963" spans="1:1" ht="15.75" customHeight="1" x14ac:dyDescent="0.2">
      <c r="A963" s="3"/>
    </row>
    <row r="964" spans="1:1" ht="15.75" customHeight="1" x14ac:dyDescent="0.2">
      <c r="A964" s="3"/>
    </row>
    <row r="965" spans="1:1" ht="15.75" customHeight="1" x14ac:dyDescent="0.2">
      <c r="A965" s="3"/>
    </row>
    <row r="966" spans="1:1" ht="15.75" customHeight="1" x14ac:dyDescent="0.2">
      <c r="A966" s="3"/>
    </row>
    <row r="967" spans="1:1" ht="15.75" customHeight="1" x14ac:dyDescent="0.2">
      <c r="A967" s="3"/>
    </row>
    <row r="968" spans="1:1" ht="15.75" customHeight="1" x14ac:dyDescent="0.2">
      <c r="A968" s="3"/>
    </row>
    <row r="969" spans="1:1" ht="15.75" customHeight="1" x14ac:dyDescent="0.2">
      <c r="A969" s="3"/>
    </row>
    <row r="970" spans="1:1" ht="15.75" customHeight="1" x14ac:dyDescent="0.2">
      <c r="A970" s="3"/>
    </row>
    <row r="971" spans="1:1" ht="15.75" customHeight="1" x14ac:dyDescent="0.2">
      <c r="A971" s="3"/>
    </row>
    <row r="972" spans="1:1" ht="15.75" customHeight="1" x14ac:dyDescent="0.2">
      <c r="A972" s="3"/>
    </row>
    <row r="973" spans="1:1" ht="15.75" customHeight="1" x14ac:dyDescent="0.2">
      <c r="A973" s="3"/>
    </row>
    <row r="974" spans="1:1" ht="15.75" customHeight="1" x14ac:dyDescent="0.2">
      <c r="A974" s="3"/>
    </row>
    <row r="975" spans="1:1" ht="15.75" customHeight="1" x14ac:dyDescent="0.2">
      <c r="A975" s="3"/>
    </row>
    <row r="976" spans="1:1" ht="15.75" customHeight="1" x14ac:dyDescent="0.2">
      <c r="A976" s="3"/>
    </row>
    <row r="977" spans="1:1" ht="15.75" customHeight="1" x14ac:dyDescent="0.2">
      <c r="A977" s="3"/>
    </row>
    <row r="978" spans="1:1" ht="15.75" customHeight="1" x14ac:dyDescent="0.2">
      <c r="A978" s="3"/>
    </row>
    <row r="979" spans="1:1" ht="15.75" customHeight="1" x14ac:dyDescent="0.2">
      <c r="A979" s="3"/>
    </row>
    <row r="980" spans="1:1" ht="15.75" customHeight="1" x14ac:dyDescent="0.2">
      <c r="A980" s="3"/>
    </row>
    <row r="981" spans="1:1" ht="15.75" customHeight="1" x14ac:dyDescent="0.2">
      <c r="A981" s="3"/>
    </row>
    <row r="982" spans="1:1" ht="15.75" customHeight="1" x14ac:dyDescent="0.2">
      <c r="A982" s="3"/>
    </row>
    <row r="983" spans="1:1" ht="15.75" customHeight="1" x14ac:dyDescent="0.2">
      <c r="A983" s="3"/>
    </row>
    <row r="984" spans="1:1" ht="15.75" customHeight="1" x14ac:dyDescent="0.2">
      <c r="A984" s="3"/>
    </row>
    <row r="985" spans="1:1" ht="15.75" customHeight="1" x14ac:dyDescent="0.2">
      <c r="A985" s="3"/>
    </row>
    <row r="986" spans="1:1" ht="15.75" customHeight="1" x14ac:dyDescent="0.2">
      <c r="A986" s="3"/>
    </row>
    <row r="987" spans="1:1" ht="15.75" customHeight="1" x14ac:dyDescent="0.2">
      <c r="A987" s="3"/>
    </row>
    <row r="988" spans="1:1" ht="15.75" customHeight="1" x14ac:dyDescent="0.2">
      <c r="A988" s="3"/>
    </row>
    <row r="989" spans="1:1" ht="15.75" customHeight="1" x14ac:dyDescent="0.2">
      <c r="A989" s="3"/>
    </row>
    <row r="990" spans="1:1" ht="15.75" customHeight="1" x14ac:dyDescent="0.2">
      <c r="A990" s="3"/>
    </row>
    <row r="991" spans="1:1" ht="15.75" customHeight="1" x14ac:dyDescent="0.2">
      <c r="A991" s="3"/>
    </row>
    <row r="992" spans="1:1" ht="15.75" customHeight="1" x14ac:dyDescent="0.2">
      <c r="A992" s="3"/>
    </row>
    <row r="993" spans="1:1" ht="15.75" customHeight="1" x14ac:dyDescent="0.2">
      <c r="A993" s="3"/>
    </row>
    <row r="994" spans="1:1" ht="15.75" customHeight="1" x14ac:dyDescent="0.2">
      <c r="A994" s="3"/>
    </row>
    <row r="995" spans="1:1" ht="15.75" customHeight="1" x14ac:dyDescent="0.2">
      <c r="A995" s="3"/>
    </row>
    <row r="996" spans="1:1" ht="15.75" customHeight="1" x14ac:dyDescent="0.2">
      <c r="A996" s="3"/>
    </row>
    <row r="997" spans="1:1" ht="15.75" customHeight="1" x14ac:dyDescent="0.2">
      <c r="A997" s="3"/>
    </row>
    <row r="998" spans="1:1" ht="15.75" customHeight="1" x14ac:dyDescent="0.2">
      <c r="A998" s="3"/>
    </row>
    <row r="999" spans="1:1" ht="15.75" customHeight="1" x14ac:dyDescent="0.2">
      <c r="A999" s="3"/>
    </row>
    <row r="1000" spans="1:1" ht="15.75" customHeight="1" x14ac:dyDescent="0.2">
      <c r="A1000" s="3"/>
    </row>
    <row r="1001" spans="1:1" ht="15.75" customHeight="1" x14ac:dyDescent="0.2">
      <c r="A1001" s="3"/>
    </row>
    <row r="1002" spans="1:1" ht="15.75" customHeight="1" x14ac:dyDescent="0.2">
      <c r="A1002" s="3"/>
    </row>
    <row r="1003" spans="1:1" ht="15.75" customHeight="1" x14ac:dyDescent="0.2">
      <c r="A1003" s="3"/>
    </row>
    <row r="1004" spans="1:1" ht="15.75" customHeight="1" x14ac:dyDescent="0.2">
      <c r="A1004" s="3"/>
    </row>
    <row r="1005" spans="1:1" ht="15.75" customHeight="1" x14ac:dyDescent="0.2">
      <c r="A1005" s="3"/>
    </row>
    <row r="1006" spans="1:1" ht="15.75" customHeight="1" x14ac:dyDescent="0.2">
      <c r="A1006" s="3"/>
    </row>
    <row r="1007" spans="1:1" ht="15.75" customHeight="1" x14ac:dyDescent="0.2">
      <c r="A1007" s="3"/>
    </row>
    <row r="1008" spans="1:1" ht="15.75" customHeight="1" x14ac:dyDescent="0.2">
      <c r="A1008" s="3"/>
    </row>
    <row r="1009" spans="1:1" ht="15.75" customHeight="1" x14ac:dyDescent="0.2">
      <c r="A1009" s="3"/>
    </row>
    <row r="1010" spans="1:1" ht="15.75" customHeight="1" x14ac:dyDescent="0.2">
      <c r="A1010" s="3"/>
    </row>
    <row r="1011" spans="1:1" ht="15.75" customHeight="1" x14ac:dyDescent="0.2">
      <c r="A1011" s="3"/>
    </row>
    <row r="1012" spans="1:1" ht="15.75" customHeight="1" x14ac:dyDescent="0.2">
      <c r="A1012" s="3"/>
    </row>
    <row r="1013" spans="1:1" ht="15.75" customHeight="1" x14ac:dyDescent="0.2">
      <c r="A1013" s="3"/>
    </row>
    <row r="1014" spans="1:1" ht="15.75" customHeight="1" x14ac:dyDescent="0.2">
      <c r="A1014" s="3"/>
    </row>
    <row r="1015" spans="1:1" ht="15.75" customHeight="1" x14ac:dyDescent="0.2">
      <c r="A1015" s="3"/>
    </row>
    <row r="1016" spans="1:1" ht="15.75" customHeight="1" x14ac:dyDescent="0.2">
      <c r="A1016" s="3"/>
    </row>
    <row r="1017" spans="1:1" ht="15.75" customHeight="1" x14ac:dyDescent="0.2">
      <c r="A1017" s="3"/>
    </row>
    <row r="1018" spans="1:1" ht="15.75" customHeight="1" x14ac:dyDescent="0.2">
      <c r="A1018" s="3"/>
    </row>
    <row r="1019" spans="1:1" ht="15.75" customHeight="1" x14ac:dyDescent="0.2">
      <c r="A1019" s="3"/>
    </row>
    <row r="1020" spans="1:1" ht="15.75" customHeight="1" x14ac:dyDescent="0.2">
      <c r="A1020" s="3"/>
    </row>
  </sheetData>
  <mergeCells count="10">
    <mergeCell ref="K36:L36"/>
    <mergeCell ref="D69:E69"/>
    <mergeCell ref="J69:K69"/>
    <mergeCell ref="Q69:R69"/>
    <mergeCell ref="D107:F107"/>
    <mergeCell ref="D122:F122"/>
    <mergeCell ref="G122:H122"/>
    <mergeCell ref="F9:F10"/>
    <mergeCell ref="G9:G10"/>
    <mergeCell ref="D36:E36"/>
  </mergeCells>
  <conditionalFormatting sqref="C123:C125 D123:F130 G123:H125">
    <cfRule type="containsText" dxfId="27" priority="1" operator="containsText" text="Maxed Out">
      <formula>NOT(ISERROR(SEARCH(("Maxed Out"),(C123))))</formula>
    </cfRule>
  </conditionalFormatting>
  <conditionalFormatting sqref="C126:C133 G126:H133 F128:F133 D131:E133">
    <cfRule type="containsText" dxfId="26" priority="2" operator="containsText" text="Maxed Out">
      <formula>NOT(ISERROR(SEARCH(("Maxed Out"),(C126))))</formula>
    </cfRule>
  </conditionalFormatting>
  <conditionalFormatting sqref="C134:H134">
    <cfRule type="containsText" dxfId="25" priority="3" operator="containsText" text="Maxed Out">
      <formula>NOT(ISERROR(SEARCH(("Maxed Out"),(C134))))</formula>
    </cfRule>
  </conditionalFormatting>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1000"/>
  <sheetViews>
    <sheetView showGridLines="0" workbookViewId="0">
      <pane ySplit="6" topLeftCell="A7" activePane="bottomLeft" state="frozen"/>
      <selection pane="bottomLeft" activeCell="F155" sqref="F155"/>
    </sheetView>
  </sheetViews>
  <sheetFormatPr baseColWidth="10" defaultColWidth="11.28515625" defaultRowHeight="15" customHeight="1" x14ac:dyDescent="0.2"/>
  <cols>
    <col min="1" max="2" width="4.28515625" customWidth="1"/>
    <col min="3" max="3" width="5.42578125" customWidth="1"/>
    <col min="4" max="5" width="10.5703125" customWidth="1"/>
    <col min="6" max="6" width="13" customWidth="1"/>
    <col min="7" max="10" width="10.5703125" customWidth="1"/>
    <col min="11" max="11" width="7.7109375" customWidth="1"/>
    <col min="12" max="12" width="10.7109375" customWidth="1"/>
    <col min="13" max="14" width="10.5703125" customWidth="1"/>
    <col min="15" max="15" width="13.140625" customWidth="1"/>
    <col min="16" max="16" width="13" customWidth="1"/>
    <col min="17" max="17" width="10.5703125" customWidth="1"/>
    <col min="18" max="18" width="13" customWidth="1"/>
    <col min="19" max="19" width="11" customWidth="1"/>
    <col min="20" max="21" width="11.42578125" customWidth="1"/>
    <col min="22" max="22" width="11" customWidth="1"/>
    <col min="23" max="23" width="13" customWidth="1"/>
    <col min="24" max="25" width="10.5703125" customWidth="1"/>
    <col min="26" max="26" width="13.140625" customWidth="1"/>
    <col min="27" max="27" width="13" customWidth="1"/>
    <col min="28" max="28" width="10.5703125" customWidth="1"/>
    <col min="29" max="29" width="13" customWidth="1"/>
    <col min="30" max="30" width="11" customWidth="1"/>
    <col min="31" max="32" width="12.28515625" customWidth="1"/>
    <col min="33" max="33" width="11" customWidth="1"/>
    <col min="34" max="34" width="13" customWidth="1"/>
    <col min="35" max="51" width="10.5703125" customWidth="1"/>
  </cols>
  <sheetData>
    <row r="1" spans="2:34" ht="42" customHeight="1" x14ac:dyDescent="0.45">
      <c r="B1" s="1" t="str">
        <f>Model!B1</f>
        <v>Fund Name</v>
      </c>
      <c r="C1" s="2"/>
      <c r="L1" s="3"/>
    </row>
    <row r="2" spans="2:34" ht="25.5" customHeight="1" x14ac:dyDescent="0.25">
      <c r="B2" s="4" t="s">
        <v>0</v>
      </c>
      <c r="C2" s="2"/>
      <c r="H2" s="5"/>
      <c r="L2" s="3"/>
      <c r="O2" s="7"/>
      <c r="Z2" s="7"/>
    </row>
    <row r="3" spans="2:34" ht="15.75" customHeight="1" x14ac:dyDescent="0.2">
      <c r="B3" s="8" t="s">
        <v>1</v>
      </c>
      <c r="C3" s="9"/>
      <c r="D3" s="10">
        <f ca="1">'Summary and Assumptions'!D13</f>
        <v>43958</v>
      </c>
      <c r="F3" s="8" t="s">
        <v>2</v>
      </c>
      <c r="G3" s="9"/>
      <c r="H3" s="11">
        <f>'Summary and Assumptions'!D102</f>
        <v>35</v>
      </c>
      <c r="L3" s="3"/>
      <c r="Z3" s="7"/>
    </row>
    <row r="4" spans="2:34" ht="15.75" customHeight="1" x14ac:dyDescent="0.2">
      <c r="B4" s="12" t="s">
        <v>3</v>
      </c>
      <c r="C4" s="13"/>
      <c r="D4" s="14">
        <f>'Summary and Assumptions'!D10</f>
        <v>44197</v>
      </c>
      <c r="F4" s="12" t="s">
        <v>4</v>
      </c>
      <c r="G4" s="15"/>
      <c r="H4" s="16">
        <v>90</v>
      </c>
      <c r="L4" s="3"/>
      <c r="Z4" s="7"/>
    </row>
    <row r="5" spans="2:34" ht="15.75" customHeight="1" x14ac:dyDescent="0.2">
      <c r="B5" s="2"/>
      <c r="C5" s="2"/>
      <c r="L5" s="3"/>
      <c r="O5" s="501" t="s">
        <v>5</v>
      </c>
      <c r="P5" s="491"/>
      <c r="Q5" s="491"/>
      <c r="R5" s="491"/>
      <c r="S5" s="491"/>
      <c r="T5" s="491"/>
      <c r="U5" s="491"/>
      <c r="V5" s="491"/>
      <c r="W5" s="491"/>
      <c r="X5" s="492"/>
      <c r="Z5" s="501" t="s">
        <v>6</v>
      </c>
      <c r="AA5" s="491"/>
      <c r="AB5" s="491"/>
      <c r="AC5" s="491"/>
      <c r="AD5" s="491"/>
      <c r="AE5" s="491"/>
      <c r="AF5" s="491"/>
      <c r="AG5" s="491"/>
      <c r="AH5" s="492"/>
    </row>
    <row r="6" spans="2:34" ht="15.75" customHeight="1" x14ac:dyDescent="0.2">
      <c r="B6" s="17" t="s">
        <v>7</v>
      </c>
      <c r="C6" s="18" t="s">
        <v>8</v>
      </c>
      <c r="D6" s="19"/>
      <c r="E6" s="20" t="s">
        <v>9</v>
      </c>
      <c r="F6" s="17" t="s">
        <v>10</v>
      </c>
      <c r="G6" s="21" t="s">
        <v>11</v>
      </c>
      <c r="H6" s="21" t="s">
        <v>12</v>
      </c>
      <c r="I6" s="21" t="s">
        <v>13</v>
      </c>
      <c r="J6" s="22" t="s">
        <v>14</v>
      </c>
      <c r="K6" s="2" t="s">
        <v>15</v>
      </c>
      <c r="L6" s="23" t="s">
        <v>16</v>
      </c>
      <c r="O6" s="502" t="str">
        <f>C6</f>
        <v>Companies</v>
      </c>
      <c r="P6" s="492"/>
      <c r="Q6" s="20" t="s">
        <v>17</v>
      </c>
      <c r="R6" s="17" t="str">
        <f t="shared" ref="R6:V6" si="0">F6</f>
        <v>Seed</v>
      </c>
      <c r="S6" s="21" t="str">
        <f t="shared" si="0"/>
        <v xml:space="preserve">Ext. </v>
      </c>
      <c r="T6" s="21" t="str">
        <f t="shared" si="0"/>
        <v>A</v>
      </c>
      <c r="U6" s="21" t="str">
        <f t="shared" si="0"/>
        <v>B</v>
      </c>
      <c r="V6" s="21" t="str">
        <f t="shared" si="0"/>
        <v>C</v>
      </c>
      <c r="W6" s="23" t="s">
        <v>16</v>
      </c>
      <c r="X6" s="25" t="s">
        <v>15</v>
      </c>
      <c r="Z6" s="502" t="str">
        <f>O6</f>
        <v>Companies</v>
      </c>
      <c r="AA6" s="492"/>
      <c r="AB6" s="20" t="str">
        <f t="shared" ref="AB6:AH6" si="1">Q6</f>
        <v>Intl Inv Date</v>
      </c>
      <c r="AC6" s="17" t="str">
        <f t="shared" si="1"/>
        <v>Seed</v>
      </c>
      <c r="AD6" s="21" t="str">
        <f t="shared" si="1"/>
        <v xml:space="preserve">Ext. </v>
      </c>
      <c r="AE6" s="21" t="str">
        <f t="shared" si="1"/>
        <v>A</v>
      </c>
      <c r="AF6" s="21" t="str">
        <f t="shared" si="1"/>
        <v>B</v>
      </c>
      <c r="AG6" s="22" t="str">
        <f t="shared" si="1"/>
        <v>C</v>
      </c>
      <c r="AH6" s="23" t="str">
        <f t="shared" si="1"/>
        <v>Returns</v>
      </c>
    </row>
    <row r="7" spans="2:34" ht="15.75" customHeight="1" x14ac:dyDescent="0.2">
      <c r="B7" s="26" t="s">
        <v>18</v>
      </c>
      <c r="C7" s="25">
        <f>G3+1</f>
        <v>1</v>
      </c>
      <c r="D7" s="27" t="str">
        <f>IF(C7&lt;=$H$3,"Company"&amp;" "&amp;C7,"")</f>
        <v>Company 1</v>
      </c>
      <c r="E7" s="28" t="s">
        <v>19</v>
      </c>
      <c r="F7" s="29">
        <f t="shared" ref="F7:J7" ca="1" si="2">IFERROR(IF(F8&gt;0,(DATE(YEAR(F8),((INT((MONTH(F8)-1)/3)+1)*3)+1,1)-1),"-"),"NA")</f>
        <v>44286</v>
      </c>
      <c r="G7" s="29">
        <f t="shared" ca="1" si="2"/>
        <v>44742</v>
      </c>
      <c r="H7" s="29">
        <f t="shared" ca="1" si="2"/>
        <v>44834</v>
      </c>
      <c r="I7" s="29">
        <f t="shared" ca="1" si="2"/>
        <v>45291</v>
      </c>
      <c r="J7" s="30">
        <f t="shared" ca="1" si="2"/>
        <v>45747</v>
      </c>
      <c r="L7" s="31">
        <f ca="1">IFERROR(IF(L8&gt;0,(DATE(YEAR(L8),((INT((MONTH(L8)-1)/3)+1)*3)+1,1)-1),"-"),"")</f>
        <v>45747</v>
      </c>
      <c r="O7" s="32" t="str">
        <f ca="1">IF(F8&lt;=TODAY(),C7,"0")</f>
        <v>0</v>
      </c>
      <c r="P7" s="33" t="str">
        <f ca="1">IF(F8&lt;=TODAY(),D7,"0")</f>
        <v>0</v>
      </c>
      <c r="Q7" s="34" t="str">
        <f ca="1">IF(F8&lt;=TODAY(),F8,"0")</f>
        <v>0</v>
      </c>
      <c r="R7" s="33">
        <f t="shared" ref="R7:V7" ca="1" si="3">IF(F8&lt;=TODAY(),F9,0)</f>
        <v>0</v>
      </c>
      <c r="S7" s="33">
        <f t="shared" ca="1" si="3"/>
        <v>0</v>
      </c>
      <c r="T7" s="33">
        <f t="shared" ca="1" si="3"/>
        <v>0</v>
      </c>
      <c r="U7" s="33">
        <f t="shared" ca="1" si="3"/>
        <v>0</v>
      </c>
      <c r="V7" s="33">
        <f t="shared" ca="1" si="3"/>
        <v>0</v>
      </c>
      <c r="W7" s="35">
        <f ca="1">IF(L8&lt;=TODAY(),L9,0)</f>
        <v>0</v>
      </c>
      <c r="X7" s="36" t="str">
        <f ca="1">IF(K8&lt;=TODAY(),K9,"-")</f>
        <v>0</v>
      </c>
      <c r="Z7" s="37">
        <f t="shared" ref="Z7:AA7" si="4">C7</f>
        <v>1</v>
      </c>
      <c r="AA7" s="33" t="str">
        <f t="shared" si="4"/>
        <v>Company 1</v>
      </c>
      <c r="AB7" s="34">
        <f ca="1">F8</f>
        <v>44232</v>
      </c>
      <c r="AC7" s="33">
        <f t="shared" ref="AC7:AG7" ca="1" si="5">IF(F8&gt;TODAY(),F9,"0")</f>
        <v>1250000</v>
      </c>
      <c r="AD7" s="33">
        <f t="shared" ca="1" si="5"/>
        <v>112500</v>
      </c>
      <c r="AE7" s="33">
        <f t="shared" ca="1" si="5"/>
        <v>937500</v>
      </c>
      <c r="AF7" s="33">
        <f t="shared" ca="1" si="5"/>
        <v>750000</v>
      </c>
      <c r="AG7" s="33">
        <f t="shared" ca="1" si="5"/>
        <v>0</v>
      </c>
      <c r="AH7" s="35">
        <f ca="1">IF(L8&gt;TODAY(),L9,"0")</f>
        <v>0</v>
      </c>
    </row>
    <row r="8" spans="2:34" ht="15.75" customHeight="1" x14ac:dyDescent="0.2">
      <c r="B8" s="38"/>
      <c r="C8" s="25"/>
      <c r="D8" s="39"/>
      <c r="E8" s="40" t="s">
        <v>20</v>
      </c>
      <c r="F8" s="41">
        <f ca="1">IF(C7&lt;=$H$3,IF((D4+('Summary and Assumptions'!$K$118*7))&gt;$D$3,(D4+('Summary and Assumptions'!$K$118*7)),($D$3+$H$4)),"")</f>
        <v>44232</v>
      </c>
      <c r="G8" s="41">
        <f ca="1">IF($C7&lt;=$H$3,IF((F8+('Summary and Assumptions'!$K$119*7))&gt;$D$3,(F8+('Summary and Assumptions'!$K$119*7)),($D$3+$H$4)),"")</f>
        <v>44687</v>
      </c>
      <c r="H8" s="41">
        <f ca="1">IF($C7&lt;=$H$3,IF((F8+('Summary and Assumptions'!$K$120*7))&gt;$D$3,(F8+('Summary and Assumptions'!$K$120*7)),($D$3+$H$4)),"")</f>
        <v>44757</v>
      </c>
      <c r="I8" s="41">
        <f ca="1">IF($C7&lt;=$H$3,IF((H8+('Summary and Assumptions'!$K$121*7))&gt;$D$3,(H8+('Summary and Assumptions'!$K$121*7)),($D$3+$H$4)),"")</f>
        <v>45289</v>
      </c>
      <c r="J8" s="42">
        <f ca="1">IF($C7&lt;=$H$3,IF((I8+('Summary and Assumptions'!$K$122*7))&gt;$D$3,(I8+('Summary and Assumptions'!$K$122*7)),($D$3+$H$4)),"")</f>
        <v>45737</v>
      </c>
      <c r="K8" s="5"/>
      <c r="L8" s="43">
        <f ca="1">IF($C7&lt;=$H$3,IF((J8+('Summary and Assumptions'!$K$123*7))&gt;$D$3,(J8+('Summary and Assumptions'!$K$123*7)),($D$3+$H$4)),"")</f>
        <v>45737</v>
      </c>
      <c r="O8" s="44"/>
      <c r="P8" s="45"/>
      <c r="Q8" s="46"/>
      <c r="R8" s="45"/>
      <c r="S8" s="45"/>
      <c r="T8" s="45"/>
      <c r="U8" s="45"/>
      <c r="V8" s="45"/>
      <c r="W8" s="47"/>
      <c r="X8" s="40"/>
      <c r="Z8" s="48"/>
      <c r="AA8" s="45"/>
      <c r="AB8" s="46"/>
      <c r="AC8" s="45"/>
      <c r="AD8" s="45"/>
      <c r="AE8" s="45"/>
      <c r="AF8" s="45"/>
      <c r="AG8" s="45"/>
      <c r="AH8" s="47"/>
    </row>
    <row r="9" spans="2:34" ht="15.75" customHeight="1" x14ac:dyDescent="0.2">
      <c r="B9" s="38"/>
      <c r="C9" s="49"/>
      <c r="D9" s="50"/>
      <c r="E9" s="51" t="s">
        <v>21</v>
      </c>
      <c r="F9" s="52">
        <f>IF(C7&lt;=$H$3,'Summary and Assumptions'!$D$101,"")</f>
        <v>1250000</v>
      </c>
      <c r="G9" s="52">
        <f>IF(C7&lt;=$H$3,F9*'Summary and Assumptions'!$K$111*'Summary and Assumptions'!$K$102,"")</f>
        <v>112500</v>
      </c>
      <c r="H9" s="52">
        <f>IF(C7&lt;=$H$3,$F9*'Summary and Assumptions'!$K$112*'Summary and Assumptions'!$K$103,"")</f>
        <v>937500</v>
      </c>
      <c r="I9" s="52">
        <f>IF(C7&lt;=$H$3,$F9*'Summary and Assumptions'!$K$113*'Summary and Assumptions'!$K$104,"")</f>
        <v>750000</v>
      </c>
      <c r="J9" s="53">
        <f>IF(C7&lt;=$H$3,$F9*'Summary and Assumptions'!$K$114*'Summary and Assumptions'!$K$105,"")</f>
        <v>0</v>
      </c>
      <c r="K9" s="54" t="str">
        <f ca="1">IF(AND(J8&lt;=$D$3,J9&gt;0),$J$6,IF(AND(I8&lt;=$D$3,I9&gt;0),$I$6,IF(AND(H8&lt;=$D$3,H9&gt;0),$H$6,IF(AND(G8&lt;=$D$3,G9&gt;0),$G$6,IF(AND(F8&lt;=$D$3,F9&gt;0),$F$6,"0")))))</f>
        <v>0</v>
      </c>
      <c r="L9" s="55">
        <f>IF(C7&lt;=$H$3,SUM($F9:$I9)*(1+'Summary and Assumptions'!$D$103),"")</f>
        <v>0</v>
      </c>
      <c r="O9" s="44"/>
      <c r="P9" s="45"/>
      <c r="Q9" s="46"/>
      <c r="R9" s="45"/>
      <c r="S9" s="45"/>
      <c r="T9" s="45"/>
      <c r="U9" s="45"/>
      <c r="V9" s="45"/>
      <c r="W9" s="47"/>
      <c r="X9" s="40"/>
      <c r="Z9" s="48"/>
      <c r="AA9" s="45"/>
      <c r="AB9" s="46"/>
      <c r="AC9" s="45"/>
      <c r="AD9" s="45"/>
      <c r="AE9" s="45"/>
      <c r="AF9" s="45"/>
      <c r="AG9" s="45"/>
      <c r="AH9" s="47"/>
    </row>
    <row r="10" spans="2:34" ht="15.75" customHeight="1" x14ac:dyDescent="0.2">
      <c r="B10" s="26" t="s">
        <v>18</v>
      </c>
      <c r="C10" s="25">
        <f>C7+1</f>
        <v>2</v>
      </c>
      <c r="D10" s="27" t="str">
        <f>IF(C10&lt;=$H$3,"Company"&amp;" "&amp;C10,"")</f>
        <v>Company 2</v>
      </c>
      <c r="E10" s="28" t="s">
        <v>19</v>
      </c>
      <c r="F10" s="29">
        <f t="shared" ref="F10:J10" ca="1" si="6">IFERROR(IF(F11&gt;0,(DATE(YEAR(F11),((INT((MONTH(F11)-1)/3)+1)*3)+1,1)-1),"-"),"NA")</f>
        <v>44286</v>
      </c>
      <c r="G10" s="29">
        <f t="shared" ca="1" si="6"/>
        <v>44742</v>
      </c>
      <c r="H10" s="29">
        <f t="shared" ca="1" si="6"/>
        <v>44834</v>
      </c>
      <c r="I10" s="29">
        <f t="shared" ca="1" si="6"/>
        <v>45382</v>
      </c>
      <c r="J10" s="30">
        <f t="shared" ca="1" si="6"/>
        <v>45838</v>
      </c>
      <c r="L10" s="31">
        <f ca="1">IFERROR(IF(L11&gt;0,(DATE(YEAR(L11),((INT((MONTH(L11)-1)/3)+1)*3)+1,1)-1),"-"),"")</f>
        <v>45838</v>
      </c>
      <c r="O10" s="32" t="str">
        <f ca="1">IF(F11&lt;=TODAY(),C10,"0")</f>
        <v>0</v>
      </c>
      <c r="P10" s="33" t="str">
        <f ca="1">IF(F11&lt;=TODAY(),D10,"0")</f>
        <v>0</v>
      </c>
      <c r="Q10" s="56" t="str">
        <f ca="1">IF(F11&lt;=TODAY(),F11,"0")</f>
        <v>0</v>
      </c>
      <c r="R10" s="33">
        <f t="shared" ref="R10:V10" ca="1" si="7">IF(F11&lt;=TODAY(),F12,0)</f>
        <v>0</v>
      </c>
      <c r="S10" s="33">
        <f t="shared" ca="1" si="7"/>
        <v>0</v>
      </c>
      <c r="T10" s="33">
        <f t="shared" ca="1" si="7"/>
        <v>0</v>
      </c>
      <c r="U10" s="33">
        <f t="shared" ca="1" si="7"/>
        <v>0</v>
      </c>
      <c r="V10" s="33">
        <f t="shared" ca="1" si="7"/>
        <v>0</v>
      </c>
      <c r="W10" s="35">
        <f ca="1">IF(L11&lt;=TODAY(),L12,0)</f>
        <v>0</v>
      </c>
      <c r="X10" s="36" t="str">
        <f ca="1">IF(K11&lt;=TODAY(),K12,"-")</f>
        <v>0</v>
      </c>
      <c r="Z10" s="37">
        <f t="shared" ref="Z10:AA10" si="8">C10</f>
        <v>2</v>
      </c>
      <c r="AA10" s="33" t="str">
        <f t="shared" si="8"/>
        <v>Company 2</v>
      </c>
      <c r="AB10" s="56">
        <f ca="1">F11</f>
        <v>44267</v>
      </c>
      <c r="AC10" s="33">
        <f t="shared" ref="AC10:AG10" ca="1" si="9">IF(F11&gt;TODAY(),F12,"0")</f>
        <v>1250000</v>
      </c>
      <c r="AD10" s="33">
        <f t="shared" ca="1" si="9"/>
        <v>112500</v>
      </c>
      <c r="AE10" s="33">
        <f t="shared" ca="1" si="9"/>
        <v>937500</v>
      </c>
      <c r="AF10" s="33">
        <f t="shared" ca="1" si="9"/>
        <v>750000</v>
      </c>
      <c r="AG10" s="33">
        <f t="shared" ca="1" si="9"/>
        <v>0</v>
      </c>
      <c r="AH10" s="35">
        <f ca="1">IF(L11&gt;TODAY(),L12,"0")</f>
        <v>0</v>
      </c>
    </row>
    <row r="11" spans="2:34" ht="15.75" customHeight="1" x14ac:dyDescent="0.2">
      <c r="B11" s="38"/>
      <c r="C11" s="25"/>
      <c r="D11" s="39"/>
      <c r="E11" s="40" t="s">
        <v>20</v>
      </c>
      <c r="F11" s="41">
        <f ca="1">IF(C10&lt;=$H$3,IF((F8+('Summary and Assumptions'!$K$118*7))&gt;$D$3,(F8+('Summary and Assumptions'!$K$118*7)),($D$3+$H$4)),"")</f>
        <v>44267</v>
      </c>
      <c r="G11" s="41">
        <f ca="1">IF($C10&lt;=$H$3,IF((F11+('Summary and Assumptions'!$K$119*7))&gt;$D$3,(F11+('Summary and Assumptions'!$K$119*7)),($D$3+$H$4)),"")</f>
        <v>44722</v>
      </c>
      <c r="H11" s="41">
        <f ca="1">IF($C10&lt;=$H$3,IF((F11+('Summary and Assumptions'!$K$120*7))&gt;$D$3,(F11+('Summary and Assumptions'!$K$120*7)),($D$3+$H$4)),"")</f>
        <v>44792</v>
      </c>
      <c r="I11" s="41">
        <f ca="1">IF($C10&lt;=$H$3,IF((H11+('Summary and Assumptions'!$K$121*7))&gt;$D$3,(H11+('Summary and Assumptions'!$K$121*7)),($D$3+$H$4)),"")</f>
        <v>45324</v>
      </c>
      <c r="J11" s="42">
        <f ca="1">IF($C10&lt;=$H$3,IF((I11+('Summary and Assumptions'!$K$122*7))&gt;$D$3,(I11+('Summary and Assumptions'!$K$122*7)),($D$3+$H$4)),"")</f>
        <v>45772</v>
      </c>
      <c r="K11" s="5"/>
      <c r="L11" s="43">
        <f ca="1">IF($C10&lt;=$H$3,IF((J11+('Summary and Assumptions'!$K$123*7))&gt;$D$3,(J11+('Summary and Assumptions'!$K$123*7)),($D$3+$H$4)),"")</f>
        <v>45772</v>
      </c>
      <c r="M11" s="57"/>
      <c r="O11" s="44"/>
      <c r="P11" s="45"/>
      <c r="Q11" s="46"/>
      <c r="R11" s="45"/>
      <c r="S11" s="45"/>
      <c r="T11" s="45"/>
      <c r="U11" s="45"/>
      <c r="V11" s="45"/>
      <c r="W11" s="47"/>
      <c r="X11" s="40"/>
      <c r="Z11" s="48"/>
      <c r="AA11" s="45"/>
      <c r="AB11" s="46"/>
      <c r="AC11" s="45"/>
      <c r="AD11" s="45"/>
      <c r="AE11" s="45"/>
      <c r="AF11" s="45"/>
      <c r="AG11" s="45"/>
      <c r="AH11" s="47"/>
    </row>
    <row r="12" spans="2:34" ht="15.75" customHeight="1" x14ac:dyDescent="0.2">
      <c r="B12" s="38"/>
      <c r="C12" s="49"/>
      <c r="D12" s="50"/>
      <c r="E12" s="51" t="s">
        <v>21</v>
      </c>
      <c r="F12" s="52">
        <f>IF(C10&lt;=$H$3,'Summary and Assumptions'!$D$101,"")</f>
        <v>1250000</v>
      </c>
      <c r="G12" s="52">
        <f>IF(C10&lt;=$H$3,F12*'Summary and Assumptions'!$K$111*'Summary and Assumptions'!$K$102,"")</f>
        <v>112500</v>
      </c>
      <c r="H12" s="52">
        <f>IF(C10&lt;=$H$3,$F12*'Summary and Assumptions'!$K$112*'Summary and Assumptions'!$K$103,"")</f>
        <v>937500</v>
      </c>
      <c r="I12" s="52">
        <f>IF(C10&lt;=$H$3,$F12*'Summary and Assumptions'!$K$113*'Summary and Assumptions'!$K$104,"")</f>
        <v>750000</v>
      </c>
      <c r="J12" s="53">
        <f>IF(C10&lt;=$H$3,$F12*'Summary and Assumptions'!$K$114*'Summary and Assumptions'!$K$105,"")</f>
        <v>0</v>
      </c>
      <c r="K12" s="54" t="str">
        <f ca="1">IF(AND(J11&lt;=$D$3,J12&gt;0),$J$6,IF(AND(I11&lt;=$D$3,I12&gt;0),$I$6,IF(AND(H11&lt;=$D$3,H12&gt;0),$H$6,IF(AND(G11&lt;=$D$3,G12&gt;0),$G$6,IF(AND(F11&lt;=$D$3,F12&gt;0),$F$6,"0")))))</f>
        <v>0</v>
      </c>
      <c r="L12" s="55">
        <f>IF(C10&lt;=$H$3,SUM($F12:$I12)*(1+'Summary and Assumptions'!$D$103),"")</f>
        <v>0</v>
      </c>
      <c r="O12" s="44"/>
      <c r="P12" s="45"/>
      <c r="Q12" s="46"/>
      <c r="R12" s="45"/>
      <c r="S12" s="45"/>
      <c r="T12" s="45"/>
      <c r="U12" s="45"/>
      <c r="V12" s="45"/>
      <c r="W12" s="47"/>
      <c r="X12" s="40"/>
      <c r="Z12" s="48"/>
      <c r="AA12" s="45"/>
      <c r="AB12" s="46"/>
      <c r="AC12" s="45"/>
      <c r="AD12" s="45"/>
      <c r="AE12" s="45"/>
      <c r="AF12" s="45"/>
      <c r="AG12" s="45"/>
      <c r="AH12" s="47"/>
    </row>
    <row r="13" spans="2:34" ht="15.75" customHeight="1" x14ac:dyDescent="0.2">
      <c r="B13" s="26" t="s">
        <v>18</v>
      </c>
      <c r="C13" s="25">
        <f>C10+1</f>
        <v>3</v>
      </c>
      <c r="D13" s="27" t="str">
        <f>IF(C13&lt;=$H$3,"Company"&amp;" "&amp;C13,"")</f>
        <v>Company 3</v>
      </c>
      <c r="E13" s="28" t="s">
        <v>19</v>
      </c>
      <c r="F13" s="29">
        <f t="shared" ref="F13:J13" ca="1" si="10">IFERROR(IF(F14&gt;0,(DATE(YEAR(F14),((INT((MONTH(F14)-1)/3)+1)*3)+1,1)-1),"-"),"NA")</f>
        <v>44377</v>
      </c>
      <c r="G13" s="29">
        <f t="shared" ca="1" si="10"/>
        <v>44834</v>
      </c>
      <c r="H13" s="29">
        <f t="shared" ca="1" si="10"/>
        <v>44834</v>
      </c>
      <c r="I13" s="29">
        <f t="shared" ca="1" si="10"/>
        <v>45382</v>
      </c>
      <c r="J13" s="30">
        <f t="shared" ca="1" si="10"/>
        <v>45838</v>
      </c>
      <c r="L13" s="31">
        <f ca="1">IFERROR(IF(L14&gt;0,(DATE(YEAR(L14),((INT((MONTH(L14)-1)/3)+1)*3)+1,1)-1),"-"),"")</f>
        <v>45838</v>
      </c>
      <c r="O13" s="32" t="str">
        <f ca="1">IF(F14&lt;=TODAY(),C13,"0")</f>
        <v>0</v>
      </c>
      <c r="P13" s="33" t="str">
        <f ca="1">IF(F14&lt;=TODAY(),D13,"0")</f>
        <v>0</v>
      </c>
      <c r="Q13" s="56" t="str">
        <f ca="1">IF(F14&lt;=TODAY(),F14,"0")</f>
        <v>0</v>
      </c>
      <c r="R13" s="33">
        <f t="shared" ref="R13:V13" ca="1" si="11">IF(F14&lt;=TODAY(),F15,0)</f>
        <v>0</v>
      </c>
      <c r="S13" s="33">
        <f t="shared" ca="1" si="11"/>
        <v>0</v>
      </c>
      <c r="T13" s="33">
        <f t="shared" ca="1" si="11"/>
        <v>0</v>
      </c>
      <c r="U13" s="33">
        <f t="shared" ca="1" si="11"/>
        <v>0</v>
      </c>
      <c r="V13" s="33">
        <f t="shared" ca="1" si="11"/>
        <v>0</v>
      </c>
      <c r="W13" s="35">
        <f ca="1">IF(L14&lt;=TODAY(),L15,0)</f>
        <v>0</v>
      </c>
      <c r="X13" s="36" t="str">
        <f ca="1">IF(K14&lt;=TODAY(),K15,"-")</f>
        <v>0</v>
      </c>
      <c r="Z13" s="37">
        <f t="shared" ref="Z13:AA13" si="12">C13</f>
        <v>3</v>
      </c>
      <c r="AA13" s="33" t="str">
        <f t="shared" si="12"/>
        <v>Company 3</v>
      </c>
      <c r="AB13" s="56">
        <f ca="1">F14</f>
        <v>44302</v>
      </c>
      <c r="AC13" s="33">
        <f t="shared" ref="AC13:AG13" ca="1" si="13">IF(F14&gt;TODAY(),F15,"0")</f>
        <v>1250000</v>
      </c>
      <c r="AD13" s="33">
        <f t="shared" ca="1" si="13"/>
        <v>112500</v>
      </c>
      <c r="AE13" s="33">
        <f t="shared" ca="1" si="13"/>
        <v>937500</v>
      </c>
      <c r="AF13" s="33">
        <f t="shared" ca="1" si="13"/>
        <v>750000</v>
      </c>
      <c r="AG13" s="33">
        <f t="shared" ca="1" si="13"/>
        <v>0</v>
      </c>
      <c r="AH13" s="35">
        <f ca="1">IF(L14&gt;TODAY(),L15,"0")</f>
        <v>0</v>
      </c>
    </row>
    <row r="14" spans="2:34" ht="15.75" customHeight="1" x14ac:dyDescent="0.2">
      <c r="B14" s="38"/>
      <c r="C14" s="25"/>
      <c r="D14" s="39"/>
      <c r="E14" s="40" t="s">
        <v>20</v>
      </c>
      <c r="F14" s="41">
        <f ca="1">IF(C13&lt;=$H$3,IF((F11+('Summary and Assumptions'!$K$118*7))&gt;$D$3,(F11+('Summary and Assumptions'!$K$118*7)),($D$3+$H$4)),"")</f>
        <v>44302</v>
      </c>
      <c r="G14" s="41">
        <f ca="1">IF($C13&lt;=$H$3,IF((F14+('Summary and Assumptions'!$K$119*7))&gt;$D$3,(F14+('Summary and Assumptions'!$K$119*7)),($D$3+$H$4)),"")</f>
        <v>44757</v>
      </c>
      <c r="H14" s="41">
        <f ca="1">IF($C13&lt;=$H$3,IF((F14+('Summary and Assumptions'!$K$120*7))&gt;$D$3,(F14+('Summary and Assumptions'!$K$120*7)),($D$3+$H$4)),"")</f>
        <v>44827</v>
      </c>
      <c r="I14" s="41">
        <f ca="1">IF($C13&lt;=$H$3,IF((H14+('Summary and Assumptions'!$K$121*7))&gt;$D$3,(H14+('Summary and Assumptions'!$K$121*7)),($D$3+$H$4)),"")</f>
        <v>45359</v>
      </c>
      <c r="J14" s="42">
        <f ca="1">IF($C13&lt;=$H$3,IF((I14+('Summary and Assumptions'!$K$122*7))&gt;$D$3,(I14+('Summary and Assumptions'!$K$122*7)),($D$3+$H$4)),"")</f>
        <v>45807</v>
      </c>
      <c r="K14" s="5"/>
      <c r="L14" s="43">
        <f ca="1">IF($C13&lt;=$H$3,IF((J14+('Summary and Assumptions'!$K$123*7))&gt;$D$3,(J14+('Summary and Assumptions'!$K$123*7)),($D$3+$H$4)),"")</f>
        <v>45807</v>
      </c>
      <c r="O14" s="44"/>
      <c r="P14" s="45"/>
      <c r="Q14" s="46"/>
      <c r="R14" s="45"/>
      <c r="S14" s="45"/>
      <c r="T14" s="45"/>
      <c r="U14" s="45"/>
      <c r="V14" s="45"/>
      <c r="W14" s="47"/>
      <c r="X14" s="40"/>
      <c r="Z14" s="48"/>
      <c r="AA14" s="45"/>
      <c r="AB14" s="46"/>
      <c r="AC14" s="45"/>
      <c r="AD14" s="45"/>
      <c r="AE14" s="45"/>
      <c r="AF14" s="45"/>
      <c r="AG14" s="45"/>
      <c r="AH14" s="47"/>
    </row>
    <row r="15" spans="2:34" ht="15.75" customHeight="1" x14ac:dyDescent="0.2">
      <c r="B15" s="38"/>
      <c r="C15" s="49"/>
      <c r="D15" s="50"/>
      <c r="E15" s="51" t="s">
        <v>21</v>
      </c>
      <c r="F15" s="52">
        <f>IF(C13&lt;=$H$3,'Summary and Assumptions'!$D$101,"")</f>
        <v>1250000</v>
      </c>
      <c r="G15" s="52">
        <f>IF(C13&lt;=$H$3,F15*'Summary and Assumptions'!$K$111*'Summary and Assumptions'!$K$102,"")</f>
        <v>112500</v>
      </c>
      <c r="H15" s="52">
        <f>IF(C13&lt;=$H$3,$F15*'Summary and Assumptions'!$K$112*'Summary and Assumptions'!$K$103,"")</f>
        <v>937500</v>
      </c>
      <c r="I15" s="52">
        <f>IF(C13&lt;=$H$3,$F15*'Summary and Assumptions'!$K$113*'Summary and Assumptions'!$K$104,"")</f>
        <v>750000</v>
      </c>
      <c r="J15" s="53">
        <f>IF(C13&lt;=$H$3,$F15*'Summary and Assumptions'!$K$114*'Summary and Assumptions'!$K$105,"")</f>
        <v>0</v>
      </c>
      <c r="K15" s="54" t="str">
        <f ca="1">IF(AND(J14&lt;=$D$3,J15&gt;0),$J$6,IF(AND(I14&lt;=$D$3,I15&gt;0),$I$6,IF(AND(H14&lt;=$D$3,H15&gt;0),$H$6,IF(AND(G14&lt;=$D$3,G15&gt;0),$G$6,IF(AND(F14&lt;=$D$3,F15&gt;0),$F$6,"0")))))</f>
        <v>0</v>
      </c>
      <c r="L15" s="55">
        <f>IF(C13&lt;=$H$3,SUM($F15:$I15)*(1+'Summary and Assumptions'!$D$103),"")</f>
        <v>0</v>
      </c>
      <c r="O15" s="44"/>
      <c r="P15" s="45"/>
      <c r="Q15" s="46"/>
      <c r="R15" s="45"/>
      <c r="S15" s="45"/>
      <c r="T15" s="45"/>
      <c r="U15" s="45"/>
      <c r="V15" s="45"/>
      <c r="W15" s="47"/>
      <c r="X15" s="40"/>
      <c r="Z15" s="48"/>
      <c r="AA15" s="45"/>
      <c r="AB15" s="46"/>
      <c r="AC15" s="45"/>
      <c r="AD15" s="45"/>
      <c r="AE15" s="45"/>
      <c r="AF15" s="45"/>
      <c r="AG15" s="45"/>
      <c r="AH15" s="47"/>
    </row>
    <row r="16" spans="2:34" ht="15.75" customHeight="1" x14ac:dyDescent="0.2">
      <c r="B16" s="26" t="s">
        <v>18</v>
      </c>
      <c r="C16" s="25">
        <f>C13+1</f>
        <v>4</v>
      </c>
      <c r="D16" s="27" t="str">
        <f>IF(C16&lt;=$H$3,"Company"&amp;" "&amp;C16,"")</f>
        <v>Company 4</v>
      </c>
      <c r="E16" s="28" t="s">
        <v>19</v>
      </c>
      <c r="F16" s="29">
        <f t="shared" ref="F16:J16" ca="1" si="14">IFERROR(IF(F17&gt;0,(DATE(YEAR(F17),((INT((MONTH(F17)-1)/3)+1)*3)+1,1)-1),"-"),"NA")</f>
        <v>44377</v>
      </c>
      <c r="G16" s="29">
        <f t="shared" ca="1" si="14"/>
        <v>44834</v>
      </c>
      <c r="H16" s="29">
        <f t="shared" ca="1" si="14"/>
        <v>44926</v>
      </c>
      <c r="I16" s="29">
        <f t="shared" ca="1" si="14"/>
        <v>45473</v>
      </c>
      <c r="J16" s="30">
        <f t="shared" ca="1" si="14"/>
        <v>45930</v>
      </c>
      <c r="L16" s="31">
        <f ca="1">IFERROR(IF(L17&gt;0,(DATE(YEAR(L17),((INT((MONTH(L17)-1)/3)+1)*3)+1,1)-1),"-"),"")</f>
        <v>45930</v>
      </c>
      <c r="O16" s="32" t="str">
        <f ca="1">IF(F17&lt;=TODAY(),C16,"0")</f>
        <v>0</v>
      </c>
      <c r="P16" s="33" t="str">
        <f ca="1">IF(F17&lt;=TODAY(),D16,"0")</f>
        <v>0</v>
      </c>
      <c r="Q16" s="56" t="str">
        <f ca="1">IF(F17&lt;=TODAY(),F17,"0")</f>
        <v>0</v>
      </c>
      <c r="R16" s="33">
        <f t="shared" ref="R16:V16" ca="1" si="15">IF(F17&lt;=TODAY(),F18,0)</f>
        <v>0</v>
      </c>
      <c r="S16" s="33">
        <f t="shared" ca="1" si="15"/>
        <v>0</v>
      </c>
      <c r="T16" s="33">
        <f t="shared" ca="1" si="15"/>
        <v>0</v>
      </c>
      <c r="U16" s="33">
        <f t="shared" ca="1" si="15"/>
        <v>0</v>
      </c>
      <c r="V16" s="33">
        <f t="shared" ca="1" si="15"/>
        <v>0</v>
      </c>
      <c r="W16" s="35">
        <f ca="1">IF(L17&lt;=TODAY(),L18,0)</f>
        <v>0</v>
      </c>
      <c r="X16" s="36" t="str">
        <f ca="1">IF(K17&lt;=TODAY(),K18,"-")</f>
        <v>0</v>
      </c>
      <c r="Z16" s="37">
        <f t="shared" ref="Z16:AA16" si="16">C16</f>
        <v>4</v>
      </c>
      <c r="AA16" s="33" t="str">
        <f t="shared" si="16"/>
        <v>Company 4</v>
      </c>
      <c r="AB16" s="56">
        <f ca="1">F17</f>
        <v>44337</v>
      </c>
      <c r="AC16" s="33">
        <f t="shared" ref="AC16:AG16" ca="1" si="17">IF(F17&gt;TODAY(),F18,"0")</f>
        <v>1250000</v>
      </c>
      <c r="AD16" s="33">
        <f t="shared" ca="1" si="17"/>
        <v>112500</v>
      </c>
      <c r="AE16" s="33">
        <f t="shared" ca="1" si="17"/>
        <v>937500</v>
      </c>
      <c r="AF16" s="33">
        <f t="shared" ca="1" si="17"/>
        <v>750000</v>
      </c>
      <c r="AG16" s="33">
        <f t="shared" ca="1" si="17"/>
        <v>0</v>
      </c>
      <c r="AH16" s="35">
        <f ca="1">IF(L17&gt;TODAY(),L18,"0")</f>
        <v>0</v>
      </c>
    </row>
    <row r="17" spans="2:34" ht="15.75" customHeight="1" x14ac:dyDescent="0.2">
      <c r="B17" s="38"/>
      <c r="C17" s="25"/>
      <c r="D17" s="39"/>
      <c r="E17" s="40" t="s">
        <v>20</v>
      </c>
      <c r="F17" s="41">
        <f ca="1">IF(C16&lt;=$H$3,IF((F14+('Summary and Assumptions'!$K$118*7))&gt;$D$3,(F14+('Summary and Assumptions'!$K$118*7)),($D$3+$H$4)),"")</f>
        <v>44337</v>
      </c>
      <c r="G17" s="41">
        <f ca="1">IF($C16&lt;=$H$3,IF((F17+('Summary and Assumptions'!$K$119*7))&gt;$D$3,(F17+('Summary and Assumptions'!$K$119*7)),($D$3+$H$4)),"")</f>
        <v>44792</v>
      </c>
      <c r="H17" s="41">
        <f ca="1">IF($C16&lt;=$H$3,IF((F17+('Summary and Assumptions'!$K$120*7))&gt;$D$3,(F17+('Summary and Assumptions'!$K$120*7)),($D$3+$H$4)),"")</f>
        <v>44862</v>
      </c>
      <c r="I17" s="41">
        <f ca="1">IF($C16&lt;=$H$3,IF((H17+('Summary and Assumptions'!$K$121*7))&gt;$D$3,(H17+('Summary and Assumptions'!$K$121*7)),($D$3+$H$4)),"")</f>
        <v>45394</v>
      </c>
      <c r="J17" s="42">
        <f ca="1">IF($C16&lt;=$H$3,IF((I17+('Summary and Assumptions'!$K$122*7))&gt;$D$3,(I17+('Summary and Assumptions'!$K$122*7)),($D$3+$H$4)),"")</f>
        <v>45842</v>
      </c>
      <c r="K17" s="5"/>
      <c r="L17" s="43">
        <f ca="1">IF($C16&lt;=$H$3,IF((J17+('Summary and Assumptions'!$K$123*7))&gt;$D$3,(J17+('Summary and Assumptions'!$K$123*7)),($D$3+$H$4)),"")</f>
        <v>45842</v>
      </c>
      <c r="O17" s="44"/>
      <c r="P17" s="45"/>
      <c r="Q17" s="46"/>
      <c r="R17" s="45"/>
      <c r="S17" s="45"/>
      <c r="T17" s="45"/>
      <c r="U17" s="45"/>
      <c r="V17" s="45"/>
      <c r="W17" s="47"/>
      <c r="X17" s="40"/>
      <c r="Z17" s="48"/>
      <c r="AA17" s="45"/>
      <c r="AB17" s="46"/>
      <c r="AC17" s="45"/>
      <c r="AD17" s="45"/>
      <c r="AE17" s="45"/>
      <c r="AF17" s="45"/>
      <c r="AG17" s="45"/>
      <c r="AH17" s="47"/>
    </row>
    <row r="18" spans="2:34" ht="15.75" customHeight="1" x14ac:dyDescent="0.2">
      <c r="B18" s="38"/>
      <c r="C18" s="49"/>
      <c r="D18" s="50"/>
      <c r="E18" s="51" t="s">
        <v>21</v>
      </c>
      <c r="F18" s="52">
        <f>IF(C16&lt;=$H$3,'Summary and Assumptions'!$D$101,"")</f>
        <v>1250000</v>
      </c>
      <c r="G18" s="52">
        <f>IF(C16&lt;=$H$3,F18*'Summary and Assumptions'!$K$111*'Summary and Assumptions'!$K$102,"")</f>
        <v>112500</v>
      </c>
      <c r="H18" s="52">
        <f>IF(C16&lt;=$H$3,$F18*'Summary and Assumptions'!$K$112*'Summary and Assumptions'!$K$103,"")</f>
        <v>937500</v>
      </c>
      <c r="I18" s="52">
        <f>IF(C16&lt;=$H$3,$F18*'Summary and Assumptions'!$K$113*'Summary and Assumptions'!$K$104,"")</f>
        <v>750000</v>
      </c>
      <c r="J18" s="53">
        <f>IF(C16&lt;=$H$3,$F18*'Summary and Assumptions'!$K$114*'Summary and Assumptions'!$K$105,"")</f>
        <v>0</v>
      </c>
      <c r="K18" s="54" t="str">
        <f ca="1">IF(AND(J17&lt;=$D$3,J18&gt;0),$J$6,IF(AND(I17&lt;=$D$3,I18&gt;0),$I$6,IF(AND(H17&lt;=$D$3,H18&gt;0),$H$6,IF(AND(G17&lt;=$D$3,G18&gt;0),$G$6,IF(AND(F17&lt;=$D$3,F18&gt;0),$F$6,"0")))))</f>
        <v>0</v>
      </c>
      <c r="L18" s="55">
        <f>IF(C16&lt;=$H$3,SUM($F18:$I18)*(1+'Summary and Assumptions'!$D$103),"")</f>
        <v>0</v>
      </c>
      <c r="O18" s="44"/>
      <c r="P18" s="45"/>
      <c r="Q18" s="46"/>
      <c r="R18" s="45"/>
      <c r="S18" s="45"/>
      <c r="T18" s="45"/>
      <c r="U18" s="45"/>
      <c r="V18" s="45"/>
      <c r="W18" s="47"/>
      <c r="X18" s="40"/>
      <c r="Z18" s="48"/>
      <c r="AA18" s="45"/>
      <c r="AB18" s="46"/>
      <c r="AC18" s="45"/>
      <c r="AD18" s="45"/>
      <c r="AE18" s="45"/>
      <c r="AF18" s="45"/>
      <c r="AG18" s="45"/>
      <c r="AH18" s="47"/>
    </row>
    <row r="19" spans="2:34" ht="15.75" customHeight="1" x14ac:dyDescent="0.2">
      <c r="B19" s="26" t="s">
        <v>18</v>
      </c>
      <c r="C19" s="25">
        <f>C16+1</f>
        <v>5</v>
      </c>
      <c r="D19" s="27" t="str">
        <f>IF(C19&lt;=$H$3,"Company"&amp;" "&amp;C19,"")</f>
        <v>Company 5</v>
      </c>
      <c r="E19" s="28" t="s">
        <v>19</v>
      </c>
      <c r="F19" s="29">
        <f t="shared" ref="F19:J19" ca="1" si="18">IFERROR(IF(F20&gt;0,(DATE(YEAR(F20),((INT((MONTH(F20)-1)/3)+1)*3)+1,1)-1),"-"),"NA")</f>
        <v>44377</v>
      </c>
      <c r="G19" s="29">
        <f t="shared" ca="1" si="18"/>
        <v>44834</v>
      </c>
      <c r="H19" s="29">
        <f t="shared" ca="1" si="18"/>
        <v>44926</v>
      </c>
      <c r="I19" s="29">
        <f t="shared" ca="1" si="18"/>
        <v>45473</v>
      </c>
      <c r="J19" s="30">
        <f t="shared" ca="1" si="18"/>
        <v>45930</v>
      </c>
      <c r="L19" s="31">
        <f ca="1">IFERROR(IF(L20&gt;0,(DATE(YEAR(L20),((INT((MONTH(L20)-1)/3)+1)*3)+1,1)-1),"-"),"")</f>
        <v>45930</v>
      </c>
      <c r="O19" s="32" t="str">
        <f ca="1">IF(F20&lt;=TODAY(),C19,"0")</f>
        <v>0</v>
      </c>
      <c r="P19" s="33" t="str">
        <f ca="1">IF(F20&lt;=TODAY(),D19,"0")</f>
        <v>0</v>
      </c>
      <c r="Q19" s="56" t="str">
        <f ca="1">IF(F20&lt;=TODAY(),F20,"0")</f>
        <v>0</v>
      </c>
      <c r="R19" s="33">
        <f t="shared" ref="R19:V19" ca="1" si="19">IF(F20&lt;=TODAY(),F21,0)</f>
        <v>0</v>
      </c>
      <c r="S19" s="33">
        <f t="shared" ca="1" si="19"/>
        <v>0</v>
      </c>
      <c r="T19" s="33">
        <f t="shared" ca="1" si="19"/>
        <v>0</v>
      </c>
      <c r="U19" s="33">
        <f t="shared" ca="1" si="19"/>
        <v>0</v>
      </c>
      <c r="V19" s="33">
        <f t="shared" ca="1" si="19"/>
        <v>0</v>
      </c>
      <c r="W19" s="35">
        <f ca="1">IF(L20&lt;=TODAY(),L21,0)</f>
        <v>0</v>
      </c>
      <c r="X19" s="36" t="str">
        <f ca="1">IF(K20&lt;=TODAY(),K21,"-")</f>
        <v>0</v>
      </c>
      <c r="Z19" s="37">
        <f t="shared" ref="Z19:AA19" si="20">C19</f>
        <v>5</v>
      </c>
      <c r="AA19" s="33" t="str">
        <f t="shared" si="20"/>
        <v>Company 5</v>
      </c>
      <c r="AB19" s="56">
        <f ca="1">F20</f>
        <v>44372</v>
      </c>
      <c r="AC19" s="33">
        <f t="shared" ref="AC19:AG19" ca="1" si="21">IF(F20&gt;TODAY(),F21,"0")</f>
        <v>1250000</v>
      </c>
      <c r="AD19" s="33">
        <f t="shared" ca="1" si="21"/>
        <v>112500</v>
      </c>
      <c r="AE19" s="33">
        <f t="shared" ca="1" si="21"/>
        <v>937500</v>
      </c>
      <c r="AF19" s="33">
        <f t="shared" ca="1" si="21"/>
        <v>750000</v>
      </c>
      <c r="AG19" s="33">
        <f t="shared" ca="1" si="21"/>
        <v>0</v>
      </c>
      <c r="AH19" s="35">
        <f ca="1">IF(L20&gt;TODAY(),L21,"0")</f>
        <v>0</v>
      </c>
    </row>
    <row r="20" spans="2:34" ht="15.75" customHeight="1" x14ac:dyDescent="0.2">
      <c r="B20" s="38"/>
      <c r="C20" s="25"/>
      <c r="D20" s="39"/>
      <c r="E20" s="40" t="s">
        <v>20</v>
      </c>
      <c r="F20" s="80">
        <f ca="1">IF(C19&lt;=$H$3,IF((F17+('Summary and Assumptions'!$K$118*7))&gt;$D$3,(F17+('Summary and Assumptions'!$K$118*7)),($D$3+$H$4)),"")</f>
        <v>44372</v>
      </c>
      <c r="G20" s="81">
        <f ca="1">IF($C19&lt;=$H$3,IF((F20+('Summary and Assumptions'!$K$119*7))&gt;$D$3,(F20+('Summary and Assumptions'!$K$119*7)),($D$3+$H$4)),"")</f>
        <v>44827</v>
      </c>
      <c r="H20" s="41">
        <f ca="1">IF($C19&lt;=$H$3,IF((F20+('Summary and Assumptions'!$K$120*7))&gt;$D$3,(F20+('Summary and Assumptions'!$K$120*7)),($D$3+$H$4)),"")</f>
        <v>44897</v>
      </c>
      <c r="I20" s="81">
        <f ca="1">IF($C19&lt;=$H$3,IF((H20+('Summary and Assumptions'!$K$121*7))&gt;$D$3,(H20+('Summary and Assumptions'!$K$121*7)),($D$3+$H$4)),"")</f>
        <v>45429</v>
      </c>
      <c r="J20" s="84">
        <f ca="1">IF($C19&lt;=$H$3,IF((I20+('Summary and Assumptions'!$K$122*7))&gt;$D$3,(I20+('Summary and Assumptions'!$K$122*7)),($D$3+$H$4)),"")</f>
        <v>45877</v>
      </c>
      <c r="K20" s="5"/>
      <c r="L20" s="43">
        <f ca="1">IF($C19&lt;=$H$3,IF((J20+('Summary and Assumptions'!$K$123*7))&gt;$D$3,(J20+('Summary and Assumptions'!$K$123*7)),($D$3+$H$4)),"")</f>
        <v>45877</v>
      </c>
      <c r="O20" s="44"/>
      <c r="P20" s="45"/>
      <c r="Q20" s="46"/>
      <c r="R20" s="45"/>
      <c r="S20" s="45"/>
      <c r="T20" s="45"/>
      <c r="U20" s="45"/>
      <c r="V20" s="45"/>
      <c r="W20" s="47"/>
      <c r="X20" s="40"/>
      <c r="Z20" s="48"/>
      <c r="AA20" s="45"/>
      <c r="AB20" s="46"/>
      <c r="AC20" s="45"/>
      <c r="AD20" s="45"/>
      <c r="AE20" s="45"/>
      <c r="AF20" s="45"/>
      <c r="AG20" s="45"/>
      <c r="AH20" s="47"/>
    </row>
    <row r="21" spans="2:34" ht="15.75" customHeight="1" x14ac:dyDescent="0.2">
      <c r="B21" s="38"/>
      <c r="C21" s="49"/>
      <c r="D21" s="50"/>
      <c r="E21" s="51" t="s">
        <v>21</v>
      </c>
      <c r="F21" s="52">
        <f>IF(C19&lt;=$H$3,'Summary and Assumptions'!$D$101,"")</f>
        <v>1250000</v>
      </c>
      <c r="G21" s="52">
        <f>IF(C19&lt;=$H$3,F21*'Summary and Assumptions'!$K$111*'Summary and Assumptions'!$K$102,"")</f>
        <v>112500</v>
      </c>
      <c r="H21" s="52">
        <f>IF(C19&lt;=$H$3,$F21*'Summary and Assumptions'!$K$112*'Summary and Assumptions'!$K$103,"")</f>
        <v>937500</v>
      </c>
      <c r="I21" s="52">
        <f>IF(C19&lt;=$H$3,$F21*'Summary and Assumptions'!$K$113*'Summary and Assumptions'!$K$104,"")</f>
        <v>750000</v>
      </c>
      <c r="J21" s="53">
        <f>IF(C19&lt;=$H$3,$F21*'Summary and Assumptions'!$K$114*'Summary and Assumptions'!$K$105,"")</f>
        <v>0</v>
      </c>
      <c r="K21" s="54" t="str">
        <f ca="1">IF(AND(J20&lt;=$D$3,J21&gt;0),$J$6,IF(AND(I20&lt;=$D$3,I21&gt;0),$I$6,IF(AND(H20&lt;=$D$3,H21&gt;0),$H$6,IF(AND(G20&lt;=$D$3,G21&gt;0),$G$6,IF(AND(F20&lt;=$D$3,F21&gt;0),$F$6,"0")))))</f>
        <v>0</v>
      </c>
      <c r="L21" s="55">
        <f>IF(C19&lt;=$H$3,SUM($F21:$I21)*(1+'Summary and Assumptions'!$D$103),"")</f>
        <v>0</v>
      </c>
      <c r="O21" s="44"/>
      <c r="P21" s="45"/>
      <c r="Q21" s="46"/>
      <c r="R21" s="45"/>
      <c r="S21" s="45"/>
      <c r="T21" s="45"/>
      <c r="U21" s="45"/>
      <c r="V21" s="45"/>
      <c r="W21" s="47"/>
      <c r="X21" s="40"/>
      <c r="Z21" s="48"/>
      <c r="AA21" s="45"/>
      <c r="AB21" s="46"/>
      <c r="AC21" s="45"/>
      <c r="AD21" s="45"/>
      <c r="AE21" s="45"/>
      <c r="AF21" s="45"/>
      <c r="AG21" s="45"/>
      <c r="AH21" s="47"/>
    </row>
    <row r="22" spans="2:34" ht="15.75" customHeight="1" x14ac:dyDescent="0.2">
      <c r="B22" s="26" t="s">
        <v>18</v>
      </c>
      <c r="C22" s="25">
        <f>C19+1</f>
        <v>6</v>
      </c>
      <c r="D22" s="27" t="str">
        <f>IF(C22&lt;=$H$3,"Company"&amp;" "&amp;C22,"")</f>
        <v>Company 6</v>
      </c>
      <c r="E22" s="28" t="s">
        <v>19</v>
      </c>
      <c r="F22" s="29">
        <f t="shared" ref="F22:J22" ca="1" si="22">IFERROR(IF(F23&gt;0,(DATE(YEAR(F23),((INT((MONTH(F23)-1)/3)+1)*3)+1,1)-1),"-"),"NA")</f>
        <v>44469</v>
      </c>
      <c r="G22" s="29">
        <f t="shared" ca="1" si="22"/>
        <v>44926</v>
      </c>
      <c r="H22" s="29">
        <f t="shared" ca="1" si="22"/>
        <v>45016</v>
      </c>
      <c r="I22" s="29">
        <f t="shared" ca="1" si="22"/>
        <v>45473</v>
      </c>
      <c r="J22" s="30">
        <f t="shared" ca="1" si="22"/>
        <v>45930</v>
      </c>
      <c r="L22" s="31">
        <f ca="1">IFERROR(IF(L23&gt;0,(DATE(YEAR(L23),((INT((MONTH(L23)-1)/3)+1)*3)+1,1)-1),"-"),"")</f>
        <v>45930</v>
      </c>
      <c r="O22" s="32" t="str">
        <f ca="1">IF(F23&lt;=TODAY(),C22,"0")</f>
        <v>0</v>
      </c>
      <c r="P22" s="33" t="str">
        <f ca="1">IF(F23&lt;=TODAY(),D22,"0")</f>
        <v>0</v>
      </c>
      <c r="Q22" s="56" t="str">
        <f ca="1">IF(F23&lt;=TODAY(),F23,"0")</f>
        <v>0</v>
      </c>
      <c r="R22" s="33">
        <f t="shared" ref="R22:V22" ca="1" si="23">IF(F23&lt;=TODAY(),F24,0)</f>
        <v>0</v>
      </c>
      <c r="S22" s="33">
        <f t="shared" ca="1" si="23"/>
        <v>0</v>
      </c>
      <c r="T22" s="33">
        <f t="shared" ca="1" si="23"/>
        <v>0</v>
      </c>
      <c r="U22" s="33">
        <f t="shared" ca="1" si="23"/>
        <v>0</v>
      </c>
      <c r="V22" s="33">
        <f t="shared" ca="1" si="23"/>
        <v>0</v>
      </c>
      <c r="W22" s="35">
        <f ca="1">IF(L23&lt;=TODAY(),L24,0)</f>
        <v>0</v>
      </c>
      <c r="X22" s="36" t="str">
        <f ca="1">IF(K23&lt;=TODAY(),K24,"-")</f>
        <v>0</v>
      </c>
      <c r="Z22" s="37">
        <f t="shared" ref="Z22:AA22" si="24">C22</f>
        <v>6</v>
      </c>
      <c r="AA22" s="33" t="str">
        <f t="shared" si="24"/>
        <v>Company 6</v>
      </c>
      <c r="AB22" s="56">
        <f ca="1">F23</f>
        <v>44407</v>
      </c>
      <c r="AC22" s="33">
        <f t="shared" ref="AC22:AG22" ca="1" si="25">IF(F23&gt;TODAY(),F24,"0")</f>
        <v>1250000</v>
      </c>
      <c r="AD22" s="33">
        <f t="shared" ca="1" si="25"/>
        <v>112500</v>
      </c>
      <c r="AE22" s="33">
        <f t="shared" ca="1" si="25"/>
        <v>937500</v>
      </c>
      <c r="AF22" s="33">
        <f t="shared" ca="1" si="25"/>
        <v>750000</v>
      </c>
      <c r="AG22" s="33">
        <f t="shared" ca="1" si="25"/>
        <v>0</v>
      </c>
      <c r="AH22" s="35">
        <f ca="1">IF(L23&gt;TODAY(),L24,"0")</f>
        <v>0</v>
      </c>
    </row>
    <row r="23" spans="2:34" ht="15.75" customHeight="1" x14ac:dyDescent="0.2">
      <c r="B23" s="38"/>
      <c r="C23" s="25"/>
      <c r="D23" s="39"/>
      <c r="E23" s="40" t="s">
        <v>20</v>
      </c>
      <c r="F23" s="80">
        <f ca="1">IF(C22&lt;=$H$3,IF((F20+('Summary and Assumptions'!$K$118*7))&gt;$D$3,(F20+('Summary and Assumptions'!$K$118*7)),($D$3+$H$4)),"")</f>
        <v>44407</v>
      </c>
      <c r="G23" s="81">
        <f ca="1">IF($C22&lt;=$H$3,IF((F23+('Summary and Assumptions'!$K$119*7))&gt;$D$3,(F23+('Summary and Assumptions'!$K$119*7)),($D$3+$H$4)),"")</f>
        <v>44862</v>
      </c>
      <c r="H23" s="41">
        <f ca="1">IF($C22&lt;=$H$3,IF((F23+('Summary and Assumptions'!$K$120*7))&gt;$D$3,(F23+('Summary and Assumptions'!$K$120*7)),($D$3+$H$4)),"")</f>
        <v>44932</v>
      </c>
      <c r="I23" s="81">
        <f ca="1">IF($C22&lt;=$H$3,IF((H23+('Summary and Assumptions'!$K$121*7))&gt;$D$3,(H23+('Summary and Assumptions'!$K$121*7)),($D$3+$H$4)),"")</f>
        <v>45464</v>
      </c>
      <c r="J23" s="84">
        <f ca="1">IF($C22&lt;=$H$3,IF((I23+('Summary and Assumptions'!$K$122*7))&gt;$D$3,(I23+('Summary and Assumptions'!$K$122*7)),($D$3+$H$4)),"")</f>
        <v>45912</v>
      </c>
      <c r="K23" s="5"/>
      <c r="L23" s="43">
        <f ca="1">IF($C22&lt;=$H$3,IF((J23+('Summary and Assumptions'!$K$123*7))&gt;$D$3,(J23+('Summary and Assumptions'!$K$123*7)),($D$3+$H$4)),"")</f>
        <v>45912</v>
      </c>
      <c r="O23" s="44"/>
      <c r="P23" s="45"/>
      <c r="Q23" s="46"/>
      <c r="R23" s="45"/>
      <c r="S23" s="45"/>
      <c r="T23" s="45"/>
      <c r="U23" s="45"/>
      <c r="V23" s="45"/>
      <c r="W23" s="47"/>
      <c r="X23" s="40"/>
      <c r="Z23" s="48"/>
      <c r="AA23" s="45"/>
      <c r="AB23" s="46"/>
      <c r="AC23" s="45"/>
      <c r="AD23" s="45"/>
      <c r="AE23" s="45"/>
      <c r="AF23" s="45"/>
      <c r="AG23" s="45"/>
      <c r="AH23" s="47"/>
    </row>
    <row r="24" spans="2:34" ht="15.75" customHeight="1" x14ac:dyDescent="0.2">
      <c r="B24" s="38"/>
      <c r="C24" s="49"/>
      <c r="D24" s="50"/>
      <c r="E24" s="51" t="s">
        <v>21</v>
      </c>
      <c r="F24" s="52">
        <f>IF(C22&lt;=$H$3,'Summary and Assumptions'!$D$101,"")</f>
        <v>1250000</v>
      </c>
      <c r="G24" s="52">
        <f>IF(C22&lt;=$H$3,F24*'Summary and Assumptions'!$K$111*'Summary and Assumptions'!$K$102,"")</f>
        <v>112500</v>
      </c>
      <c r="H24" s="52">
        <f>IF(C22&lt;=$H$3,$F24*'Summary and Assumptions'!$K$112*'Summary and Assumptions'!$K$103,"")</f>
        <v>937500</v>
      </c>
      <c r="I24" s="52">
        <f>IF(C22&lt;=$H$3,$F24*'Summary and Assumptions'!$K$113*'Summary and Assumptions'!$K$104,"")</f>
        <v>750000</v>
      </c>
      <c r="J24" s="53">
        <f>IF(C22&lt;=$H$3,$F24*'Summary and Assumptions'!$K$114*'Summary and Assumptions'!$K$105,"")</f>
        <v>0</v>
      </c>
      <c r="K24" s="54" t="str">
        <f ca="1">IF(AND(J23&lt;=$D$3,J24&gt;0),$J$6,IF(AND(I23&lt;=$D$3,I24&gt;0),$I$6,IF(AND(H23&lt;=$D$3,H24&gt;0),$H$6,IF(AND(G23&lt;=$D$3,G24&gt;0),$G$6,IF(AND(F23&lt;=$D$3,F24&gt;0),$F$6,"0")))))</f>
        <v>0</v>
      </c>
      <c r="L24" s="55">
        <f>IF(C22&lt;=$H$3,SUM($F24:$I24)*(1+'Summary and Assumptions'!$D$103),"")</f>
        <v>0</v>
      </c>
      <c r="O24" s="44"/>
      <c r="P24" s="45"/>
      <c r="Q24" s="46"/>
      <c r="R24" s="45"/>
      <c r="S24" s="45"/>
      <c r="T24" s="45"/>
      <c r="U24" s="45"/>
      <c r="V24" s="45"/>
      <c r="W24" s="47"/>
      <c r="X24" s="40"/>
      <c r="Z24" s="48"/>
      <c r="AA24" s="45"/>
      <c r="AB24" s="46"/>
      <c r="AC24" s="45"/>
      <c r="AD24" s="45"/>
      <c r="AE24" s="45"/>
      <c r="AF24" s="45"/>
      <c r="AG24" s="45"/>
      <c r="AH24" s="47"/>
    </row>
    <row r="25" spans="2:34" ht="15.75" customHeight="1" x14ac:dyDescent="0.2">
      <c r="B25" s="26" t="s">
        <v>18</v>
      </c>
      <c r="C25" s="25">
        <f>C22+1</f>
        <v>7</v>
      </c>
      <c r="D25" s="27" t="str">
        <f>IF(C25&lt;=$H$3,"Company"&amp;" "&amp;C25,"")</f>
        <v>Company 7</v>
      </c>
      <c r="E25" s="28" t="s">
        <v>19</v>
      </c>
      <c r="F25" s="29">
        <f t="shared" ref="F25:J25" ca="1" si="26">IFERROR(IF(F26&gt;0,(DATE(YEAR(F26),((INT((MONTH(F26)-1)/3)+1)*3)+1,1)-1),"-"),"NA")</f>
        <v>44469</v>
      </c>
      <c r="G25" s="29">
        <f t="shared" ca="1" si="26"/>
        <v>44926</v>
      </c>
      <c r="H25" s="29">
        <f t="shared" ca="1" si="26"/>
        <v>45016</v>
      </c>
      <c r="I25" s="29">
        <f t="shared" ca="1" si="26"/>
        <v>45565</v>
      </c>
      <c r="J25" s="30">
        <f t="shared" ca="1" si="26"/>
        <v>46022</v>
      </c>
      <c r="L25" s="31">
        <f ca="1">IFERROR(IF(L26&gt;0,(DATE(YEAR(L26),((INT((MONTH(L26)-1)/3)+1)*3)+1,1)-1),"-"),"")</f>
        <v>46022</v>
      </c>
      <c r="O25" s="32" t="str">
        <f ca="1">IF(F26&lt;=TODAY(),C25,"0")</f>
        <v>0</v>
      </c>
      <c r="P25" s="33" t="str">
        <f ca="1">IF(F26&lt;=TODAY(),D25,"0")</f>
        <v>0</v>
      </c>
      <c r="Q25" s="56" t="str">
        <f ca="1">IF(F26&lt;=TODAY(),F26,"0")</f>
        <v>0</v>
      </c>
      <c r="R25" s="33">
        <f t="shared" ref="R25:V25" ca="1" si="27">IF(F26&lt;=TODAY(),F27,0)</f>
        <v>0</v>
      </c>
      <c r="S25" s="33">
        <f t="shared" ca="1" si="27"/>
        <v>0</v>
      </c>
      <c r="T25" s="33">
        <f t="shared" ca="1" si="27"/>
        <v>0</v>
      </c>
      <c r="U25" s="33">
        <f t="shared" ca="1" si="27"/>
        <v>0</v>
      </c>
      <c r="V25" s="33">
        <f t="shared" ca="1" si="27"/>
        <v>0</v>
      </c>
      <c r="W25" s="35">
        <f ca="1">IF(L26&lt;=TODAY(),L27,0)</f>
        <v>0</v>
      </c>
      <c r="X25" s="36" t="str">
        <f ca="1">IF(K26&lt;=TODAY(),K27,"-")</f>
        <v>0</v>
      </c>
      <c r="Z25" s="37">
        <f t="shared" ref="Z25:AA25" si="28">C25</f>
        <v>7</v>
      </c>
      <c r="AA25" s="33" t="str">
        <f t="shared" si="28"/>
        <v>Company 7</v>
      </c>
      <c r="AB25" s="56">
        <f ca="1">F26</f>
        <v>44442</v>
      </c>
      <c r="AC25" s="33">
        <f t="shared" ref="AC25:AG25" ca="1" si="29">IF(F26&gt;TODAY(),F27,"0")</f>
        <v>1250000</v>
      </c>
      <c r="AD25" s="33">
        <f t="shared" ca="1" si="29"/>
        <v>112500</v>
      </c>
      <c r="AE25" s="33">
        <f t="shared" ca="1" si="29"/>
        <v>937500</v>
      </c>
      <c r="AF25" s="33">
        <f t="shared" ca="1" si="29"/>
        <v>750000</v>
      </c>
      <c r="AG25" s="33">
        <f t="shared" ca="1" si="29"/>
        <v>0</v>
      </c>
      <c r="AH25" s="35">
        <f ca="1">IF(L26&gt;TODAY(),L27,"0")</f>
        <v>0</v>
      </c>
    </row>
    <row r="26" spans="2:34" ht="15.75" customHeight="1" x14ac:dyDescent="0.2">
      <c r="B26" s="38"/>
      <c r="C26" s="25"/>
      <c r="D26" s="39"/>
      <c r="E26" s="40" t="s">
        <v>20</v>
      </c>
      <c r="F26" s="80">
        <f ca="1">IF(C25&lt;=$H$3,IF((F23+('Summary and Assumptions'!$K$118*7))&gt;$D$3,(F23+('Summary and Assumptions'!$K$118*7)),($D$3+$H$4)),"")</f>
        <v>44442</v>
      </c>
      <c r="G26" s="81">
        <f ca="1">IF($C25&lt;=$H$3,IF((F26+('Summary and Assumptions'!$K$119*7))&gt;$D$3,(F26+('Summary and Assumptions'!$K$119*7)),($D$3+$H$4)),"")</f>
        <v>44897</v>
      </c>
      <c r="H26" s="41">
        <f ca="1">IF($C25&lt;=$H$3,IF((F26+('Summary and Assumptions'!$K$120*7))&gt;$D$3,(F26+('Summary and Assumptions'!$K$120*7)),($D$3+$H$4)),"")</f>
        <v>44967</v>
      </c>
      <c r="I26" s="81">
        <f ca="1">IF($C25&lt;=$H$3,IF((H26+('Summary and Assumptions'!$K$121*7))&gt;$D$3,(H26+('Summary and Assumptions'!$K$121*7)),($D$3+$H$4)),"")</f>
        <v>45499</v>
      </c>
      <c r="J26" s="84">
        <f ca="1">IF($C25&lt;=$H$3,IF((I26+('Summary and Assumptions'!$K$122*7))&gt;$D$3,(I26+('Summary and Assumptions'!$K$122*7)),($D$3+$H$4)),"")</f>
        <v>45947</v>
      </c>
      <c r="K26" s="5"/>
      <c r="L26" s="43">
        <f ca="1">IF($C25&lt;=$H$3,IF((J26+('Summary and Assumptions'!$K$123*7))&gt;$D$3,(J26+('Summary and Assumptions'!$K$123*7)),($D$3+$H$4)),"")</f>
        <v>45947</v>
      </c>
      <c r="O26" s="44"/>
      <c r="P26" s="45"/>
      <c r="Q26" s="46"/>
      <c r="R26" s="45"/>
      <c r="S26" s="45"/>
      <c r="T26" s="45"/>
      <c r="U26" s="45"/>
      <c r="V26" s="45"/>
      <c r="W26" s="47"/>
      <c r="X26" s="40"/>
      <c r="Z26" s="48"/>
      <c r="AA26" s="45"/>
      <c r="AB26" s="46"/>
      <c r="AC26" s="45"/>
      <c r="AD26" s="45"/>
      <c r="AE26" s="45"/>
      <c r="AF26" s="45"/>
      <c r="AG26" s="45"/>
      <c r="AH26" s="47"/>
    </row>
    <row r="27" spans="2:34" ht="15.75" customHeight="1" x14ac:dyDescent="0.2">
      <c r="B27" s="38"/>
      <c r="C27" s="49"/>
      <c r="D27" s="50"/>
      <c r="E27" s="51" t="s">
        <v>21</v>
      </c>
      <c r="F27" s="52">
        <f>IF(C25&lt;=$H$3,'Summary and Assumptions'!$D$101,"")</f>
        <v>1250000</v>
      </c>
      <c r="G27" s="52">
        <f>IF(C25&lt;=$H$3,F27*'Summary and Assumptions'!$K$111*'Summary and Assumptions'!$K$102,"")</f>
        <v>112500</v>
      </c>
      <c r="H27" s="52">
        <f>IF(C25&lt;=$H$3,$F27*'Summary and Assumptions'!$K$112*'Summary and Assumptions'!$K$103,"")</f>
        <v>937500</v>
      </c>
      <c r="I27" s="52">
        <f>IF(C25&lt;=$H$3,$F27*'Summary and Assumptions'!$K$113*'Summary and Assumptions'!$K$104,"")</f>
        <v>750000</v>
      </c>
      <c r="J27" s="53">
        <f>IF(C25&lt;=$H$3,$F27*'Summary and Assumptions'!$K$114*'Summary and Assumptions'!$K$105,"")</f>
        <v>0</v>
      </c>
      <c r="K27" s="54" t="str">
        <f ca="1">IF(AND(J26&lt;=$D$3,J27&gt;0),$J$6,IF(AND(I26&lt;=$D$3,I27&gt;0),$I$6,IF(AND(H26&lt;=$D$3,H27&gt;0),$H$6,IF(AND(G26&lt;=$D$3,G27&gt;0),$G$6,IF(AND(F26&lt;=$D$3,F27&gt;0),$F$6,"0")))))</f>
        <v>0</v>
      </c>
      <c r="L27" s="55">
        <f>IF(C25&lt;=$H$3,SUM($F27:$I27)*(1+'Summary and Assumptions'!$D$103),"")</f>
        <v>0</v>
      </c>
      <c r="O27" s="44"/>
      <c r="P27" s="45"/>
      <c r="Q27" s="46"/>
      <c r="R27" s="45"/>
      <c r="S27" s="45"/>
      <c r="T27" s="45"/>
      <c r="U27" s="45"/>
      <c r="V27" s="45"/>
      <c r="W27" s="47"/>
      <c r="X27" s="40"/>
      <c r="Z27" s="48"/>
      <c r="AA27" s="45"/>
      <c r="AB27" s="46"/>
      <c r="AC27" s="45"/>
      <c r="AD27" s="45"/>
      <c r="AE27" s="45"/>
      <c r="AF27" s="45"/>
      <c r="AG27" s="45"/>
      <c r="AH27" s="47"/>
    </row>
    <row r="28" spans="2:34" ht="15.75" customHeight="1" x14ac:dyDescent="0.2">
      <c r="B28" s="26" t="s">
        <v>18</v>
      </c>
      <c r="C28" s="25">
        <f>C25+1</f>
        <v>8</v>
      </c>
      <c r="D28" s="27" t="str">
        <f>IF(C28&lt;=$H$3,"Company"&amp;" "&amp;C28,"")</f>
        <v>Company 8</v>
      </c>
      <c r="E28" s="28" t="s">
        <v>19</v>
      </c>
      <c r="F28" s="29">
        <f t="shared" ref="F28:J28" ca="1" si="30">IFERROR(IF(F29&gt;0,(DATE(YEAR(F29),((INT((MONTH(F29)-1)/3)+1)*3)+1,1)-1),"-"),"NA")</f>
        <v>44561</v>
      </c>
      <c r="G28" s="29">
        <f t="shared" ca="1" si="30"/>
        <v>45016</v>
      </c>
      <c r="H28" s="29">
        <f t="shared" ca="1" si="30"/>
        <v>45016</v>
      </c>
      <c r="I28" s="29">
        <f t="shared" ca="1" si="30"/>
        <v>45565</v>
      </c>
      <c r="J28" s="30">
        <f t="shared" ca="1" si="30"/>
        <v>46022</v>
      </c>
      <c r="L28" s="31">
        <f ca="1">IFERROR(IF(L29&gt;0,(DATE(YEAR(L29),((INT((MONTH(L29)-1)/3)+1)*3)+1,1)-1),"-"),"")</f>
        <v>46022</v>
      </c>
      <c r="O28" s="32" t="str">
        <f ca="1">IF(F29&lt;=TODAY(),C28,"0")</f>
        <v>0</v>
      </c>
      <c r="P28" s="33" t="str">
        <f ca="1">IF(F29&lt;=TODAY(),D28,"0")</f>
        <v>0</v>
      </c>
      <c r="Q28" s="56" t="str">
        <f ca="1">IF(F29&lt;=TODAY(),F29,"0")</f>
        <v>0</v>
      </c>
      <c r="R28" s="33">
        <f t="shared" ref="R28:V28" ca="1" si="31">IF(F29&lt;=TODAY(),F30,0)</f>
        <v>0</v>
      </c>
      <c r="S28" s="33">
        <f t="shared" ca="1" si="31"/>
        <v>0</v>
      </c>
      <c r="T28" s="33">
        <f t="shared" ca="1" si="31"/>
        <v>0</v>
      </c>
      <c r="U28" s="33">
        <f t="shared" ca="1" si="31"/>
        <v>0</v>
      </c>
      <c r="V28" s="33">
        <f t="shared" ca="1" si="31"/>
        <v>0</v>
      </c>
      <c r="W28" s="35">
        <f ca="1">IF(L29&lt;=TODAY(),L30,0)</f>
        <v>0</v>
      </c>
      <c r="X28" s="36" t="str">
        <f ca="1">IF(K29&lt;=TODAY(),K30,"-")</f>
        <v>0</v>
      </c>
      <c r="Z28" s="37">
        <f t="shared" ref="Z28:AA28" si="32">C28</f>
        <v>8</v>
      </c>
      <c r="AA28" s="33" t="str">
        <f t="shared" si="32"/>
        <v>Company 8</v>
      </c>
      <c r="AB28" s="56">
        <f ca="1">F29</f>
        <v>44477</v>
      </c>
      <c r="AC28" s="33">
        <f t="shared" ref="AC28:AG28" ca="1" si="33">IF(F29&gt;TODAY(),F30,"0")</f>
        <v>1250000</v>
      </c>
      <c r="AD28" s="33">
        <f t="shared" ca="1" si="33"/>
        <v>112500</v>
      </c>
      <c r="AE28" s="33">
        <f t="shared" ca="1" si="33"/>
        <v>937500</v>
      </c>
      <c r="AF28" s="33">
        <f t="shared" ca="1" si="33"/>
        <v>750000</v>
      </c>
      <c r="AG28" s="33">
        <f t="shared" ca="1" si="33"/>
        <v>0</v>
      </c>
      <c r="AH28" s="35">
        <f ca="1">IF(L29&gt;TODAY(),L30,"0")</f>
        <v>0</v>
      </c>
    </row>
    <row r="29" spans="2:34" ht="15.75" customHeight="1" x14ac:dyDescent="0.2">
      <c r="B29" s="38"/>
      <c r="C29" s="25"/>
      <c r="D29" s="39"/>
      <c r="E29" s="40" t="s">
        <v>20</v>
      </c>
      <c r="F29" s="80">
        <f ca="1">IF(C28&lt;=$H$3,IF((F26+('Summary and Assumptions'!$K$118*7))&gt;$D$3,(F26+('Summary and Assumptions'!$K$118*7)),($D$3+$H$4)),"")</f>
        <v>44477</v>
      </c>
      <c r="G29" s="81">
        <f ca="1">IF($C28&lt;=$H$3,IF((F29+('Summary and Assumptions'!$K$119*7))&gt;$D$3,(F29+('Summary and Assumptions'!$K$119*7)),($D$3+$H$4)),"")</f>
        <v>44932</v>
      </c>
      <c r="H29" s="41">
        <f ca="1">IF($C28&lt;=$H$3,IF((F29+('Summary and Assumptions'!$K$120*7))&gt;$D$3,(F29+('Summary and Assumptions'!$K$120*7)),($D$3+$H$4)),"")</f>
        <v>45002</v>
      </c>
      <c r="I29" s="81">
        <f ca="1">IF($C28&lt;=$H$3,IF((H29+('Summary and Assumptions'!$K$121*7))&gt;$D$3,(H29+('Summary and Assumptions'!$K$121*7)),($D$3+$H$4)),"")</f>
        <v>45534</v>
      </c>
      <c r="J29" s="84">
        <f ca="1">IF($C28&lt;=$H$3,IF((I29+('Summary and Assumptions'!$K$122*7))&gt;$D$3,(I29+('Summary and Assumptions'!$K$122*7)),($D$3+$H$4)),"")</f>
        <v>45982</v>
      </c>
      <c r="K29" s="5"/>
      <c r="L29" s="43">
        <f ca="1">IF($C28&lt;=$H$3,IF((J29+('Summary and Assumptions'!$K$123*7))&gt;$D$3,(J29+('Summary and Assumptions'!$K$123*7)),($D$3+$H$4)),"")</f>
        <v>45982</v>
      </c>
      <c r="O29" s="44"/>
      <c r="P29" s="45"/>
      <c r="Q29" s="46"/>
      <c r="R29" s="45"/>
      <c r="S29" s="45"/>
      <c r="T29" s="45"/>
      <c r="U29" s="45"/>
      <c r="V29" s="45"/>
      <c r="W29" s="47"/>
      <c r="X29" s="40"/>
      <c r="Z29" s="48"/>
      <c r="AA29" s="45"/>
      <c r="AB29" s="46"/>
      <c r="AC29" s="45"/>
      <c r="AD29" s="45"/>
      <c r="AE29" s="45"/>
      <c r="AF29" s="45"/>
      <c r="AG29" s="45"/>
      <c r="AH29" s="47"/>
    </row>
    <row r="30" spans="2:34" ht="15.75" customHeight="1" x14ac:dyDescent="0.2">
      <c r="B30" s="38"/>
      <c r="C30" s="49"/>
      <c r="D30" s="50"/>
      <c r="E30" s="51" t="s">
        <v>21</v>
      </c>
      <c r="F30" s="52">
        <f>IF(C28&lt;=$H$3,'Summary and Assumptions'!$D$101,"")</f>
        <v>1250000</v>
      </c>
      <c r="G30" s="52">
        <f>IF(C28&lt;=$H$3,F30*'Summary and Assumptions'!$K$111*'Summary and Assumptions'!$K$102,"")</f>
        <v>112500</v>
      </c>
      <c r="H30" s="52">
        <f>IF(C28&lt;=$H$3,$F30*'Summary and Assumptions'!$K$112*'Summary and Assumptions'!$K$103,"")</f>
        <v>937500</v>
      </c>
      <c r="I30" s="52">
        <f>IF(C28&lt;=$H$3,$F30*'Summary and Assumptions'!$K$113*'Summary and Assumptions'!$K$104,"")</f>
        <v>750000</v>
      </c>
      <c r="J30" s="53">
        <f>IF(C28&lt;=$H$3,$F30*'Summary and Assumptions'!$K$114*'Summary and Assumptions'!$K$105,"")</f>
        <v>0</v>
      </c>
      <c r="K30" s="54" t="str">
        <f ca="1">IF(AND(J29&lt;=$D$3,J30&gt;0),$J$6,IF(AND(I29&lt;=$D$3,I30&gt;0),$I$6,IF(AND(H29&lt;=$D$3,H30&gt;0),$H$6,IF(AND(G29&lt;=$D$3,G30&gt;0),$G$6,IF(AND(F29&lt;=$D$3,F30&gt;0),$F$6,"0")))))</f>
        <v>0</v>
      </c>
      <c r="L30" s="55">
        <f>IF(C28&lt;=$H$3,SUM($F30:$I30)*(1+'Summary and Assumptions'!$D$103),"")</f>
        <v>0</v>
      </c>
      <c r="O30" s="44"/>
      <c r="P30" s="45"/>
      <c r="Q30" s="46"/>
      <c r="R30" s="45"/>
      <c r="S30" s="45"/>
      <c r="T30" s="45"/>
      <c r="U30" s="45"/>
      <c r="V30" s="45"/>
      <c r="W30" s="47"/>
      <c r="X30" s="40"/>
      <c r="Z30" s="48"/>
      <c r="AA30" s="45"/>
      <c r="AB30" s="46"/>
      <c r="AC30" s="45"/>
      <c r="AD30" s="45"/>
      <c r="AE30" s="45"/>
      <c r="AF30" s="45"/>
      <c r="AG30" s="45"/>
      <c r="AH30" s="47"/>
    </row>
    <row r="31" spans="2:34" ht="15.75" customHeight="1" x14ac:dyDescent="0.2">
      <c r="B31" s="26" t="s">
        <v>18</v>
      </c>
      <c r="C31" s="25">
        <f>C28+1</f>
        <v>9</v>
      </c>
      <c r="D31" s="27" t="str">
        <f>IF(C31&lt;=$H$3,"Company"&amp;" "&amp;C31,"")</f>
        <v>Company 9</v>
      </c>
      <c r="E31" s="28" t="s">
        <v>19</v>
      </c>
      <c r="F31" s="29">
        <f t="shared" ref="F31:J31" ca="1" si="34">IFERROR(IF(F32&gt;0,(DATE(YEAR(F32),((INT((MONTH(F32)-1)/3)+1)*3)+1,1)-1),"-"),"NA")</f>
        <v>44561</v>
      </c>
      <c r="G31" s="29">
        <f t="shared" ca="1" si="34"/>
        <v>45016</v>
      </c>
      <c r="H31" s="29">
        <f t="shared" ca="1" si="34"/>
        <v>45107</v>
      </c>
      <c r="I31" s="29">
        <f t="shared" ca="1" si="34"/>
        <v>45657</v>
      </c>
      <c r="J31" s="30">
        <f t="shared" ca="1" si="34"/>
        <v>46022</v>
      </c>
      <c r="L31" s="31">
        <f ca="1">IFERROR(IF(L32&gt;0,(DATE(YEAR(L32),((INT((MONTH(L32)-1)/3)+1)*3)+1,1)-1),"-"),"")</f>
        <v>46022</v>
      </c>
      <c r="O31" s="32" t="str">
        <f ca="1">IF(F32&lt;=TODAY(),C31,"0")</f>
        <v>0</v>
      </c>
      <c r="P31" s="33" t="str">
        <f ca="1">IF(F32&lt;=TODAY(),D31,"0")</f>
        <v>0</v>
      </c>
      <c r="Q31" s="56" t="str">
        <f ca="1">IF(F32&lt;=TODAY(),F32,"0")</f>
        <v>0</v>
      </c>
      <c r="R31" s="33">
        <f t="shared" ref="R31:V31" ca="1" si="35">IF(F32&lt;=TODAY(),F33,0)</f>
        <v>0</v>
      </c>
      <c r="S31" s="33">
        <f t="shared" ca="1" si="35"/>
        <v>0</v>
      </c>
      <c r="T31" s="33">
        <f t="shared" ca="1" si="35"/>
        <v>0</v>
      </c>
      <c r="U31" s="33">
        <f t="shared" ca="1" si="35"/>
        <v>0</v>
      </c>
      <c r="V31" s="33">
        <f t="shared" ca="1" si="35"/>
        <v>0</v>
      </c>
      <c r="W31" s="35">
        <f ca="1">IF(L32&lt;=TODAY(),L33,0)</f>
        <v>0</v>
      </c>
      <c r="X31" s="36" t="str">
        <f ca="1">IF(K32&lt;=TODAY(),K33,"-")</f>
        <v>0</v>
      </c>
      <c r="Z31" s="37">
        <f t="shared" ref="Z31:AA31" si="36">C31</f>
        <v>9</v>
      </c>
      <c r="AA31" s="33" t="str">
        <f t="shared" si="36"/>
        <v>Company 9</v>
      </c>
      <c r="AB31" s="56">
        <f ca="1">F32</f>
        <v>44512</v>
      </c>
      <c r="AC31" s="33">
        <f t="shared" ref="AC31:AG31" ca="1" si="37">IF(F32&gt;TODAY(),F33,"0")</f>
        <v>1250000</v>
      </c>
      <c r="AD31" s="33">
        <f t="shared" ca="1" si="37"/>
        <v>112500</v>
      </c>
      <c r="AE31" s="33">
        <f t="shared" ca="1" si="37"/>
        <v>937500</v>
      </c>
      <c r="AF31" s="33">
        <f t="shared" ca="1" si="37"/>
        <v>750000</v>
      </c>
      <c r="AG31" s="33">
        <f t="shared" ca="1" si="37"/>
        <v>0</v>
      </c>
      <c r="AH31" s="35">
        <f ca="1">IF(L32&gt;TODAY(),L33,"0")</f>
        <v>0</v>
      </c>
    </row>
    <row r="32" spans="2:34" ht="15.75" customHeight="1" x14ac:dyDescent="0.2">
      <c r="B32" s="38"/>
      <c r="C32" s="25"/>
      <c r="D32" s="39"/>
      <c r="E32" s="40" t="s">
        <v>20</v>
      </c>
      <c r="F32" s="80">
        <f ca="1">IF(C31&lt;=$H$3,IF((F29+('Summary and Assumptions'!$K$118*7))&gt;$D$3,(F29+('Summary and Assumptions'!$K$118*7)),($D$3+$H$4)),"")</f>
        <v>44512</v>
      </c>
      <c r="G32" s="81">
        <f ca="1">IF($C31&lt;=$H$3,IF((F32+('Summary and Assumptions'!$K$119*7))&gt;$D$3,(F32+('Summary and Assumptions'!$K$119*7)),($D$3+$H$4)),"")</f>
        <v>44967</v>
      </c>
      <c r="H32" s="41">
        <f ca="1">IF($C31&lt;=$H$3,IF((F32+('Summary and Assumptions'!$K$120*7))&gt;$D$3,(F32+('Summary and Assumptions'!$K$120*7)),($D$3+$H$4)),"")</f>
        <v>45037</v>
      </c>
      <c r="I32" s="81">
        <f ca="1">IF($C31&lt;=$H$3,IF((H32+('Summary and Assumptions'!$K$121*7))&gt;$D$3,(H32+('Summary and Assumptions'!$K$121*7)),($D$3+$H$4)),"")</f>
        <v>45569</v>
      </c>
      <c r="J32" s="84">
        <f ca="1">IF($C31&lt;=$H$3,IF((I32+('Summary and Assumptions'!$K$122*7))&gt;$D$3,(I32+('Summary and Assumptions'!$K$122*7)),($D$3+$H$4)),"")</f>
        <v>46017</v>
      </c>
      <c r="K32" s="5"/>
      <c r="L32" s="43">
        <f ca="1">IF($C31&lt;=$H$3,IF((J32+('Summary and Assumptions'!$K$123*7))&gt;$D$3,(J32+('Summary and Assumptions'!$K$123*7)),($D$3+$H$4)),"")</f>
        <v>46017</v>
      </c>
      <c r="O32" s="44"/>
      <c r="P32" s="45"/>
      <c r="Q32" s="46"/>
      <c r="R32" s="45"/>
      <c r="S32" s="45"/>
      <c r="T32" s="45"/>
      <c r="U32" s="45"/>
      <c r="V32" s="45"/>
      <c r="W32" s="47"/>
      <c r="X32" s="40"/>
      <c r="Z32" s="48"/>
      <c r="AA32" s="45"/>
      <c r="AB32" s="46"/>
      <c r="AC32" s="45"/>
      <c r="AD32" s="45"/>
      <c r="AE32" s="45"/>
      <c r="AF32" s="45"/>
      <c r="AG32" s="45"/>
      <c r="AH32" s="47"/>
    </row>
    <row r="33" spans="2:34" ht="15.75" customHeight="1" x14ac:dyDescent="0.2">
      <c r="B33" s="38"/>
      <c r="C33" s="49"/>
      <c r="D33" s="50"/>
      <c r="E33" s="51" t="s">
        <v>21</v>
      </c>
      <c r="F33" s="52">
        <f>IF(C31&lt;=$H$3,'Summary and Assumptions'!$D$101,"")</f>
        <v>1250000</v>
      </c>
      <c r="G33" s="52">
        <f>IF(C31&lt;=$H$3,F33*'Summary and Assumptions'!$K$111*'Summary and Assumptions'!$K$102,"")</f>
        <v>112500</v>
      </c>
      <c r="H33" s="52">
        <f>IF(C31&lt;=$H$3,$F33*'Summary and Assumptions'!$K$112*'Summary and Assumptions'!$K$103,"")</f>
        <v>937500</v>
      </c>
      <c r="I33" s="52">
        <f>IF(C31&lt;=$H$3,$F33*'Summary and Assumptions'!$K$113*'Summary and Assumptions'!$K$104,"")</f>
        <v>750000</v>
      </c>
      <c r="J33" s="53">
        <f>IF(C31&lt;=$H$3,$F33*'Summary and Assumptions'!$K$114*'Summary and Assumptions'!$K$105,"")</f>
        <v>0</v>
      </c>
      <c r="K33" s="54" t="str">
        <f ca="1">IF(AND(J32&lt;=$D$3,J33&gt;0),$J$6,IF(AND(I32&lt;=$D$3,I33&gt;0),$I$6,IF(AND(H32&lt;=$D$3,H33&gt;0),$H$6,IF(AND(G32&lt;=$D$3,G33&gt;0),$G$6,IF(AND(F32&lt;=$D$3,F33&gt;0),$F$6,"0")))))</f>
        <v>0</v>
      </c>
      <c r="L33" s="55">
        <f>IF(C31&lt;=$H$3,SUM($F33:$I33)*(1+'Summary and Assumptions'!$D$103),"")</f>
        <v>0</v>
      </c>
      <c r="O33" s="44"/>
      <c r="P33" s="45"/>
      <c r="Q33" s="46"/>
      <c r="R33" s="45"/>
      <c r="S33" s="45"/>
      <c r="T33" s="45"/>
      <c r="U33" s="45"/>
      <c r="V33" s="45"/>
      <c r="W33" s="47"/>
      <c r="X33" s="40"/>
      <c r="Z33" s="48"/>
      <c r="AA33" s="45"/>
      <c r="AB33" s="46"/>
      <c r="AC33" s="45"/>
      <c r="AD33" s="45"/>
      <c r="AE33" s="45"/>
      <c r="AF33" s="45"/>
      <c r="AG33" s="45"/>
      <c r="AH33" s="47"/>
    </row>
    <row r="34" spans="2:34" ht="15.75" customHeight="1" x14ac:dyDescent="0.2">
      <c r="B34" s="26" t="s">
        <v>18</v>
      </c>
      <c r="C34" s="25">
        <f>C31+1</f>
        <v>10</v>
      </c>
      <c r="D34" s="27" t="str">
        <f>IF(C34&lt;=$H$3,"Company"&amp;" "&amp;C34,"")</f>
        <v>Company 10</v>
      </c>
      <c r="E34" s="28" t="s">
        <v>19</v>
      </c>
      <c r="F34" s="29">
        <f t="shared" ref="F34:J34" ca="1" si="38">IFERROR(IF(F35&gt;0,(DATE(YEAR(F35),((INT((MONTH(F35)-1)/3)+1)*3)+1,1)-1),"-"),"NA")</f>
        <v>44561</v>
      </c>
      <c r="G34" s="29">
        <f t="shared" ca="1" si="38"/>
        <v>45016</v>
      </c>
      <c r="H34" s="29">
        <f t="shared" ca="1" si="38"/>
        <v>45107</v>
      </c>
      <c r="I34" s="29">
        <f t="shared" ca="1" si="38"/>
        <v>45657</v>
      </c>
      <c r="J34" s="30">
        <f t="shared" ca="1" si="38"/>
        <v>46112</v>
      </c>
      <c r="L34" s="31">
        <f ca="1">IFERROR(IF(L35&gt;0,(DATE(YEAR(L35),((INT((MONTH(L35)-1)/3)+1)*3)+1,1)-1),"-"),"")</f>
        <v>46112</v>
      </c>
      <c r="O34" s="32" t="str">
        <f ca="1">IF(F35&lt;=TODAY(),C34,"0")</f>
        <v>0</v>
      </c>
      <c r="P34" s="33" t="str">
        <f ca="1">IF(F35&lt;=TODAY(),D34,"0")</f>
        <v>0</v>
      </c>
      <c r="Q34" s="56" t="str">
        <f ca="1">IF(F35&lt;=TODAY(),F35,"0")</f>
        <v>0</v>
      </c>
      <c r="R34" s="33">
        <f t="shared" ref="R34:V34" ca="1" si="39">IF(F35&lt;=TODAY(),F36,0)</f>
        <v>0</v>
      </c>
      <c r="S34" s="33">
        <f t="shared" ca="1" si="39"/>
        <v>0</v>
      </c>
      <c r="T34" s="33">
        <f t="shared" ca="1" si="39"/>
        <v>0</v>
      </c>
      <c r="U34" s="33">
        <f t="shared" ca="1" si="39"/>
        <v>0</v>
      </c>
      <c r="V34" s="33">
        <f t="shared" ca="1" si="39"/>
        <v>0</v>
      </c>
      <c r="W34" s="35">
        <f ca="1">IF(L35&lt;=TODAY(),L36,0)</f>
        <v>0</v>
      </c>
      <c r="X34" s="36" t="str">
        <f ca="1">IF(K35&lt;=TODAY(),K36,"-")</f>
        <v>0</v>
      </c>
      <c r="Z34" s="37">
        <f t="shared" ref="Z34:AA34" si="40">C34</f>
        <v>10</v>
      </c>
      <c r="AA34" s="33" t="str">
        <f t="shared" si="40"/>
        <v>Company 10</v>
      </c>
      <c r="AB34" s="56">
        <f ca="1">F35</f>
        <v>44547</v>
      </c>
      <c r="AC34" s="33">
        <f t="shared" ref="AC34:AG34" ca="1" si="41">IF(F35&gt;TODAY(),F36,"0")</f>
        <v>1250000</v>
      </c>
      <c r="AD34" s="33">
        <f t="shared" ca="1" si="41"/>
        <v>112500</v>
      </c>
      <c r="AE34" s="33">
        <f t="shared" ca="1" si="41"/>
        <v>937500</v>
      </c>
      <c r="AF34" s="33">
        <f t="shared" ca="1" si="41"/>
        <v>750000</v>
      </c>
      <c r="AG34" s="33">
        <f t="shared" ca="1" si="41"/>
        <v>0</v>
      </c>
      <c r="AH34" s="35">
        <f ca="1">IF(L35&gt;TODAY(),L36,"0")</f>
        <v>0</v>
      </c>
    </row>
    <row r="35" spans="2:34" ht="15.75" customHeight="1" x14ac:dyDescent="0.2">
      <c r="B35" s="38"/>
      <c r="C35" s="25"/>
      <c r="D35" s="39"/>
      <c r="E35" s="40" t="s">
        <v>20</v>
      </c>
      <c r="F35" s="80">
        <f ca="1">IF(C34&lt;=$H$3,IF((F32+('Summary and Assumptions'!$K$118*7))&gt;$D$3,(F32+('Summary and Assumptions'!$K$118*7)),($D$3+$H$4)),"")</f>
        <v>44547</v>
      </c>
      <c r="G35" s="81">
        <f ca="1">IF($C34&lt;=$H$3,IF((F35+('Summary and Assumptions'!$K$119*7))&gt;$D$3,(F35+('Summary and Assumptions'!$K$119*7)),($D$3+$H$4)),"")</f>
        <v>45002</v>
      </c>
      <c r="H35" s="41">
        <f ca="1">IF($C34&lt;=$H$3,IF((F35+('Summary and Assumptions'!$K$120*7))&gt;$D$3,(F35+('Summary and Assumptions'!$K$120*7)),($D$3+$H$4)),"")</f>
        <v>45072</v>
      </c>
      <c r="I35" s="81">
        <f ca="1">IF($C34&lt;=$H$3,IF((H35+('Summary and Assumptions'!$K$121*7))&gt;$D$3,(H35+('Summary and Assumptions'!$K$121*7)),($D$3+$H$4)),"")</f>
        <v>45604</v>
      </c>
      <c r="J35" s="84">
        <f ca="1">IF($C34&lt;=$H$3,IF((I35+('Summary and Assumptions'!$K$122*7))&gt;$D$3,(I35+('Summary and Assumptions'!$K$122*7)),($D$3+$H$4)),"")</f>
        <v>46052</v>
      </c>
      <c r="K35" s="5"/>
      <c r="L35" s="43">
        <f ca="1">IF($C34&lt;=$H$3,IF((J35+('Summary and Assumptions'!$K$123*7))&gt;$D$3,(J35+('Summary and Assumptions'!$K$123*7)),($D$3+$H$4)),"")</f>
        <v>46052</v>
      </c>
      <c r="O35" s="44"/>
      <c r="P35" s="45"/>
      <c r="Q35" s="46"/>
      <c r="R35" s="45"/>
      <c r="S35" s="45"/>
      <c r="T35" s="45"/>
      <c r="U35" s="45"/>
      <c r="V35" s="45"/>
      <c r="W35" s="47"/>
      <c r="X35" s="40"/>
      <c r="Z35" s="48"/>
      <c r="AA35" s="45"/>
      <c r="AB35" s="46"/>
      <c r="AC35" s="45"/>
      <c r="AD35" s="45"/>
      <c r="AE35" s="45"/>
      <c r="AF35" s="45"/>
      <c r="AG35" s="45"/>
      <c r="AH35" s="47"/>
    </row>
    <row r="36" spans="2:34" ht="15.75" customHeight="1" x14ac:dyDescent="0.2">
      <c r="B36" s="38"/>
      <c r="C36" s="49"/>
      <c r="D36" s="50"/>
      <c r="E36" s="51" t="s">
        <v>21</v>
      </c>
      <c r="F36" s="52">
        <f>IF(C34&lt;=$H$3,'Summary and Assumptions'!$D$101,"")</f>
        <v>1250000</v>
      </c>
      <c r="G36" s="52">
        <f>IF(C34&lt;=$H$3,F36*'Summary and Assumptions'!$K$111*'Summary and Assumptions'!$K$102,"")</f>
        <v>112500</v>
      </c>
      <c r="H36" s="52">
        <f>IF(C34&lt;=$H$3,$F36*'Summary and Assumptions'!$K$112*'Summary and Assumptions'!$K$103,"")</f>
        <v>937500</v>
      </c>
      <c r="I36" s="52">
        <f>IF(C34&lt;=$H$3,$F36*'Summary and Assumptions'!$K$113*'Summary and Assumptions'!$K$104,"")</f>
        <v>750000</v>
      </c>
      <c r="J36" s="53">
        <f>IF(C34&lt;=$H$3,$F36*'Summary and Assumptions'!$K$114*'Summary and Assumptions'!$K$105,"")</f>
        <v>0</v>
      </c>
      <c r="K36" s="54" t="str">
        <f ca="1">IF(AND(J35&lt;=$D$3,J36&gt;0),$J$6,IF(AND(I35&lt;=$D$3,I36&gt;0),$I$6,IF(AND(H35&lt;=$D$3,H36&gt;0),$H$6,IF(AND(G35&lt;=$D$3,G36&gt;0),$G$6,IF(AND(F35&lt;=$D$3,F36&gt;0),$F$6,"0")))))</f>
        <v>0</v>
      </c>
      <c r="L36" s="55">
        <f>IF(C34&lt;=$H$3,SUM($F36:$I36)*(1+'Summary and Assumptions'!$D$103),"")</f>
        <v>0</v>
      </c>
      <c r="O36" s="44"/>
      <c r="P36" s="45"/>
      <c r="Q36" s="46"/>
      <c r="R36" s="45"/>
      <c r="S36" s="45"/>
      <c r="T36" s="45"/>
      <c r="U36" s="45"/>
      <c r="V36" s="45"/>
      <c r="W36" s="47"/>
      <c r="X36" s="40"/>
      <c r="Z36" s="48"/>
      <c r="AA36" s="45"/>
      <c r="AB36" s="46"/>
      <c r="AC36" s="45"/>
      <c r="AD36" s="45"/>
      <c r="AE36" s="45"/>
      <c r="AF36" s="45"/>
      <c r="AG36" s="45"/>
      <c r="AH36" s="47"/>
    </row>
    <row r="37" spans="2:34" ht="15.75" customHeight="1" x14ac:dyDescent="0.2">
      <c r="B37" s="26" t="s">
        <v>18</v>
      </c>
      <c r="C37" s="25">
        <f>C34+1</f>
        <v>11</v>
      </c>
      <c r="D37" s="27" t="str">
        <f>IF(C37&lt;=$H$3,"Company"&amp;" "&amp;C37,"")</f>
        <v>Company 11</v>
      </c>
      <c r="E37" s="28" t="s">
        <v>19</v>
      </c>
      <c r="F37" s="29">
        <f t="shared" ref="F37:J37" ca="1" si="42">IFERROR(IF(F38&gt;0,(DATE(YEAR(F38),((INT((MONTH(F38)-1)/3)+1)*3)+1,1)-1),"-"),"NA")</f>
        <v>44651</v>
      </c>
      <c r="G37" s="29">
        <f t="shared" ca="1" si="42"/>
        <v>45107</v>
      </c>
      <c r="H37" s="29">
        <f t="shared" ca="1" si="42"/>
        <v>45107</v>
      </c>
      <c r="I37" s="29">
        <f t="shared" ca="1" si="42"/>
        <v>45657</v>
      </c>
      <c r="J37" s="30">
        <f t="shared" ca="1" si="42"/>
        <v>46112</v>
      </c>
      <c r="L37" s="31">
        <f ca="1">IFERROR(IF(L38&gt;0,(DATE(YEAR(L38),((INT((MONTH(L38)-1)/3)+1)*3)+1,1)-1),"-"),"")</f>
        <v>46112</v>
      </c>
      <c r="O37" s="32" t="str">
        <f ca="1">IF(F38&lt;=TODAY(),C37,"0")</f>
        <v>0</v>
      </c>
      <c r="P37" s="33" t="str">
        <f ca="1">IF(F38&lt;=TODAY(),D37,"0")</f>
        <v>0</v>
      </c>
      <c r="Q37" s="56" t="str">
        <f ca="1">IF(F38&lt;=TODAY(),F38,"0")</f>
        <v>0</v>
      </c>
      <c r="R37" s="33">
        <f t="shared" ref="R37:V37" ca="1" si="43">IF(F38&lt;=TODAY(),F39,0)</f>
        <v>0</v>
      </c>
      <c r="S37" s="33">
        <f t="shared" ca="1" si="43"/>
        <v>0</v>
      </c>
      <c r="T37" s="33">
        <f t="shared" ca="1" si="43"/>
        <v>0</v>
      </c>
      <c r="U37" s="33">
        <f t="shared" ca="1" si="43"/>
        <v>0</v>
      </c>
      <c r="V37" s="33">
        <f t="shared" ca="1" si="43"/>
        <v>0</v>
      </c>
      <c r="W37" s="35">
        <f ca="1">IF(L38&lt;=TODAY(),L39,0)</f>
        <v>0</v>
      </c>
      <c r="X37" s="36" t="str">
        <f ca="1">IF(K38&lt;=TODAY(),K39,"-")</f>
        <v>0</v>
      </c>
      <c r="Z37" s="37">
        <f t="shared" ref="Z37:AA37" si="44">C37</f>
        <v>11</v>
      </c>
      <c r="AA37" s="33" t="str">
        <f t="shared" si="44"/>
        <v>Company 11</v>
      </c>
      <c r="AB37" s="56">
        <f ca="1">F38</f>
        <v>44582</v>
      </c>
      <c r="AC37" s="33">
        <f t="shared" ref="AC37:AG37" ca="1" si="45">IF(F38&gt;TODAY(),F39,"0")</f>
        <v>1250000</v>
      </c>
      <c r="AD37" s="33">
        <f t="shared" ca="1" si="45"/>
        <v>112500</v>
      </c>
      <c r="AE37" s="33">
        <f t="shared" ca="1" si="45"/>
        <v>937500</v>
      </c>
      <c r="AF37" s="33">
        <f t="shared" ca="1" si="45"/>
        <v>750000</v>
      </c>
      <c r="AG37" s="33">
        <f t="shared" ca="1" si="45"/>
        <v>0</v>
      </c>
      <c r="AH37" s="35">
        <f ca="1">IF(L38&gt;TODAY(),L39,"0")</f>
        <v>0</v>
      </c>
    </row>
    <row r="38" spans="2:34" ht="15.75" customHeight="1" x14ac:dyDescent="0.2">
      <c r="B38" s="38"/>
      <c r="C38" s="25"/>
      <c r="D38" s="39"/>
      <c r="E38" s="40" t="s">
        <v>20</v>
      </c>
      <c r="F38" s="80">
        <f ca="1">IF(C37&lt;=$H$3,IF((F35+('Summary and Assumptions'!$K$118*7))&gt;$D$3,(F35+('Summary and Assumptions'!$K$118*7)),($D$3+$H$4)),"")</f>
        <v>44582</v>
      </c>
      <c r="G38" s="81">
        <f ca="1">IF($C37&lt;=$H$3,IF((F38+('Summary and Assumptions'!$K$119*7))&gt;$D$3,(F38+('Summary and Assumptions'!$K$119*7)),($D$3+$H$4)),"")</f>
        <v>45037</v>
      </c>
      <c r="H38" s="41">
        <f ca="1">IF($C37&lt;=$H$3,IF((F38+('Summary and Assumptions'!$K$120*7))&gt;$D$3,(F38+('Summary and Assumptions'!$K$120*7)),($D$3+$H$4)),"")</f>
        <v>45107</v>
      </c>
      <c r="I38" s="81">
        <f ca="1">IF($C37&lt;=$H$3,IF((H38+('Summary and Assumptions'!$K$121*7))&gt;$D$3,(H38+('Summary and Assumptions'!$K$121*7)),($D$3+$H$4)),"")</f>
        <v>45639</v>
      </c>
      <c r="J38" s="84">
        <f ca="1">IF($C37&lt;=$H$3,IF((I38+('Summary and Assumptions'!$K$122*7))&gt;$D$3,(I38+('Summary and Assumptions'!$K$122*7)),($D$3+$H$4)),"")</f>
        <v>46087</v>
      </c>
      <c r="K38" s="5"/>
      <c r="L38" s="43">
        <f ca="1">IF($C37&lt;=$H$3,IF((J38+('Summary and Assumptions'!$K$123*7))&gt;$D$3,(J38+('Summary and Assumptions'!$K$123*7)),($D$3+$H$4)),"")</f>
        <v>46087</v>
      </c>
      <c r="O38" s="44"/>
      <c r="P38" s="45"/>
      <c r="Q38" s="46"/>
      <c r="R38" s="45"/>
      <c r="S38" s="45"/>
      <c r="T38" s="45"/>
      <c r="U38" s="45"/>
      <c r="V38" s="45"/>
      <c r="W38" s="47"/>
      <c r="X38" s="40"/>
      <c r="Z38" s="48"/>
      <c r="AA38" s="45"/>
      <c r="AB38" s="46"/>
      <c r="AC38" s="45"/>
      <c r="AD38" s="45"/>
      <c r="AE38" s="45"/>
      <c r="AF38" s="45"/>
      <c r="AG38" s="45"/>
      <c r="AH38" s="47"/>
    </row>
    <row r="39" spans="2:34" ht="15.75" customHeight="1" x14ac:dyDescent="0.2">
      <c r="B39" s="38"/>
      <c r="C39" s="49"/>
      <c r="D39" s="50"/>
      <c r="E39" s="51" t="s">
        <v>21</v>
      </c>
      <c r="F39" s="52">
        <f>IF(C37&lt;=$H$3,'Summary and Assumptions'!$D$101,"")</f>
        <v>1250000</v>
      </c>
      <c r="G39" s="52">
        <f>IF(C37&lt;=$H$3,F39*'Summary and Assumptions'!$K$111*'Summary and Assumptions'!$K$102,"")</f>
        <v>112500</v>
      </c>
      <c r="H39" s="52">
        <f>IF(C37&lt;=$H$3,$F39*'Summary and Assumptions'!$K$112*'Summary and Assumptions'!$K$103,"")</f>
        <v>937500</v>
      </c>
      <c r="I39" s="52">
        <f>IF(C37&lt;=$H$3,$F39*'Summary and Assumptions'!$K$113*'Summary and Assumptions'!$K$104,"")</f>
        <v>750000</v>
      </c>
      <c r="J39" s="53">
        <f>IF(C37&lt;=$H$3,$F39*'Summary and Assumptions'!$K$114*'Summary and Assumptions'!$K$105,"")</f>
        <v>0</v>
      </c>
      <c r="K39" s="54" t="str">
        <f ca="1">IF(AND(J38&lt;=$D$3,J39&gt;0),$J$6,IF(AND(I38&lt;=$D$3,I39&gt;0),$I$6,IF(AND(H38&lt;=$D$3,H39&gt;0),$H$6,IF(AND(G38&lt;=$D$3,G39&gt;0),$G$6,IF(AND(F38&lt;=$D$3,F39&gt;0),$F$6,"0")))))</f>
        <v>0</v>
      </c>
      <c r="L39" s="55">
        <f>IF(C37&lt;=$H$3,SUM($F39:$I39)*(1+'Summary and Assumptions'!$D$103),"")</f>
        <v>0</v>
      </c>
      <c r="O39" s="44"/>
      <c r="P39" s="45"/>
      <c r="Q39" s="46"/>
      <c r="R39" s="45"/>
      <c r="S39" s="45"/>
      <c r="T39" s="45"/>
      <c r="U39" s="45"/>
      <c r="V39" s="45"/>
      <c r="W39" s="47"/>
      <c r="X39" s="40"/>
      <c r="Z39" s="48"/>
      <c r="AA39" s="45"/>
      <c r="AB39" s="46"/>
      <c r="AC39" s="45"/>
      <c r="AD39" s="45"/>
      <c r="AE39" s="45"/>
      <c r="AF39" s="45"/>
      <c r="AG39" s="45"/>
      <c r="AH39" s="47"/>
    </row>
    <row r="40" spans="2:34" ht="15.75" customHeight="1" x14ac:dyDescent="0.2">
      <c r="B40" s="26" t="s">
        <v>18</v>
      </c>
      <c r="C40" s="25">
        <f>C37+1</f>
        <v>12</v>
      </c>
      <c r="D40" s="27" t="str">
        <f>IF(C40&lt;=$H$3,"Company"&amp;" "&amp;C40,"")</f>
        <v>Company 12</v>
      </c>
      <c r="E40" s="28" t="s">
        <v>19</v>
      </c>
      <c r="F40" s="29">
        <f t="shared" ref="F40:J40" ca="1" si="46">IFERROR(IF(F41&gt;0,(DATE(YEAR(F41),((INT((MONTH(F41)-1)/3)+1)*3)+1,1)-1),"-"),"NA")</f>
        <v>44651</v>
      </c>
      <c r="G40" s="29">
        <f t="shared" ca="1" si="46"/>
        <v>45107</v>
      </c>
      <c r="H40" s="29">
        <f t="shared" ca="1" si="46"/>
        <v>45199</v>
      </c>
      <c r="I40" s="29">
        <f t="shared" ca="1" si="46"/>
        <v>45747</v>
      </c>
      <c r="J40" s="30">
        <f t="shared" ca="1" si="46"/>
        <v>46203</v>
      </c>
      <c r="L40" s="31">
        <f ca="1">IFERROR(IF(L41&gt;0,(DATE(YEAR(L41),((INT((MONTH(L41)-1)/3)+1)*3)+1,1)-1),"-"),"")</f>
        <v>46203</v>
      </c>
      <c r="O40" s="32" t="str">
        <f ca="1">IF(F41&lt;=TODAY(),C40,"0")</f>
        <v>0</v>
      </c>
      <c r="P40" s="33" t="str">
        <f ca="1">IF(F41&lt;=TODAY(),D40,"0")</f>
        <v>0</v>
      </c>
      <c r="Q40" s="56" t="str">
        <f ca="1">IF(F41&lt;=TODAY(),F41,"0")</f>
        <v>0</v>
      </c>
      <c r="R40" s="33">
        <f t="shared" ref="R40:V40" ca="1" si="47">IF(F41&lt;=TODAY(),F42,0)</f>
        <v>0</v>
      </c>
      <c r="S40" s="33">
        <f t="shared" ca="1" si="47"/>
        <v>0</v>
      </c>
      <c r="T40" s="33">
        <f t="shared" ca="1" si="47"/>
        <v>0</v>
      </c>
      <c r="U40" s="33">
        <f t="shared" ca="1" si="47"/>
        <v>0</v>
      </c>
      <c r="V40" s="33">
        <f t="shared" ca="1" si="47"/>
        <v>0</v>
      </c>
      <c r="W40" s="35">
        <f ca="1">IF(L41&lt;=TODAY(),L42,0)</f>
        <v>0</v>
      </c>
      <c r="X40" s="36" t="str">
        <f ca="1">IF(K41&lt;=TODAY(),K42,"-")</f>
        <v>0</v>
      </c>
      <c r="Z40" s="37">
        <f t="shared" ref="Z40:AA40" si="48">C40</f>
        <v>12</v>
      </c>
      <c r="AA40" s="33" t="str">
        <f t="shared" si="48"/>
        <v>Company 12</v>
      </c>
      <c r="AB40" s="56">
        <f ca="1">F41</f>
        <v>44617</v>
      </c>
      <c r="AC40" s="33">
        <f t="shared" ref="AC40:AG40" ca="1" si="49">IF(F41&gt;TODAY(),F42,"0")</f>
        <v>1250000</v>
      </c>
      <c r="AD40" s="33">
        <f t="shared" ca="1" si="49"/>
        <v>112500</v>
      </c>
      <c r="AE40" s="33">
        <f t="shared" ca="1" si="49"/>
        <v>937500</v>
      </c>
      <c r="AF40" s="33">
        <f t="shared" ca="1" si="49"/>
        <v>750000</v>
      </c>
      <c r="AG40" s="33">
        <f t="shared" ca="1" si="49"/>
        <v>0</v>
      </c>
      <c r="AH40" s="35">
        <f ca="1">IF(L41&gt;TODAY(),L42,"0")</f>
        <v>0</v>
      </c>
    </row>
    <row r="41" spans="2:34" ht="15.75" customHeight="1" x14ac:dyDescent="0.2">
      <c r="B41" s="38"/>
      <c r="C41" s="25"/>
      <c r="D41" s="39"/>
      <c r="E41" s="40" t="s">
        <v>20</v>
      </c>
      <c r="F41" s="80">
        <f ca="1">IF(C40&lt;=$H$3,IF((F38+('Summary and Assumptions'!$K$118*7))&gt;$D$3,(F38+('Summary and Assumptions'!$K$118*7)),($D$3+$H$4)),"")</f>
        <v>44617</v>
      </c>
      <c r="G41" s="81">
        <f ca="1">IF($C40&lt;=$H$3,IF((F41+('Summary and Assumptions'!$K$119*7))&gt;$D$3,(F41+('Summary and Assumptions'!$K$119*7)),($D$3+$H$4)),"")</f>
        <v>45072</v>
      </c>
      <c r="H41" s="41">
        <f ca="1">IF($C40&lt;=$H$3,IF((F41+('Summary and Assumptions'!$K$120*7))&gt;$D$3,(F41+('Summary and Assumptions'!$K$120*7)),($D$3+$H$4)),"")</f>
        <v>45142</v>
      </c>
      <c r="I41" s="81">
        <f ca="1">IF($C40&lt;=$H$3,IF((H41+('Summary and Assumptions'!$K$121*7))&gt;$D$3,(H41+('Summary and Assumptions'!$K$121*7)),($D$3+$H$4)),"")</f>
        <v>45674</v>
      </c>
      <c r="J41" s="84">
        <f ca="1">IF($C40&lt;=$H$3,IF((I41+('Summary and Assumptions'!$K$122*7))&gt;$D$3,(I41+('Summary and Assumptions'!$K$122*7)),($D$3+$H$4)),"")</f>
        <v>46122</v>
      </c>
      <c r="K41" s="5"/>
      <c r="L41" s="43">
        <f ca="1">IF($C40&lt;=$H$3,IF((J41+('Summary and Assumptions'!$K$123*7))&gt;$D$3,(J41+('Summary and Assumptions'!$K$123*7)),($D$3+$H$4)),"")</f>
        <v>46122</v>
      </c>
      <c r="O41" s="44"/>
      <c r="P41" s="45"/>
      <c r="Q41" s="46"/>
      <c r="R41" s="45"/>
      <c r="S41" s="45"/>
      <c r="T41" s="45"/>
      <c r="U41" s="45"/>
      <c r="V41" s="45"/>
      <c r="W41" s="47"/>
      <c r="X41" s="40"/>
      <c r="Z41" s="48"/>
      <c r="AA41" s="45"/>
      <c r="AB41" s="46"/>
      <c r="AC41" s="45"/>
      <c r="AD41" s="45"/>
      <c r="AE41" s="45"/>
      <c r="AF41" s="45"/>
      <c r="AG41" s="45"/>
      <c r="AH41" s="47"/>
    </row>
    <row r="42" spans="2:34" ht="15.75" customHeight="1" x14ac:dyDescent="0.2">
      <c r="B42" s="38"/>
      <c r="C42" s="49"/>
      <c r="D42" s="50"/>
      <c r="E42" s="51" t="s">
        <v>21</v>
      </c>
      <c r="F42" s="52">
        <f>IF(C40&lt;=$H$3,'Summary and Assumptions'!$D$101,"")</f>
        <v>1250000</v>
      </c>
      <c r="G42" s="52">
        <f>IF(C40&lt;=$H$3,F42*'Summary and Assumptions'!$K$111*'Summary and Assumptions'!$K$102,"")</f>
        <v>112500</v>
      </c>
      <c r="H42" s="52">
        <f>IF(C40&lt;=$H$3,$F42*'Summary and Assumptions'!$K$112*'Summary and Assumptions'!$K$103,"")</f>
        <v>937500</v>
      </c>
      <c r="I42" s="52">
        <f>IF(C40&lt;=$H$3,$F42*'Summary and Assumptions'!$K$113*'Summary and Assumptions'!$K$104,"")</f>
        <v>750000</v>
      </c>
      <c r="J42" s="53">
        <f>IF(C40&lt;=$H$3,$F42*'Summary and Assumptions'!$K$114*'Summary and Assumptions'!$K$105,"")</f>
        <v>0</v>
      </c>
      <c r="K42" s="54" t="str">
        <f ca="1">IF(AND(J41&lt;=$D$3,J42&gt;0),$J$6,IF(AND(I41&lt;=$D$3,I42&gt;0),$I$6,IF(AND(H41&lt;=$D$3,H42&gt;0),$H$6,IF(AND(G41&lt;=$D$3,G42&gt;0),$G$6,IF(AND(F41&lt;=$D$3,F42&gt;0),$F$6,"0")))))</f>
        <v>0</v>
      </c>
      <c r="L42" s="55">
        <f>IF(C40&lt;=$H$3,SUM($F42:$I42)*(1+'Summary and Assumptions'!$D$103),"")</f>
        <v>0</v>
      </c>
      <c r="O42" s="44"/>
      <c r="P42" s="45"/>
      <c r="Q42" s="46"/>
      <c r="R42" s="45"/>
      <c r="S42" s="45"/>
      <c r="T42" s="45"/>
      <c r="U42" s="45"/>
      <c r="V42" s="45"/>
      <c r="W42" s="47"/>
      <c r="X42" s="40"/>
      <c r="Z42" s="48"/>
      <c r="AA42" s="45"/>
      <c r="AB42" s="46"/>
      <c r="AC42" s="45"/>
      <c r="AD42" s="45"/>
      <c r="AE42" s="45"/>
      <c r="AF42" s="45"/>
      <c r="AG42" s="45"/>
      <c r="AH42" s="47"/>
    </row>
    <row r="43" spans="2:34" ht="15.75" customHeight="1" x14ac:dyDescent="0.2">
      <c r="B43" s="26" t="s">
        <v>18</v>
      </c>
      <c r="C43" s="25">
        <f>C40+1</f>
        <v>13</v>
      </c>
      <c r="D43" s="27" t="str">
        <f>IF(C43&lt;=$H$3,"Company"&amp;" "&amp;C43,"")</f>
        <v>Company 13</v>
      </c>
      <c r="E43" s="28" t="s">
        <v>19</v>
      </c>
      <c r="F43" s="29">
        <f t="shared" ref="F43:J43" ca="1" si="50">IFERROR(IF(F44&gt;0,(DATE(YEAR(F44),((INT((MONTH(F44)-1)/3)+1)*3)+1,1)-1),"-"),"NA")</f>
        <v>44742</v>
      </c>
      <c r="G43" s="29">
        <f t="shared" ca="1" si="50"/>
        <v>45107</v>
      </c>
      <c r="H43" s="29">
        <f t="shared" ca="1" si="50"/>
        <v>45199</v>
      </c>
      <c r="I43" s="29">
        <f t="shared" ca="1" si="50"/>
        <v>45747</v>
      </c>
      <c r="J43" s="30">
        <f t="shared" ca="1" si="50"/>
        <v>46203</v>
      </c>
      <c r="L43" s="31">
        <f ca="1">IFERROR(IF(L44&gt;0,(DATE(YEAR(L44),((INT((MONTH(L44)-1)/3)+1)*3)+1,1)-1),"-"),"")</f>
        <v>46203</v>
      </c>
      <c r="O43" s="32" t="str">
        <f ca="1">IF(F44&lt;=TODAY(),C43,"0")</f>
        <v>0</v>
      </c>
      <c r="P43" s="33" t="str">
        <f ca="1">IF(F44&lt;=TODAY(),D43,"0")</f>
        <v>0</v>
      </c>
      <c r="Q43" s="56" t="str">
        <f ca="1">IF(F44&lt;=TODAY(),F44,"0")</f>
        <v>0</v>
      </c>
      <c r="R43" s="33">
        <f t="shared" ref="R43:V43" ca="1" si="51">IF(F44&lt;=TODAY(),F45,0)</f>
        <v>0</v>
      </c>
      <c r="S43" s="33">
        <f t="shared" ca="1" si="51"/>
        <v>0</v>
      </c>
      <c r="T43" s="33">
        <f t="shared" ca="1" si="51"/>
        <v>0</v>
      </c>
      <c r="U43" s="33">
        <f t="shared" ca="1" si="51"/>
        <v>0</v>
      </c>
      <c r="V43" s="33">
        <f t="shared" ca="1" si="51"/>
        <v>0</v>
      </c>
      <c r="W43" s="35">
        <f ca="1">IF(L44&lt;=TODAY(),L45,0)</f>
        <v>0</v>
      </c>
      <c r="X43" s="36" t="str">
        <f ca="1">IF(K44&lt;=TODAY(),K45,"-")</f>
        <v>0</v>
      </c>
      <c r="Z43" s="37">
        <f t="shared" ref="Z43:AA43" si="52">C43</f>
        <v>13</v>
      </c>
      <c r="AA43" s="33" t="str">
        <f t="shared" si="52"/>
        <v>Company 13</v>
      </c>
      <c r="AB43" s="56">
        <f ca="1">F44</f>
        <v>44652</v>
      </c>
      <c r="AC43" s="33">
        <f t="shared" ref="AC43:AG43" ca="1" si="53">IF(F44&gt;TODAY(),F45,"0")</f>
        <v>1250000</v>
      </c>
      <c r="AD43" s="33">
        <f t="shared" ca="1" si="53"/>
        <v>112500</v>
      </c>
      <c r="AE43" s="33">
        <f t="shared" ca="1" si="53"/>
        <v>937500</v>
      </c>
      <c r="AF43" s="33">
        <f t="shared" ca="1" si="53"/>
        <v>750000</v>
      </c>
      <c r="AG43" s="33">
        <f t="shared" ca="1" si="53"/>
        <v>0</v>
      </c>
      <c r="AH43" s="35">
        <f ca="1">IF(L44&gt;TODAY(),L45,"0")</f>
        <v>0</v>
      </c>
    </row>
    <row r="44" spans="2:34" ht="15.75" customHeight="1" x14ac:dyDescent="0.2">
      <c r="B44" s="38"/>
      <c r="C44" s="25"/>
      <c r="D44" s="39"/>
      <c r="E44" s="40" t="s">
        <v>20</v>
      </c>
      <c r="F44" s="80">
        <f ca="1">IF(C43&lt;=$H$3,IF((F41+('Summary and Assumptions'!$K$118*7))&gt;$D$3,(F41+('Summary and Assumptions'!$K$118*7)),($D$3+$H$4)),"")</f>
        <v>44652</v>
      </c>
      <c r="G44" s="81">
        <f ca="1">IF($C43&lt;=$H$3,IF((F44+('Summary and Assumptions'!$K$119*7))&gt;$D$3,(F44+('Summary and Assumptions'!$K$119*7)),($D$3+$H$4)),"")</f>
        <v>45107</v>
      </c>
      <c r="H44" s="41">
        <f ca="1">IF($C43&lt;=$H$3,IF((F44+('Summary and Assumptions'!$K$120*7))&gt;$D$3,(F44+('Summary and Assumptions'!$K$120*7)),($D$3+$H$4)),"")</f>
        <v>45177</v>
      </c>
      <c r="I44" s="81">
        <f ca="1">IF($C43&lt;=$H$3,IF((H44+('Summary and Assumptions'!$K$121*7))&gt;$D$3,(H44+('Summary and Assumptions'!$K$121*7)),($D$3+$H$4)),"")</f>
        <v>45709</v>
      </c>
      <c r="J44" s="84">
        <f ca="1">IF($C43&lt;=$H$3,IF((I44+('Summary and Assumptions'!$K$122*7))&gt;$D$3,(I44+('Summary and Assumptions'!$K$122*7)),($D$3+$H$4)),"")</f>
        <v>46157</v>
      </c>
      <c r="K44" s="5"/>
      <c r="L44" s="43">
        <f ca="1">IF($C43&lt;=$H$3,IF((J44+('Summary and Assumptions'!$K$123*7))&gt;$D$3,(J44+('Summary and Assumptions'!$K$123*7)),($D$3+$H$4)),"")</f>
        <v>46157</v>
      </c>
      <c r="O44" s="44"/>
      <c r="P44" s="45"/>
      <c r="Q44" s="46"/>
      <c r="R44" s="45"/>
      <c r="S44" s="45"/>
      <c r="T44" s="45"/>
      <c r="U44" s="45"/>
      <c r="V44" s="45"/>
      <c r="W44" s="47"/>
      <c r="X44" s="40"/>
      <c r="Z44" s="48"/>
      <c r="AA44" s="45"/>
      <c r="AB44" s="46"/>
      <c r="AC44" s="45"/>
      <c r="AD44" s="45"/>
      <c r="AE44" s="45"/>
      <c r="AF44" s="45"/>
      <c r="AG44" s="45"/>
      <c r="AH44" s="47"/>
    </row>
    <row r="45" spans="2:34" ht="15.75" customHeight="1" x14ac:dyDescent="0.2">
      <c r="B45" s="38"/>
      <c r="C45" s="49"/>
      <c r="D45" s="50"/>
      <c r="E45" s="51" t="s">
        <v>21</v>
      </c>
      <c r="F45" s="52">
        <f>IF(C43&lt;=$H$3,'Summary and Assumptions'!$D$101,"")</f>
        <v>1250000</v>
      </c>
      <c r="G45" s="52">
        <f>IF(C43&lt;=$H$3,F45*'Summary and Assumptions'!$K$111*'Summary and Assumptions'!$K$102,"")</f>
        <v>112500</v>
      </c>
      <c r="H45" s="52">
        <f>IF(C43&lt;=$H$3,$F45*'Summary and Assumptions'!$K$112*'Summary and Assumptions'!$K$103,"")</f>
        <v>937500</v>
      </c>
      <c r="I45" s="52">
        <f>IF(C43&lt;=$H$3,$F45*'Summary and Assumptions'!$K$113*'Summary and Assumptions'!$K$104,"")</f>
        <v>750000</v>
      </c>
      <c r="J45" s="53">
        <f>IF(C43&lt;=$H$3,$F45*'Summary and Assumptions'!$K$114*'Summary and Assumptions'!$K$105,"")</f>
        <v>0</v>
      </c>
      <c r="K45" s="54" t="str">
        <f ca="1">IF(AND(J44&lt;=$D$3,J45&gt;0),$J$6,IF(AND(I44&lt;=$D$3,I45&gt;0),$I$6,IF(AND(H44&lt;=$D$3,H45&gt;0),$H$6,IF(AND(G44&lt;=$D$3,G45&gt;0),$G$6,IF(AND(F44&lt;=$D$3,F45&gt;0),$F$6,"0")))))</f>
        <v>0</v>
      </c>
      <c r="L45" s="55">
        <f>IF(C43&lt;=$H$3,SUM($F45:$I45)*(1+'Summary and Assumptions'!$D$103),"")</f>
        <v>0</v>
      </c>
      <c r="O45" s="44"/>
      <c r="P45" s="45"/>
      <c r="Q45" s="46"/>
      <c r="R45" s="45"/>
      <c r="S45" s="45"/>
      <c r="T45" s="45"/>
      <c r="U45" s="45"/>
      <c r="V45" s="45"/>
      <c r="W45" s="47"/>
      <c r="X45" s="40"/>
      <c r="Z45" s="48"/>
      <c r="AA45" s="45"/>
      <c r="AB45" s="46"/>
      <c r="AC45" s="45"/>
      <c r="AD45" s="45"/>
      <c r="AE45" s="45"/>
      <c r="AF45" s="45"/>
      <c r="AG45" s="45"/>
      <c r="AH45" s="47"/>
    </row>
    <row r="46" spans="2:34" ht="15.75" customHeight="1" x14ac:dyDescent="0.2">
      <c r="B46" s="26" t="s">
        <v>18</v>
      </c>
      <c r="C46" s="25">
        <f>C43+1</f>
        <v>14</v>
      </c>
      <c r="D46" s="27" t="str">
        <f>IF(C46&lt;=$H$3,"Company"&amp;" "&amp;C46,"")</f>
        <v>Company 14</v>
      </c>
      <c r="E46" s="28" t="s">
        <v>19</v>
      </c>
      <c r="F46" s="29">
        <f t="shared" ref="F46:J46" ca="1" si="54">IFERROR(IF(F47&gt;0,(DATE(YEAR(F47),((INT((MONTH(F47)-1)/3)+1)*3)+1,1)-1),"-"),"NA")</f>
        <v>44742</v>
      </c>
      <c r="G46" s="29">
        <f t="shared" ca="1" si="54"/>
        <v>45199</v>
      </c>
      <c r="H46" s="29">
        <f t="shared" ca="1" si="54"/>
        <v>45291</v>
      </c>
      <c r="I46" s="29">
        <f t="shared" ca="1" si="54"/>
        <v>45747</v>
      </c>
      <c r="J46" s="30">
        <f t="shared" ca="1" si="54"/>
        <v>46203</v>
      </c>
      <c r="L46" s="31">
        <f ca="1">IFERROR(IF(L47&gt;0,(DATE(YEAR(L47),((INT((MONTH(L47)-1)/3)+1)*3)+1,1)-1),"-"),"")</f>
        <v>46203</v>
      </c>
      <c r="O46" s="32" t="str">
        <f ca="1">IF(F47&lt;=TODAY(),C46,"0")</f>
        <v>0</v>
      </c>
      <c r="P46" s="33" t="str">
        <f ca="1">IF(F47&lt;=TODAY(),D46,"0")</f>
        <v>0</v>
      </c>
      <c r="Q46" s="56" t="str">
        <f ca="1">IF(F47&lt;=TODAY(),F47,"0")</f>
        <v>0</v>
      </c>
      <c r="R46" s="33">
        <f t="shared" ref="R46:V46" ca="1" si="55">IF(F47&lt;=TODAY(),F48,0)</f>
        <v>0</v>
      </c>
      <c r="S46" s="33">
        <f t="shared" ca="1" si="55"/>
        <v>0</v>
      </c>
      <c r="T46" s="33">
        <f t="shared" ca="1" si="55"/>
        <v>0</v>
      </c>
      <c r="U46" s="33">
        <f t="shared" ca="1" si="55"/>
        <v>0</v>
      </c>
      <c r="V46" s="33">
        <f t="shared" ca="1" si="55"/>
        <v>0</v>
      </c>
      <c r="W46" s="35">
        <f ca="1">IF(L47&lt;=TODAY(),L48,0)</f>
        <v>0</v>
      </c>
      <c r="X46" s="36" t="str">
        <f ca="1">IF(K47&lt;=TODAY(),K48,"-")</f>
        <v>0</v>
      </c>
      <c r="Z46" s="37">
        <f t="shared" ref="Z46:AA46" si="56">C46</f>
        <v>14</v>
      </c>
      <c r="AA46" s="33" t="str">
        <f t="shared" si="56"/>
        <v>Company 14</v>
      </c>
      <c r="AB46" s="56">
        <f ca="1">F47</f>
        <v>44687</v>
      </c>
      <c r="AC46" s="33">
        <f t="shared" ref="AC46:AG46" ca="1" si="57">IF(F47&gt;TODAY(),F48,"0")</f>
        <v>1250000</v>
      </c>
      <c r="AD46" s="33">
        <f t="shared" ca="1" si="57"/>
        <v>112500</v>
      </c>
      <c r="AE46" s="33">
        <f t="shared" ca="1" si="57"/>
        <v>937500</v>
      </c>
      <c r="AF46" s="33">
        <f t="shared" ca="1" si="57"/>
        <v>750000</v>
      </c>
      <c r="AG46" s="33">
        <f t="shared" ca="1" si="57"/>
        <v>0</v>
      </c>
      <c r="AH46" s="35">
        <f ca="1">IF(L47&gt;TODAY(),L48,"0")</f>
        <v>0</v>
      </c>
    </row>
    <row r="47" spans="2:34" ht="15.75" customHeight="1" x14ac:dyDescent="0.2">
      <c r="B47" s="38"/>
      <c r="C47" s="25"/>
      <c r="D47" s="39"/>
      <c r="E47" s="40" t="s">
        <v>20</v>
      </c>
      <c r="F47" s="80">
        <f ca="1">IF(C46&lt;=$H$3,IF((F44+('Summary and Assumptions'!$K$118*7))&gt;$D$3,(F44+('Summary and Assumptions'!$K$118*7)),($D$3+$H$4)),"")</f>
        <v>44687</v>
      </c>
      <c r="G47" s="81">
        <f ca="1">IF($C46&lt;=$H$3,IF((F47+('Summary and Assumptions'!$K$119*7))&gt;$D$3,(F47+('Summary and Assumptions'!$K$119*7)),($D$3+$H$4)),"")</f>
        <v>45142</v>
      </c>
      <c r="H47" s="41">
        <f ca="1">IF($C46&lt;=$H$3,IF((F47+('Summary and Assumptions'!$K$120*7))&gt;$D$3,(F47+('Summary and Assumptions'!$K$120*7)),($D$3+$H$4)),"")</f>
        <v>45212</v>
      </c>
      <c r="I47" s="81">
        <f ca="1">IF($C46&lt;=$H$3,IF((H47+('Summary and Assumptions'!$K$121*7))&gt;$D$3,(H47+('Summary and Assumptions'!$K$121*7)),($D$3+$H$4)),"")</f>
        <v>45744</v>
      </c>
      <c r="J47" s="84">
        <f ca="1">IF($C46&lt;=$H$3,IF((I47+('Summary and Assumptions'!$K$122*7))&gt;$D$3,(I47+('Summary and Assumptions'!$K$122*7)),($D$3+$H$4)),"")</f>
        <v>46192</v>
      </c>
      <c r="K47" s="5"/>
      <c r="L47" s="43">
        <f ca="1">IF($C46&lt;=$H$3,IF((J47+('Summary and Assumptions'!$K$123*7))&gt;$D$3,(J47+('Summary and Assumptions'!$K$123*7)),($D$3+$H$4)),"")</f>
        <v>46192</v>
      </c>
      <c r="O47" s="44"/>
      <c r="P47" s="45"/>
      <c r="Q47" s="46"/>
      <c r="R47" s="45"/>
      <c r="S47" s="45"/>
      <c r="T47" s="45"/>
      <c r="U47" s="45"/>
      <c r="V47" s="45"/>
      <c r="W47" s="47"/>
      <c r="X47" s="40"/>
      <c r="Z47" s="48"/>
      <c r="AA47" s="45"/>
      <c r="AB47" s="46"/>
      <c r="AC47" s="45"/>
      <c r="AD47" s="45"/>
      <c r="AE47" s="45"/>
      <c r="AF47" s="45"/>
      <c r="AG47" s="45"/>
      <c r="AH47" s="47"/>
    </row>
    <row r="48" spans="2:34" ht="15.75" customHeight="1" x14ac:dyDescent="0.2">
      <c r="B48" s="38"/>
      <c r="C48" s="49"/>
      <c r="D48" s="50"/>
      <c r="E48" s="51" t="s">
        <v>21</v>
      </c>
      <c r="F48" s="52">
        <f>IF(C46&lt;=$H$3,'Summary and Assumptions'!$D$101,"")</f>
        <v>1250000</v>
      </c>
      <c r="G48" s="52">
        <f>IF(C46&lt;=$H$3,F48*'Summary and Assumptions'!$K$111*'Summary and Assumptions'!$K$102,"")</f>
        <v>112500</v>
      </c>
      <c r="H48" s="52">
        <f>IF(C46&lt;=$H$3,$F48*'Summary and Assumptions'!$K$112*'Summary and Assumptions'!$K$103,"")</f>
        <v>937500</v>
      </c>
      <c r="I48" s="52">
        <f>IF(C46&lt;=$H$3,$F48*'Summary and Assumptions'!$K$113*'Summary and Assumptions'!$K$104,"")</f>
        <v>750000</v>
      </c>
      <c r="J48" s="53">
        <f>IF(C46&lt;=$H$3,$F48*'Summary and Assumptions'!$K$114*'Summary and Assumptions'!$K$105,"")</f>
        <v>0</v>
      </c>
      <c r="K48" s="54" t="str">
        <f ca="1">IF(AND(J47&lt;=$D$3,J48&gt;0),$J$6,IF(AND(I47&lt;=$D$3,I48&gt;0),$I$6,IF(AND(H47&lt;=$D$3,H48&gt;0),$H$6,IF(AND(G47&lt;=$D$3,G48&gt;0),$G$6,IF(AND(F47&lt;=$D$3,F48&gt;0),$F$6,"0")))))</f>
        <v>0</v>
      </c>
      <c r="L48" s="55">
        <f>IF(C46&lt;=$H$3,SUM($F48:$I48)*(1+'Summary and Assumptions'!$D$103),"")</f>
        <v>0</v>
      </c>
      <c r="O48" s="44"/>
      <c r="P48" s="45"/>
      <c r="Q48" s="46"/>
      <c r="R48" s="45"/>
      <c r="S48" s="45"/>
      <c r="T48" s="45"/>
      <c r="U48" s="45"/>
      <c r="V48" s="45"/>
      <c r="W48" s="47"/>
      <c r="X48" s="40"/>
      <c r="Z48" s="48"/>
      <c r="AA48" s="45"/>
      <c r="AB48" s="46"/>
      <c r="AC48" s="45"/>
      <c r="AD48" s="45"/>
      <c r="AE48" s="45"/>
      <c r="AF48" s="45"/>
      <c r="AG48" s="45"/>
      <c r="AH48" s="47"/>
    </row>
    <row r="49" spans="2:34" ht="15.75" customHeight="1" x14ac:dyDescent="0.2">
      <c r="B49" s="26" t="s">
        <v>18</v>
      </c>
      <c r="C49" s="25">
        <f>C46+1</f>
        <v>15</v>
      </c>
      <c r="D49" s="27" t="str">
        <f>IF(C49&lt;=$H$3,"Company"&amp;" "&amp;C49,"")</f>
        <v>Company 15</v>
      </c>
      <c r="E49" s="28" t="s">
        <v>19</v>
      </c>
      <c r="F49" s="29">
        <f t="shared" ref="F49:J49" ca="1" si="58">IFERROR(IF(F50&gt;0,(DATE(YEAR(F50),((INT((MONTH(F50)-1)/3)+1)*3)+1,1)-1),"-"),"NA")</f>
        <v>44742</v>
      </c>
      <c r="G49" s="29">
        <f t="shared" ca="1" si="58"/>
        <v>45199</v>
      </c>
      <c r="H49" s="29">
        <f t="shared" ca="1" si="58"/>
        <v>45291</v>
      </c>
      <c r="I49" s="29">
        <f t="shared" ca="1" si="58"/>
        <v>45838</v>
      </c>
      <c r="J49" s="30">
        <f t="shared" ca="1" si="58"/>
        <v>46295</v>
      </c>
      <c r="L49" s="31">
        <f ca="1">IFERROR(IF(L50&gt;0,(DATE(YEAR(L50),((INT((MONTH(L50)-1)/3)+1)*3)+1,1)-1),"-"),"")</f>
        <v>46295</v>
      </c>
      <c r="O49" s="32" t="str">
        <f ca="1">IF(F50&lt;=TODAY(),C49,"0")</f>
        <v>0</v>
      </c>
      <c r="P49" s="33" t="str">
        <f ca="1">IF(F50&lt;=TODAY(),D49,"0")</f>
        <v>0</v>
      </c>
      <c r="Q49" s="56" t="str">
        <f ca="1">IF(F50&lt;=TODAY(),F50,"0")</f>
        <v>0</v>
      </c>
      <c r="R49" s="33">
        <f t="shared" ref="R49:V49" ca="1" si="59">IF(F50&lt;=TODAY(),F51,0)</f>
        <v>0</v>
      </c>
      <c r="S49" s="33">
        <f t="shared" ca="1" si="59"/>
        <v>0</v>
      </c>
      <c r="T49" s="33">
        <f t="shared" ca="1" si="59"/>
        <v>0</v>
      </c>
      <c r="U49" s="33">
        <f t="shared" ca="1" si="59"/>
        <v>0</v>
      </c>
      <c r="V49" s="33">
        <f t="shared" ca="1" si="59"/>
        <v>0</v>
      </c>
      <c r="W49" s="35">
        <f ca="1">IF(L50&lt;=TODAY(),L51,0)</f>
        <v>0</v>
      </c>
      <c r="X49" s="36" t="str">
        <f ca="1">IF(K50&lt;=TODAY(),K51,"-")</f>
        <v>0</v>
      </c>
      <c r="Z49" s="37">
        <f t="shared" ref="Z49:AA49" si="60">C49</f>
        <v>15</v>
      </c>
      <c r="AA49" s="33" t="str">
        <f t="shared" si="60"/>
        <v>Company 15</v>
      </c>
      <c r="AB49" s="56">
        <f ca="1">F50</f>
        <v>44722</v>
      </c>
      <c r="AC49" s="33">
        <f t="shared" ref="AC49:AG49" ca="1" si="61">IF(F50&gt;TODAY(),F51,"0")</f>
        <v>1250000</v>
      </c>
      <c r="AD49" s="33">
        <f t="shared" ca="1" si="61"/>
        <v>112500</v>
      </c>
      <c r="AE49" s="33">
        <f t="shared" ca="1" si="61"/>
        <v>937500</v>
      </c>
      <c r="AF49" s="33">
        <f t="shared" ca="1" si="61"/>
        <v>750000</v>
      </c>
      <c r="AG49" s="33">
        <f t="shared" ca="1" si="61"/>
        <v>0</v>
      </c>
      <c r="AH49" s="35">
        <f ca="1">IF(L50&gt;TODAY(),L51,"0")</f>
        <v>0</v>
      </c>
    </row>
    <row r="50" spans="2:34" ht="15.75" customHeight="1" x14ac:dyDescent="0.2">
      <c r="B50" s="38"/>
      <c r="C50" s="25"/>
      <c r="D50" s="39"/>
      <c r="E50" s="40" t="s">
        <v>20</v>
      </c>
      <c r="F50" s="80">
        <f ca="1">IF(C49&lt;=$H$3,IF((F47+('Summary and Assumptions'!$K$118*7))&gt;$D$3,(F47+('Summary and Assumptions'!$K$118*7)),($D$3+$H$4)),"")</f>
        <v>44722</v>
      </c>
      <c r="G50" s="81">
        <f ca="1">IF($C49&lt;=$H$3,IF((F50+('Summary and Assumptions'!$K$119*7))&gt;$D$3,(F50+('Summary and Assumptions'!$K$119*7)),($D$3+$H$4)),"")</f>
        <v>45177</v>
      </c>
      <c r="H50" s="41">
        <f ca="1">IF($C49&lt;=$H$3,IF((F50+('Summary and Assumptions'!$K$120*7))&gt;$D$3,(F50+('Summary and Assumptions'!$K$120*7)),($D$3+$H$4)),"")</f>
        <v>45247</v>
      </c>
      <c r="I50" s="81">
        <f ca="1">IF($C49&lt;=$H$3,IF((H50+('Summary and Assumptions'!$K$121*7))&gt;$D$3,(H50+('Summary and Assumptions'!$K$121*7)),($D$3+$H$4)),"")</f>
        <v>45779</v>
      </c>
      <c r="J50" s="84">
        <f ca="1">IF($C49&lt;=$H$3,IF((I50+('Summary and Assumptions'!$K$122*7))&gt;$D$3,(I50+('Summary and Assumptions'!$K$122*7)),($D$3+$H$4)),"")</f>
        <v>46227</v>
      </c>
      <c r="K50" s="5"/>
      <c r="L50" s="43">
        <f ca="1">IF($C49&lt;=$H$3,IF((J50+('Summary and Assumptions'!$K$123*7))&gt;$D$3,(J50+('Summary and Assumptions'!$K$123*7)),($D$3+$H$4)),"")</f>
        <v>46227</v>
      </c>
      <c r="O50" s="44"/>
      <c r="P50" s="45"/>
      <c r="Q50" s="46"/>
      <c r="R50" s="45"/>
      <c r="S50" s="45"/>
      <c r="T50" s="45"/>
      <c r="U50" s="45"/>
      <c r="V50" s="45"/>
      <c r="W50" s="47"/>
      <c r="X50" s="40"/>
      <c r="Z50" s="48"/>
      <c r="AA50" s="45"/>
      <c r="AB50" s="46"/>
      <c r="AC50" s="45"/>
      <c r="AD50" s="45"/>
      <c r="AE50" s="45"/>
      <c r="AF50" s="45"/>
      <c r="AG50" s="45"/>
      <c r="AH50" s="47"/>
    </row>
    <row r="51" spans="2:34" ht="15.75" customHeight="1" x14ac:dyDescent="0.2">
      <c r="B51" s="38"/>
      <c r="C51" s="49"/>
      <c r="D51" s="50"/>
      <c r="E51" s="51" t="s">
        <v>21</v>
      </c>
      <c r="F51" s="52">
        <f>IF(C49&lt;=$H$3,'Summary and Assumptions'!$D$101,"")</f>
        <v>1250000</v>
      </c>
      <c r="G51" s="52">
        <f>IF(C49&lt;=$H$3,F51*'Summary and Assumptions'!$K$111*'Summary and Assumptions'!$K$102,"")</f>
        <v>112500</v>
      </c>
      <c r="H51" s="52">
        <f>IF(C49&lt;=$H$3,$F51*'Summary and Assumptions'!$K$112*'Summary and Assumptions'!$K$103,"")</f>
        <v>937500</v>
      </c>
      <c r="I51" s="52">
        <f>IF(C49&lt;=$H$3,$F51*'Summary and Assumptions'!$K$113*'Summary and Assumptions'!$K$104,"")</f>
        <v>750000</v>
      </c>
      <c r="J51" s="53">
        <f>IF(C49&lt;=$H$3,$F51*'Summary and Assumptions'!$K$114*'Summary and Assumptions'!$K$105,"")</f>
        <v>0</v>
      </c>
      <c r="K51" s="54" t="str">
        <f ca="1">IF(AND(J50&lt;=$D$3,J51&gt;0),$J$6,IF(AND(I50&lt;=$D$3,I51&gt;0),$I$6,IF(AND(H50&lt;=$D$3,H51&gt;0),$H$6,IF(AND(G50&lt;=$D$3,G51&gt;0),$G$6,IF(AND(F50&lt;=$D$3,F51&gt;0),$F$6,"0")))))</f>
        <v>0</v>
      </c>
      <c r="L51" s="55">
        <f>IF(C49&lt;=$H$3,SUM($F51:$I51)*(1+'Summary and Assumptions'!$D$103),"")</f>
        <v>0</v>
      </c>
      <c r="O51" s="44"/>
      <c r="P51" s="45"/>
      <c r="Q51" s="46"/>
      <c r="R51" s="45"/>
      <c r="S51" s="45"/>
      <c r="T51" s="45"/>
      <c r="U51" s="45"/>
      <c r="V51" s="45"/>
      <c r="W51" s="47"/>
      <c r="X51" s="40"/>
      <c r="Z51" s="48"/>
      <c r="AA51" s="45"/>
      <c r="AB51" s="46"/>
      <c r="AC51" s="45"/>
      <c r="AD51" s="45"/>
      <c r="AE51" s="45"/>
      <c r="AF51" s="45"/>
      <c r="AG51" s="45"/>
      <c r="AH51" s="47"/>
    </row>
    <row r="52" spans="2:34" ht="15.75" customHeight="1" x14ac:dyDescent="0.2">
      <c r="B52" s="26" t="s">
        <v>18</v>
      </c>
      <c r="C52" s="25">
        <f>C49+1</f>
        <v>16</v>
      </c>
      <c r="D52" s="27" t="str">
        <f>IF(C52&lt;=$H$3,"Company"&amp;" "&amp;C52,"")</f>
        <v>Company 16</v>
      </c>
      <c r="E52" s="28" t="s">
        <v>19</v>
      </c>
      <c r="F52" s="29">
        <f t="shared" ref="F52:J52" ca="1" si="62">IFERROR(IF(F53&gt;0,(DATE(YEAR(F53),((INT((MONTH(F53)-1)/3)+1)*3)+1,1)-1),"-"),"NA")</f>
        <v>44834</v>
      </c>
      <c r="G52" s="29">
        <f t="shared" ca="1" si="62"/>
        <v>45291</v>
      </c>
      <c r="H52" s="29">
        <f t="shared" ca="1" si="62"/>
        <v>45291</v>
      </c>
      <c r="I52" s="29">
        <f t="shared" ca="1" si="62"/>
        <v>45838</v>
      </c>
      <c r="J52" s="30">
        <f t="shared" ca="1" si="62"/>
        <v>46295</v>
      </c>
      <c r="L52" s="31">
        <f ca="1">IFERROR(IF(L53&gt;0,(DATE(YEAR(L53),((INT((MONTH(L53)-1)/3)+1)*3)+1,1)-1),"-"),"")</f>
        <v>46295</v>
      </c>
      <c r="O52" s="32" t="str">
        <f ca="1">IF(F53&lt;=TODAY(),C52,"0")</f>
        <v>0</v>
      </c>
      <c r="P52" s="33" t="str">
        <f ca="1">IF(F53&lt;=TODAY(),D52,"0")</f>
        <v>0</v>
      </c>
      <c r="Q52" s="56" t="str">
        <f ca="1">IF(F53&lt;=TODAY(),F53,"0")</f>
        <v>0</v>
      </c>
      <c r="R52" s="33">
        <f t="shared" ref="R52:V52" ca="1" si="63">IF(F53&lt;=TODAY(),F54,0)</f>
        <v>0</v>
      </c>
      <c r="S52" s="33">
        <f t="shared" ca="1" si="63"/>
        <v>0</v>
      </c>
      <c r="T52" s="33">
        <f t="shared" ca="1" si="63"/>
        <v>0</v>
      </c>
      <c r="U52" s="33">
        <f t="shared" ca="1" si="63"/>
        <v>0</v>
      </c>
      <c r="V52" s="33">
        <f t="shared" ca="1" si="63"/>
        <v>0</v>
      </c>
      <c r="W52" s="35">
        <f ca="1">IF(L53&lt;=TODAY(),L54,0)</f>
        <v>0</v>
      </c>
      <c r="X52" s="36" t="str">
        <f ca="1">IF(K53&lt;=TODAY(),K54,"-")</f>
        <v>0</v>
      </c>
      <c r="Z52" s="37">
        <f t="shared" ref="Z52:AA52" si="64">C52</f>
        <v>16</v>
      </c>
      <c r="AA52" s="33" t="str">
        <f t="shared" si="64"/>
        <v>Company 16</v>
      </c>
      <c r="AB52" s="56">
        <f ca="1">F53</f>
        <v>44757</v>
      </c>
      <c r="AC52" s="33">
        <f t="shared" ref="AC52:AG52" ca="1" si="65">IF(F53&gt;TODAY(),F54,"0")</f>
        <v>1250000</v>
      </c>
      <c r="AD52" s="33">
        <f t="shared" ca="1" si="65"/>
        <v>112500</v>
      </c>
      <c r="AE52" s="33">
        <f t="shared" ca="1" si="65"/>
        <v>937500</v>
      </c>
      <c r="AF52" s="33">
        <f t="shared" ca="1" si="65"/>
        <v>750000</v>
      </c>
      <c r="AG52" s="33">
        <f t="shared" ca="1" si="65"/>
        <v>0</v>
      </c>
      <c r="AH52" s="35">
        <f ca="1">IF(L53&gt;TODAY(),L54,"0")</f>
        <v>0</v>
      </c>
    </row>
    <row r="53" spans="2:34" ht="15.75" customHeight="1" x14ac:dyDescent="0.2">
      <c r="B53" s="38"/>
      <c r="C53" s="25"/>
      <c r="D53" s="39"/>
      <c r="E53" s="40" t="s">
        <v>20</v>
      </c>
      <c r="F53" s="80">
        <f ca="1">IF(C52&lt;=$H$3,IF((F50+('Summary and Assumptions'!$K$118*7))&gt;$D$3,(F50+('Summary and Assumptions'!$K$118*7)),($D$3+$H$4)),"")</f>
        <v>44757</v>
      </c>
      <c r="G53" s="81">
        <f ca="1">IF($C52&lt;=$H$3,IF((F53+('Summary and Assumptions'!$K$119*7))&gt;$D$3,(F53+('Summary and Assumptions'!$K$119*7)),($D$3+$H$4)),"")</f>
        <v>45212</v>
      </c>
      <c r="H53" s="41">
        <f ca="1">IF($C52&lt;=$H$3,IF((F53+('Summary and Assumptions'!$K$120*7))&gt;$D$3,(F53+('Summary and Assumptions'!$K$120*7)),($D$3+$H$4)),"")</f>
        <v>45282</v>
      </c>
      <c r="I53" s="81">
        <f ca="1">IF($C52&lt;=$H$3,IF((H53+('Summary and Assumptions'!$K$121*7))&gt;$D$3,(H53+('Summary and Assumptions'!$K$121*7)),($D$3+$H$4)),"")</f>
        <v>45814</v>
      </c>
      <c r="J53" s="84">
        <f ca="1">IF($C52&lt;=$H$3,IF((I53+('Summary and Assumptions'!$K$122*7))&gt;$D$3,(I53+('Summary and Assumptions'!$K$122*7)),($D$3+$H$4)),"")</f>
        <v>46262</v>
      </c>
      <c r="K53" s="5"/>
      <c r="L53" s="43">
        <f ca="1">IF($C52&lt;=$H$3,IF((J53+('Summary and Assumptions'!$K$123*7))&gt;$D$3,(J53+('Summary and Assumptions'!$K$123*7)),($D$3+$H$4)),"")</f>
        <v>46262</v>
      </c>
      <c r="O53" s="44"/>
      <c r="P53" s="45"/>
      <c r="Q53" s="46"/>
      <c r="R53" s="45"/>
      <c r="S53" s="45"/>
      <c r="T53" s="45"/>
      <c r="U53" s="45"/>
      <c r="V53" s="45"/>
      <c r="W53" s="47"/>
      <c r="X53" s="40"/>
      <c r="Z53" s="48"/>
      <c r="AA53" s="45"/>
      <c r="AB53" s="46"/>
      <c r="AC53" s="45"/>
      <c r="AD53" s="45"/>
      <c r="AE53" s="45"/>
      <c r="AF53" s="45"/>
      <c r="AG53" s="45"/>
      <c r="AH53" s="47"/>
    </row>
    <row r="54" spans="2:34" ht="15.75" customHeight="1" x14ac:dyDescent="0.2">
      <c r="B54" s="38"/>
      <c r="C54" s="49"/>
      <c r="D54" s="50"/>
      <c r="E54" s="51" t="s">
        <v>21</v>
      </c>
      <c r="F54" s="52">
        <f>IF(C52&lt;=$H$3,'Summary and Assumptions'!$D$101,"")</f>
        <v>1250000</v>
      </c>
      <c r="G54" s="52">
        <f>IF(C52&lt;=$H$3,F54*'Summary and Assumptions'!$K$111*'Summary and Assumptions'!$K$102,"")</f>
        <v>112500</v>
      </c>
      <c r="H54" s="52">
        <f>IF(C52&lt;=$H$3,$F54*'Summary and Assumptions'!$K$112*'Summary and Assumptions'!$K$103,"")</f>
        <v>937500</v>
      </c>
      <c r="I54" s="52">
        <f>IF(C52&lt;=$H$3,$F54*'Summary and Assumptions'!$K$113*'Summary and Assumptions'!$K$104,"")</f>
        <v>750000</v>
      </c>
      <c r="J54" s="53">
        <f>IF(C52&lt;=$H$3,$F54*'Summary and Assumptions'!$K$114*'Summary and Assumptions'!$K$105,"")</f>
        <v>0</v>
      </c>
      <c r="K54" s="54" t="str">
        <f ca="1">IF(AND(J53&lt;=$D$3,J54&gt;0),$J$6,IF(AND(I53&lt;=$D$3,I54&gt;0),$I$6,IF(AND(H53&lt;=$D$3,H54&gt;0),$H$6,IF(AND(G53&lt;=$D$3,G54&gt;0),$G$6,IF(AND(F53&lt;=$D$3,F54&gt;0),$F$6,"0")))))</f>
        <v>0</v>
      </c>
      <c r="L54" s="55">
        <f>IF(C52&lt;=$H$3,SUM($F54:$I54)*(1+'Summary and Assumptions'!$D$103),"")</f>
        <v>0</v>
      </c>
      <c r="O54" s="44"/>
      <c r="P54" s="45"/>
      <c r="Q54" s="46"/>
      <c r="R54" s="45"/>
      <c r="S54" s="45"/>
      <c r="T54" s="45"/>
      <c r="U54" s="45"/>
      <c r="V54" s="45"/>
      <c r="W54" s="47"/>
      <c r="X54" s="40"/>
      <c r="Z54" s="48"/>
      <c r="AA54" s="45"/>
      <c r="AB54" s="46"/>
      <c r="AC54" s="45"/>
      <c r="AD54" s="45"/>
      <c r="AE54" s="45"/>
      <c r="AF54" s="45"/>
      <c r="AG54" s="45"/>
      <c r="AH54" s="47"/>
    </row>
    <row r="55" spans="2:34" ht="15.75" customHeight="1" x14ac:dyDescent="0.2">
      <c r="B55" s="26" t="s">
        <v>18</v>
      </c>
      <c r="C55" s="25">
        <f>C52+1</f>
        <v>17</v>
      </c>
      <c r="D55" s="27" t="str">
        <f>IF(C55&lt;=$H$3,"Company"&amp;" "&amp;C55,"")</f>
        <v>Company 17</v>
      </c>
      <c r="E55" s="28" t="s">
        <v>19</v>
      </c>
      <c r="F55" s="29">
        <f t="shared" ref="F55:J55" ca="1" si="66">IFERROR(IF(F56&gt;0,(DATE(YEAR(F56),((INT((MONTH(F56)-1)/3)+1)*3)+1,1)-1),"-"),"NA")</f>
        <v>44834</v>
      </c>
      <c r="G55" s="29">
        <f t="shared" ca="1" si="66"/>
        <v>45291</v>
      </c>
      <c r="H55" s="29">
        <f t="shared" ca="1" si="66"/>
        <v>45382</v>
      </c>
      <c r="I55" s="29">
        <f t="shared" ca="1" si="66"/>
        <v>45930</v>
      </c>
      <c r="J55" s="30">
        <f t="shared" ca="1" si="66"/>
        <v>46387</v>
      </c>
      <c r="L55" s="31">
        <f ca="1">IFERROR(IF(L56&gt;0,(DATE(YEAR(L56),((INT((MONTH(L56)-1)/3)+1)*3)+1,1)-1),"-"),"")</f>
        <v>46387</v>
      </c>
      <c r="O55" s="32" t="str">
        <f ca="1">IF(F56&lt;=TODAY(),C55,"0")</f>
        <v>0</v>
      </c>
      <c r="P55" s="33" t="str">
        <f ca="1">IF(F56&lt;=TODAY(),D55,"0")</f>
        <v>0</v>
      </c>
      <c r="Q55" s="56" t="str">
        <f ca="1">IF(F56&lt;=TODAY(),F56,"0")</f>
        <v>0</v>
      </c>
      <c r="R55" s="33">
        <f t="shared" ref="R55:V55" ca="1" si="67">IF(F56&lt;=TODAY(),F57,0)</f>
        <v>0</v>
      </c>
      <c r="S55" s="33">
        <f t="shared" ca="1" si="67"/>
        <v>0</v>
      </c>
      <c r="T55" s="33">
        <f t="shared" ca="1" si="67"/>
        <v>0</v>
      </c>
      <c r="U55" s="33">
        <f t="shared" ca="1" si="67"/>
        <v>0</v>
      </c>
      <c r="V55" s="33">
        <f t="shared" ca="1" si="67"/>
        <v>0</v>
      </c>
      <c r="W55" s="35">
        <f ca="1">IF(L56&lt;=TODAY(),L57,0)</f>
        <v>0</v>
      </c>
      <c r="X55" s="36" t="str">
        <f ca="1">IF(K56&lt;=TODAY(),K57,"-")</f>
        <v>0</v>
      </c>
      <c r="Z55" s="37">
        <f t="shared" ref="Z55:AA55" si="68">C55</f>
        <v>17</v>
      </c>
      <c r="AA55" s="33" t="str">
        <f t="shared" si="68"/>
        <v>Company 17</v>
      </c>
      <c r="AB55" s="56">
        <f ca="1">F56</f>
        <v>44792</v>
      </c>
      <c r="AC55" s="33">
        <f t="shared" ref="AC55:AG55" ca="1" si="69">IF(F56&gt;TODAY(),F57,"0")</f>
        <v>1250000</v>
      </c>
      <c r="AD55" s="33">
        <f t="shared" ca="1" si="69"/>
        <v>112500</v>
      </c>
      <c r="AE55" s="33">
        <f t="shared" ca="1" si="69"/>
        <v>937500</v>
      </c>
      <c r="AF55" s="33">
        <f t="shared" ca="1" si="69"/>
        <v>750000</v>
      </c>
      <c r="AG55" s="33">
        <f t="shared" ca="1" si="69"/>
        <v>0</v>
      </c>
      <c r="AH55" s="35">
        <f ca="1">IF(L56&gt;TODAY(),L57,"0")</f>
        <v>0</v>
      </c>
    </row>
    <row r="56" spans="2:34" ht="15.75" customHeight="1" x14ac:dyDescent="0.2">
      <c r="B56" s="38"/>
      <c r="C56" s="25"/>
      <c r="D56" s="39"/>
      <c r="E56" s="40" t="s">
        <v>20</v>
      </c>
      <c r="F56" s="80">
        <f ca="1">IF(C55&lt;=$H$3,IF((F53+('Summary and Assumptions'!$K$118*7))&gt;$D$3,(F53+('Summary and Assumptions'!$K$118*7)),($D$3+$H$4)),"")</f>
        <v>44792</v>
      </c>
      <c r="G56" s="81">
        <f ca="1">IF($C55&lt;=$H$3,IF((F56+('Summary and Assumptions'!$K$119*7))&gt;$D$3,(F56+('Summary and Assumptions'!$K$119*7)),($D$3+$H$4)),"")</f>
        <v>45247</v>
      </c>
      <c r="H56" s="41">
        <f ca="1">IF($C55&lt;=$H$3,IF((F56+('Summary and Assumptions'!$K$120*7))&gt;$D$3,(F56+('Summary and Assumptions'!$K$120*7)),($D$3+$H$4)),"")</f>
        <v>45317</v>
      </c>
      <c r="I56" s="81">
        <f ca="1">IF($C55&lt;=$H$3,IF((H56+('Summary and Assumptions'!$K$121*7))&gt;$D$3,(H56+('Summary and Assumptions'!$K$121*7)),($D$3+$H$4)),"")</f>
        <v>45849</v>
      </c>
      <c r="J56" s="84">
        <f ca="1">IF($C55&lt;=$H$3,IF((I56+('Summary and Assumptions'!$K$122*7))&gt;$D$3,(I56+('Summary and Assumptions'!$K$122*7)),($D$3+$H$4)),"")</f>
        <v>46297</v>
      </c>
      <c r="K56" s="5"/>
      <c r="L56" s="43">
        <f ca="1">IF($C55&lt;=$H$3,IF((J56+('Summary and Assumptions'!$K$123*7))&gt;$D$3,(J56+('Summary and Assumptions'!$K$123*7)),($D$3+$H$4)),"")</f>
        <v>46297</v>
      </c>
      <c r="O56" s="44"/>
      <c r="P56" s="45"/>
      <c r="Q56" s="46"/>
      <c r="R56" s="45"/>
      <c r="S56" s="45"/>
      <c r="T56" s="45"/>
      <c r="U56" s="45"/>
      <c r="V56" s="45"/>
      <c r="W56" s="47"/>
      <c r="X56" s="40"/>
      <c r="Z56" s="48"/>
      <c r="AA56" s="45"/>
      <c r="AB56" s="46"/>
      <c r="AC56" s="45"/>
      <c r="AD56" s="45"/>
      <c r="AE56" s="45"/>
      <c r="AF56" s="45"/>
      <c r="AG56" s="45"/>
      <c r="AH56" s="47"/>
    </row>
    <row r="57" spans="2:34" ht="15.75" customHeight="1" x14ac:dyDescent="0.2">
      <c r="B57" s="38"/>
      <c r="C57" s="49"/>
      <c r="D57" s="50"/>
      <c r="E57" s="51" t="s">
        <v>21</v>
      </c>
      <c r="F57" s="52">
        <f>IF(C55&lt;=$H$3,'Summary and Assumptions'!$D$101,"")</f>
        <v>1250000</v>
      </c>
      <c r="G57" s="52">
        <f>IF(C55&lt;=$H$3,F57*'Summary and Assumptions'!$K$111*'Summary and Assumptions'!$K$102,"")</f>
        <v>112500</v>
      </c>
      <c r="H57" s="52">
        <f>IF(C55&lt;=$H$3,$F57*'Summary and Assumptions'!$K$112*'Summary and Assumptions'!$K$103,"")</f>
        <v>937500</v>
      </c>
      <c r="I57" s="52">
        <f>IF(C55&lt;=$H$3,$F57*'Summary and Assumptions'!$K$113*'Summary and Assumptions'!$K$104,"")</f>
        <v>750000</v>
      </c>
      <c r="J57" s="53">
        <f>IF(C55&lt;=$H$3,$F57*'Summary and Assumptions'!$K$114*'Summary and Assumptions'!$K$105,"")</f>
        <v>0</v>
      </c>
      <c r="K57" s="54" t="str">
        <f ca="1">IF(AND(J56&lt;=$D$3,J57&gt;0),$J$6,IF(AND(I56&lt;=$D$3,I57&gt;0),$I$6,IF(AND(H56&lt;=$D$3,H57&gt;0),$H$6,IF(AND(G56&lt;=$D$3,G57&gt;0),$G$6,IF(AND(F56&lt;=$D$3,F57&gt;0),$F$6,"0")))))</f>
        <v>0</v>
      </c>
      <c r="L57" s="55">
        <f>IF(C55&lt;=$H$3,SUM($F57:$I57)*(1+'Summary and Assumptions'!$D$103),"")</f>
        <v>0</v>
      </c>
      <c r="O57" s="44"/>
      <c r="P57" s="45"/>
      <c r="Q57" s="46"/>
      <c r="R57" s="45"/>
      <c r="S57" s="45"/>
      <c r="T57" s="45"/>
      <c r="U57" s="45"/>
      <c r="V57" s="45"/>
      <c r="W57" s="47"/>
      <c r="X57" s="40"/>
      <c r="Z57" s="48"/>
      <c r="AA57" s="45"/>
      <c r="AB57" s="46"/>
      <c r="AC57" s="45"/>
      <c r="AD57" s="45"/>
      <c r="AE57" s="45"/>
      <c r="AF57" s="45"/>
      <c r="AG57" s="45"/>
      <c r="AH57" s="47"/>
    </row>
    <row r="58" spans="2:34" ht="15.75" customHeight="1" x14ac:dyDescent="0.2">
      <c r="B58" s="26" t="s">
        <v>18</v>
      </c>
      <c r="C58" s="25">
        <f>C55+1</f>
        <v>18</v>
      </c>
      <c r="D58" s="27" t="str">
        <f>IF(C58&lt;=$H$3,"Company"&amp;" "&amp;C58,"")</f>
        <v>Company 18</v>
      </c>
      <c r="E58" s="28" t="s">
        <v>19</v>
      </c>
      <c r="F58" s="29">
        <f t="shared" ref="F58:J58" ca="1" si="70">IFERROR(IF(F59&gt;0,(DATE(YEAR(F59),((INT((MONTH(F59)-1)/3)+1)*3)+1,1)-1),"-"),"NA")</f>
        <v>44834</v>
      </c>
      <c r="G58" s="29">
        <f t="shared" ca="1" si="70"/>
        <v>45291</v>
      </c>
      <c r="H58" s="29">
        <f t="shared" ca="1" si="70"/>
        <v>45382</v>
      </c>
      <c r="I58" s="29">
        <f t="shared" ca="1" si="70"/>
        <v>45930</v>
      </c>
      <c r="J58" s="30">
        <f t="shared" ca="1" si="70"/>
        <v>46387</v>
      </c>
      <c r="L58" s="31">
        <f ca="1">IFERROR(IF(L59&gt;0,(DATE(YEAR(L59),((INT((MONTH(L59)-1)/3)+1)*3)+1,1)-1),"-"),"")</f>
        <v>46387</v>
      </c>
      <c r="O58" s="32" t="str">
        <f ca="1">IF(F59&lt;=TODAY(),C58,"0")</f>
        <v>0</v>
      </c>
      <c r="P58" s="33" t="str">
        <f ca="1">IF(F59&lt;=TODAY(),D58,"0")</f>
        <v>0</v>
      </c>
      <c r="Q58" s="56" t="str">
        <f ca="1">IF(F59&lt;=TODAY(),F59,"0")</f>
        <v>0</v>
      </c>
      <c r="R58" s="33">
        <f t="shared" ref="R58:V58" ca="1" si="71">IF(F59&lt;=TODAY(),F60,0)</f>
        <v>0</v>
      </c>
      <c r="S58" s="33">
        <f t="shared" ca="1" si="71"/>
        <v>0</v>
      </c>
      <c r="T58" s="33">
        <f t="shared" ca="1" si="71"/>
        <v>0</v>
      </c>
      <c r="U58" s="33">
        <f t="shared" ca="1" si="71"/>
        <v>0</v>
      </c>
      <c r="V58" s="33">
        <f t="shared" ca="1" si="71"/>
        <v>0</v>
      </c>
      <c r="W58" s="35">
        <f ca="1">IF(L59&lt;=TODAY(),L60,0)</f>
        <v>0</v>
      </c>
      <c r="X58" s="36" t="str">
        <f ca="1">IF(K59&lt;=TODAY(),K60,"-")</f>
        <v>0</v>
      </c>
      <c r="Z58" s="37">
        <f t="shared" ref="Z58:AA58" si="72">C58</f>
        <v>18</v>
      </c>
      <c r="AA58" s="33" t="str">
        <f t="shared" si="72"/>
        <v>Company 18</v>
      </c>
      <c r="AB58" s="56">
        <f ca="1">F59</f>
        <v>44827</v>
      </c>
      <c r="AC58" s="33">
        <f t="shared" ref="AC58:AG58" ca="1" si="73">IF(F59&gt;TODAY(),F60,"0")</f>
        <v>1250000</v>
      </c>
      <c r="AD58" s="33">
        <f t="shared" ca="1" si="73"/>
        <v>112500</v>
      </c>
      <c r="AE58" s="33">
        <f t="shared" ca="1" si="73"/>
        <v>937500</v>
      </c>
      <c r="AF58" s="33">
        <f t="shared" ca="1" si="73"/>
        <v>750000</v>
      </c>
      <c r="AG58" s="33">
        <f t="shared" ca="1" si="73"/>
        <v>0</v>
      </c>
      <c r="AH58" s="35">
        <f ca="1">IF(L59&gt;TODAY(),L60,"0")</f>
        <v>0</v>
      </c>
    </row>
    <row r="59" spans="2:34" ht="15.75" customHeight="1" x14ac:dyDescent="0.2">
      <c r="B59" s="38"/>
      <c r="C59" s="25"/>
      <c r="D59" s="39"/>
      <c r="E59" s="40" t="s">
        <v>20</v>
      </c>
      <c r="F59" s="80">
        <f ca="1">IF(C58&lt;=$H$3,IF((F56+('Summary and Assumptions'!$K$118*7))&gt;$D$3,(F56+('Summary and Assumptions'!$K$118*7)),($D$3+$H$4)),"")</f>
        <v>44827</v>
      </c>
      <c r="G59" s="81">
        <f ca="1">IF($C58&lt;=$H$3,IF((F59+('Summary and Assumptions'!$K$119*7))&gt;$D$3,(F59+('Summary and Assumptions'!$K$119*7)),($D$3+$H$4)),"")</f>
        <v>45282</v>
      </c>
      <c r="H59" s="41">
        <f ca="1">IF($C58&lt;=$H$3,IF((F59+('Summary and Assumptions'!$K$120*7))&gt;$D$3,(F59+('Summary and Assumptions'!$K$120*7)),($D$3+$H$4)),"")</f>
        <v>45352</v>
      </c>
      <c r="I59" s="81">
        <f ca="1">IF($C58&lt;=$H$3,IF((H59+('Summary and Assumptions'!$K$121*7))&gt;$D$3,(H59+('Summary and Assumptions'!$K$121*7)),($D$3+$H$4)),"")</f>
        <v>45884</v>
      </c>
      <c r="J59" s="84">
        <f ca="1">IF($C58&lt;=$H$3,IF((I59+('Summary and Assumptions'!$K$122*7))&gt;$D$3,(I59+('Summary and Assumptions'!$K$122*7)),($D$3+$H$4)),"")</f>
        <v>46332</v>
      </c>
      <c r="K59" s="5"/>
      <c r="L59" s="43">
        <f ca="1">IF($C58&lt;=$H$3,IF((J59+('Summary and Assumptions'!$K$123*7))&gt;$D$3,(J59+('Summary and Assumptions'!$K$123*7)),($D$3+$H$4)),"")</f>
        <v>46332</v>
      </c>
      <c r="O59" s="44"/>
      <c r="P59" s="45"/>
      <c r="Q59" s="46"/>
      <c r="R59" s="45"/>
      <c r="S59" s="45"/>
      <c r="T59" s="45"/>
      <c r="U59" s="45"/>
      <c r="V59" s="45"/>
      <c r="W59" s="47"/>
      <c r="X59" s="40"/>
      <c r="Z59" s="48"/>
      <c r="AA59" s="45"/>
      <c r="AB59" s="46"/>
      <c r="AC59" s="45"/>
      <c r="AD59" s="45"/>
      <c r="AE59" s="45"/>
      <c r="AF59" s="45"/>
      <c r="AG59" s="45"/>
      <c r="AH59" s="47"/>
    </row>
    <row r="60" spans="2:34" ht="15.75" customHeight="1" x14ac:dyDescent="0.2">
      <c r="B60" s="38"/>
      <c r="C60" s="49"/>
      <c r="D60" s="50"/>
      <c r="E60" s="51" t="s">
        <v>21</v>
      </c>
      <c r="F60" s="52">
        <f>IF(C58&lt;=$H$3,'Summary and Assumptions'!$D$101,"")</f>
        <v>1250000</v>
      </c>
      <c r="G60" s="52">
        <f>IF(C58&lt;=$H$3,F60*'Summary and Assumptions'!$K$111*'Summary and Assumptions'!$K$102,"")</f>
        <v>112500</v>
      </c>
      <c r="H60" s="52">
        <f>IF(C58&lt;=$H$3,$F60*'Summary and Assumptions'!$K$112*'Summary and Assumptions'!$K$103,"")</f>
        <v>937500</v>
      </c>
      <c r="I60" s="52">
        <f>IF(C58&lt;=$H$3,$F60*'Summary and Assumptions'!$K$113*'Summary and Assumptions'!$K$104,"")</f>
        <v>750000</v>
      </c>
      <c r="J60" s="53">
        <f>IF(C58&lt;=$H$3,$F60*'Summary and Assumptions'!$K$114*'Summary and Assumptions'!$K$105,"")</f>
        <v>0</v>
      </c>
      <c r="K60" s="54" t="str">
        <f ca="1">IF(AND(J59&lt;=$D$3,J60&gt;0),$J$6,IF(AND(I59&lt;=$D$3,I60&gt;0),$I$6,IF(AND(H59&lt;=$D$3,H60&gt;0),$H$6,IF(AND(G59&lt;=$D$3,G60&gt;0),$G$6,IF(AND(F59&lt;=$D$3,F60&gt;0),$F$6,"0")))))</f>
        <v>0</v>
      </c>
      <c r="L60" s="55">
        <f>IF(C58&lt;=$H$3,SUM($F60:$I60)*(1+'Summary and Assumptions'!$D$103),"")</f>
        <v>0</v>
      </c>
      <c r="O60" s="44"/>
      <c r="P60" s="45"/>
      <c r="Q60" s="46"/>
      <c r="R60" s="45"/>
      <c r="S60" s="45"/>
      <c r="T60" s="45"/>
      <c r="U60" s="45"/>
      <c r="V60" s="45"/>
      <c r="W60" s="47"/>
      <c r="X60" s="40"/>
      <c r="Z60" s="48"/>
      <c r="AA60" s="45"/>
      <c r="AB60" s="46"/>
      <c r="AC60" s="45"/>
      <c r="AD60" s="45"/>
      <c r="AE60" s="45"/>
      <c r="AF60" s="45"/>
      <c r="AG60" s="45"/>
      <c r="AH60" s="47"/>
    </row>
    <row r="61" spans="2:34" ht="15.75" customHeight="1" x14ac:dyDescent="0.2">
      <c r="B61" s="26" t="s">
        <v>18</v>
      </c>
      <c r="C61" s="25">
        <f>C58+1</f>
        <v>19</v>
      </c>
      <c r="D61" s="27" t="str">
        <f>IF(C61&lt;=$H$3,"Company"&amp;" "&amp;C61,"")</f>
        <v>Company 19</v>
      </c>
      <c r="E61" s="28" t="s">
        <v>19</v>
      </c>
      <c r="F61" s="29">
        <f t="shared" ref="F61:J61" ca="1" si="74">IFERROR(IF(F62&gt;0,(DATE(YEAR(F62),((INT((MONTH(F62)-1)/3)+1)*3)+1,1)-1),"-"),"NA")</f>
        <v>44926</v>
      </c>
      <c r="G61" s="29">
        <f t="shared" ca="1" si="74"/>
        <v>45382</v>
      </c>
      <c r="H61" s="29">
        <f t="shared" ca="1" si="74"/>
        <v>45473</v>
      </c>
      <c r="I61" s="29">
        <f t="shared" ca="1" si="74"/>
        <v>45930</v>
      </c>
      <c r="J61" s="30">
        <f t="shared" ca="1" si="74"/>
        <v>46387</v>
      </c>
      <c r="L61" s="31">
        <f ca="1">IFERROR(IF(L62&gt;0,(DATE(YEAR(L62),((INT((MONTH(L62)-1)/3)+1)*3)+1,1)-1),"-"),"")</f>
        <v>46387</v>
      </c>
      <c r="O61" s="32" t="str">
        <f ca="1">IF(F62&lt;=TODAY(),C61,"0")</f>
        <v>0</v>
      </c>
      <c r="P61" s="33" t="str">
        <f ca="1">IF(F62&lt;=TODAY(),D61,"0")</f>
        <v>0</v>
      </c>
      <c r="Q61" s="56" t="str">
        <f ca="1">IF(F62&lt;=TODAY(),F62,"0")</f>
        <v>0</v>
      </c>
      <c r="R61" s="33">
        <f t="shared" ref="R61:V61" ca="1" si="75">IF(F62&lt;=TODAY(),F63,0)</f>
        <v>0</v>
      </c>
      <c r="S61" s="33">
        <f t="shared" ca="1" si="75"/>
        <v>0</v>
      </c>
      <c r="T61" s="33">
        <f t="shared" ca="1" si="75"/>
        <v>0</v>
      </c>
      <c r="U61" s="33">
        <f t="shared" ca="1" si="75"/>
        <v>0</v>
      </c>
      <c r="V61" s="33">
        <f t="shared" ca="1" si="75"/>
        <v>0</v>
      </c>
      <c r="W61" s="35">
        <f ca="1">IF(L62&lt;=TODAY(),L63,0)</f>
        <v>0</v>
      </c>
      <c r="X61" s="36" t="str">
        <f ca="1">IF(K62&lt;=TODAY(),K63,"-")</f>
        <v>0</v>
      </c>
      <c r="Z61" s="37">
        <f t="shared" ref="Z61:AA61" si="76">C61</f>
        <v>19</v>
      </c>
      <c r="AA61" s="33" t="str">
        <f t="shared" si="76"/>
        <v>Company 19</v>
      </c>
      <c r="AB61" s="56">
        <f ca="1">F62</f>
        <v>44862</v>
      </c>
      <c r="AC61" s="33">
        <f t="shared" ref="AC61:AG61" ca="1" si="77">IF(F62&gt;TODAY(),F63,"0")</f>
        <v>1250000</v>
      </c>
      <c r="AD61" s="33">
        <f t="shared" ca="1" si="77"/>
        <v>112500</v>
      </c>
      <c r="AE61" s="33">
        <f t="shared" ca="1" si="77"/>
        <v>937500</v>
      </c>
      <c r="AF61" s="33">
        <f t="shared" ca="1" si="77"/>
        <v>750000</v>
      </c>
      <c r="AG61" s="33">
        <f t="shared" ca="1" si="77"/>
        <v>0</v>
      </c>
      <c r="AH61" s="35">
        <f ca="1">IF(L62&gt;TODAY(),L63,"0")</f>
        <v>0</v>
      </c>
    </row>
    <row r="62" spans="2:34" ht="15.75" customHeight="1" x14ac:dyDescent="0.2">
      <c r="B62" s="38"/>
      <c r="C62" s="25"/>
      <c r="D62" s="39"/>
      <c r="E62" s="40" t="s">
        <v>20</v>
      </c>
      <c r="F62" s="80">
        <f ca="1">IF(C61&lt;=$H$3,IF((F59+('Summary and Assumptions'!$K$118*7))&gt;$D$3,(F59+('Summary and Assumptions'!$K$118*7)),($D$3+$H$4)),"")</f>
        <v>44862</v>
      </c>
      <c r="G62" s="81">
        <f ca="1">IF($C61&lt;=$H$3,IF((F62+('Summary and Assumptions'!$K$119*7))&gt;$D$3,(F62+('Summary and Assumptions'!$K$119*7)),($D$3+$H$4)),"")</f>
        <v>45317</v>
      </c>
      <c r="H62" s="41">
        <f ca="1">IF($C61&lt;=$H$3,IF((F62+('Summary and Assumptions'!$K$120*7))&gt;$D$3,(F62+('Summary and Assumptions'!$K$120*7)),($D$3+$H$4)),"")</f>
        <v>45387</v>
      </c>
      <c r="I62" s="81">
        <f ca="1">IF($C61&lt;=$H$3,IF((H62+('Summary and Assumptions'!$K$121*7))&gt;$D$3,(H62+('Summary and Assumptions'!$K$121*7)),($D$3+$H$4)),"")</f>
        <v>45919</v>
      </c>
      <c r="J62" s="84">
        <f ca="1">IF($C61&lt;=$H$3,IF((I62+('Summary and Assumptions'!$K$122*7))&gt;$D$3,(I62+('Summary and Assumptions'!$K$122*7)),($D$3+$H$4)),"")</f>
        <v>46367</v>
      </c>
      <c r="K62" s="5"/>
      <c r="L62" s="43">
        <f ca="1">IF($C61&lt;=$H$3,IF((J62+('Summary and Assumptions'!$K$123*7))&gt;$D$3,(J62+('Summary and Assumptions'!$K$123*7)),($D$3+$H$4)),"")</f>
        <v>46367</v>
      </c>
      <c r="O62" s="44"/>
      <c r="P62" s="45"/>
      <c r="Q62" s="46"/>
      <c r="R62" s="45"/>
      <c r="S62" s="45"/>
      <c r="T62" s="45"/>
      <c r="U62" s="45"/>
      <c r="V62" s="45"/>
      <c r="W62" s="47"/>
      <c r="X62" s="40"/>
      <c r="Z62" s="48"/>
      <c r="AA62" s="45"/>
      <c r="AB62" s="46"/>
      <c r="AC62" s="45"/>
      <c r="AD62" s="45"/>
      <c r="AE62" s="45"/>
      <c r="AF62" s="45"/>
      <c r="AG62" s="45"/>
      <c r="AH62" s="47"/>
    </row>
    <row r="63" spans="2:34" ht="15.75" customHeight="1" x14ac:dyDescent="0.2">
      <c r="B63" s="38"/>
      <c r="C63" s="49"/>
      <c r="D63" s="50"/>
      <c r="E63" s="51" t="s">
        <v>21</v>
      </c>
      <c r="F63" s="52">
        <f>IF(C61&lt;=$H$3,'Summary and Assumptions'!$D$101,"")</f>
        <v>1250000</v>
      </c>
      <c r="G63" s="52">
        <f>IF(C61&lt;=$H$3,F63*'Summary and Assumptions'!$K$111*'Summary and Assumptions'!$K$102,"")</f>
        <v>112500</v>
      </c>
      <c r="H63" s="52">
        <f>IF(C61&lt;=$H$3,$F63*'Summary and Assumptions'!$K$112*'Summary and Assumptions'!$K$103,"")</f>
        <v>937500</v>
      </c>
      <c r="I63" s="52">
        <f>IF(C61&lt;=$H$3,$F63*'Summary and Assumptions'!$K$113*'Summary and Assumptions'!$K$104,"")</f>
        <v>750000</v>
      </c>
      <c r="J63" s="53">
        <f>IF(C61&lt;=$H$3,$F63*'Summary and Assumptions'!$K$114*'Summary and Assumptions'!$K$105,"")</f>
        <v>0</v>
      </c>
      <c r="K63" s="54" t="str">
        <f ca="1">IF(AND(J62&lt;=$D$3,J63&gt;0),$J$6,IF(AND(I62&lt;=$D$3,I63&gt;0),$I$6,IF(AND(H62&lt;=$D$3,H63&gt;0),$H$6,IF(AND(G62&lt;=$D$3,G63&gt;0),$G$6,IF(AND(F62&lt;=$D$3,F63&gt;0),$F$6,"0")))))</f>
        <v>0</v>
      </c>
      <c r="L63" s="55">
        <f>IF(C61&lt;=$H$3,SUM($F63:$I63)*(1+'Summary and Assumptions'!$D$103),"")</f>
        <v>0</v>
      </c>
      <c r="O63" s="44"/>
      <c r="P63" s="45"/>
      <c r="Q63" s="46"/>
      <c r="R63" s="45"/>
      <c r="S63" s="45"/>
      <c r="T63" s="45"/>
      <c r="U63" s="45"/>
      <c r="V63" s="45"/>
      <c r="W63" s="47"/>
      <c r="X63" s="40"/>
      <c r="Z63" s="48"/>
      <c r="AA63" s="45"/>
      <c r="AB63" s="46"/>
      <c r="AC63" s="45"/>
      <c r="AD63" s="45"/>
      <c r="AE63" s="45"/>
      <c r="AF63" s="45"/>
      <c r="AG63" s="45"/>
      <c r="AH63" s="47"/>
    </row>
    <row r="64" spans="2:34" ht="15.75" customHeight="1" x14ac:dyDescent="0.2">
      <c r="B64" s="26" t="s">
        <v>18</v>
      </c>
      <c r="C64" s="25">
        <f>C61+1</f>
        <v>20</v>
      </c>
      <c r="D64" s="27" t="str">
        <f>IF(C64&lt;=$H$3,"Company"&amp;" "&amp;C64,"")</f>
        <v>Company 20</v>
      </c>
      <c r="E64" s="28" t="s">
        <v>19</v>
      </c>
      <c r="F64" s="29">
        <f t="shared" ref="F64:J64" ca="1" si="78">IFERROR(IF(F65&gt;0,(DATE(YEAR(F65),((INT((MONTH(F65)-1)/3)+1)*3)+1,1)-1),"-"),"NA")</f>
        <v>44926</v>
      </c>
      <c r="G64" s="29">
        <f t="shared" ca="1" si="78"/>
        <v>45382</v>
      </c>
      <c r="H64" s="29">
        <f t="shared" ca="1" si="78"/>
        <v>45473</v>
      </c>
      <c r="I64" s="29">
        <f t="shared" ca="1" si="78"/>
        <v>46022</v>
      </c>
      <c r="J64" s="30">
        <f t="shared" ca="1" si="78"/>
        <v>46477</v>
      </c>
      <c r="L64" s="31">
        <f ca="1">IFERROR(IF(L65&gt;0,(DATE(YEAR(L65),((INT((MONTH(L65)-1)/3)+1)*3)+1,1)-1),"-"),"")</f>
        <v>46477</v>
      </c>
      <c r="O64" s="32" t="str">
        <f ca="1">IF(F65&lt;=TODAY(),C64,"0")</f>
        <v>0</v>
      </c>
      <c r="P64" s="33" t="str">
        <f ca="1">IF(F65&lt;=TODAY(),D64,"0")</f>
        <v>0</v>
      </c>
      <c r="Q64" s="56" t="str">
        <f ca="1">IF(F65&lt;=TODAY(),F65,"0")</f>
        <v>0</v>
      </c>
      <c r="R64" s="33">
        <f t="shared" ref="R64:V64" ca="1" si="79">IF(F65&lt;=TODAY(),F66,0)</f>
        <v>0</v>
      </c>
      <c r="S64" s="33">
        <f t="shared" ca="1" si="79"/>
        <v>0</v>
      </c>
      <c r="T64" s="33">
        <f t="shared" ca="1" si="79"/>
        <v>0</v>
      </c>
      <c r="U64" s="33">
        <f t="shared" ca="1" si="79"/>
        <v>0</v>
      </c>
      <c r="V64" s="33">
        <f t="shared" ca="1" si="79"/>
        <v>0</v>
      </c>
      <c r="W64" s="35">
        <f ca="1">IF(L65&lt;=TODAY(),L66,0)</f>
        <v>0</v>
      </c>
      <c r="X64" s="36" t="str">
        <f ca="1">IF(K65&lt;=TODAY(),K66,"-")</f>
        <v>0</v>
      </c>
      <c r="Z64" s="37">
        <f t="shared" ref="Z64:AA64" si="80">C64</f>
        <v>20</v>
      </c>
      <c r="AA64" s="33" t="str">
        <f t="shared" si="80"/>
        <v>Company 20</v>
      </c>
      <c r="AB64" s="56">
        <f ca="1">F65</f>
        <v>44897</v>
      </c>
      <c r="AC64" s="33">
        <f t="shared" ref="AC64:AG64" ca="1" si="81">IF(F65&gt;TODAY(),F66,"0")</f>
        <v>1250000</v>
      </c>
      <c r="AD64" s="33">
        <f t="shared" ca="1" si="81"/>
        <v>112500</v>
      </c>
      <c r="AE64" s="33">
        <f t="shared" ca="1" si="81"/>
        <v>937500</v>
      </c>
      <c r="AF64" s="33">
        <f t="shared" ca="1" si="81"/>
        <v>750000</v>
      </c>
      <c r="AG64" s="33">
        <f t="shared" ca="1" si="81"/>
        <v>0</v>
      </c>
      <c r="AH64" s="35">
        <f ca="1">IF(L65&gt;TODAY(),L66,"0")</f>
        <v>0</v>
      </c>
    </row>
    <row r="65" spans="2:34" ht="15.75" customHeight="1" x14ac:dyDescent="0.2">
      <c r="B65" s="38"/>
      <c r="C65" s="25"/>
      <c r="D65" s="39"/>
      <c r="E65" s="40" t="s">
        <v>20</v>
      </c>
      <c r="F65" s="80">
        <f ca="1">IF(C64&lt;=$H$3,IF((F62+('Summary and Assumptions'!$K$118*7))&gt;$D$3,(F62+('Summary and Assumptions'!$K$118*7)),($D$3+$H$4)),"")</f>
        <v>44897</v>
      </c>
      <c r="G65" s="81">
        <f ca="1">IF($C64&lt;=$H$3,IF((F65+('Summary and Assumptions'!$K$119*7))&gt;$D$3,(F65+('Summary and Assumptions'!$K$119*7)),($D$3+$H$4)),"")</f>
        <v>45352</v>
      </c>
      <c r="H65" s="41">
        <f ca="1">IF($C64&lt;=$H$3,IF((F65+('Summary and Assumptions'!$K$120*7))&gt;$D$3,(F65+('Summary and Assumptions'!$K$120*7)),($D$3+$H$4)),"")</f>
        <v>45422</v>
      </c>
      <c r="I65" s="81">
        <f ca="1">IF($C64&lt;=$H$3,IF((H65+('Summary and Assumptions'!$K$121*7))&gt;$D$3,(H65+('Summary and Assumptions'!$K$121*7)),($D$3+$H$4)),"")</f>
        <v>45954</v>
      </c>
      <c r="J65" s="84">
        <f ca="1">IF($C64&lt;=$H$3,IF((I65+('Summary and Assumptions'!$K$122*7))&gt;$D$3,(I65+('Summary and Assumptions'!$K$122*7)),($D$3+$H$4)),"")</f>
        <v>46402</v>
      </c>
      <c r="K65" s="5"/>
      <c r="L65" s="43">
        <f ca="1">IF($C64&lt;=$H$3,IF((J65+('Summary and Assumptions'!$K$123*7))&gt;$D$3,(J65+('Summary and Assumptions'!$K$123*7)),($D$3+$H$4)),"")</f>
        <v>46402</v>
      </c>
      <c r="O65" s="44"/>
      <c r="P65" s="45"/>
      <c r="Q65" s="46"/>
      <c r="R65" s="45"/>
      <c r="S65" s="45"/>
      <c r="T65" s="45"/>
      <c r="U65" s="45"/>
      <c r="V65" s="45"/>
      <c r="W65" s="47"/>
      <c r="X65" s="40"/>
      <c r="Z65" s="48"/>
      <c r="AA65" s="45"/>
      <c r="AB65" s="46"/>
      <c r="AC65" s="45"/>
      <c r="AD65" s="45"/>
      <c r="AE65" s="45"/>
      <c r="AF65" s="45"/>
      <c r="AG65" s="45"/>
      <c r="AH65" s="47"/>
    </row>
    <row r="66" spans="2:34" ht="15.75" customHeight="1" x14ac:dyDescent="0.2">
      <c r="B66" s="38"/>
      <c r="C66" s="49"/>
      <c r="D66" s="50"/>
      <c r="E66" s="51" t="s">
        <v>21</v>
      </c>
      <c r="F66" s="52">
        <f>IF(C64&lt;=$H$3,'Summary and Assumptions'!$D$101,"")</f>
        <v>1250000</v>
      </c>
      <c r="G66" s="52">
        <f>IF(C64&lt;=$H$3,F66*'Summary and Assumptions'!$K$111*'Summary and Assumptions'!$K$102,"")</f>
        <v>112500</v>
      </c>
      <c r="H66" s="52">
        <f>IF(C64&lt;=$H$3,$F66*'Summary and Assumptions'!$K$112*'Summary and Assumptions'!$K$103,"")</f>
        <v>937500</v>
      </c>
      <c r="I66" s="52">
        <f>IF(C64&lt;=$H$3,$F66*'Summary and Assumptions'!$K$113*'Summary and Assumptions'!$K$104,"")</f>
        <v>750000</v>
      </c>
      <c r="J66" s="53">
        <f>IF(C64&lt;=$H$3,$F66*'Summary and Assumptions'!$K$114*'Summary and Assumptions'!$K$105,"")</f>
        <v>0</v>
      </c>
      <c r="K66" s="54" t="str">
        <f ca="1">IF(AND(J65&lt;=$D$3,J66&gt;0),$J$6,IF(AND(I65&lt;=$D$3,I66&gt;0),$I$6,IF(AND(H65&lt;=$D$3,H66&gt;0),$H$6,IF(AND(G65&lt;=$D$3,G66&gt;0),$G$6,IF(AND(F65&lt;=$D$3,F66&gt;0),$F$6,"0")))))</f>
        <v>0</v>
      </c>
      <c r="L66" s="55">
        <f>IF(C64&lt;=$H$3,SUM($F66:$I66)*(1+'Summary and Assumptions'!$D$103),"")</f>
        <v>0</v>
      </c>
      <c r="O66" s="44"/>
      <c r="P66" s="45"/>
      <c r="Q66" s="46"/>
      <c r="R66" s="45"/>
      <c r="S66" s="45"/>
      <c r="T66" s="45"/>
      <c r="U66" s="45"/>
      <c r="V66" s="45"/>
      <c r="W66" s="47"/>
      <c r="X66" s="40"/>
      <c r="Z66" s="48"/>
      <c r="AA66" s="45"/>
      <c r="AB66" s="46"/>
      <c r="AC66" s="45"/>
      <c r="AD66" s="45"/>
      <c r="AE66" s="45"/>
      <c r="AF66" s="45"/>
      <c r="AG66" s="45"/>
      <c r="AH66" s="47"/>
    </row>
    <row r="67" spans="2:34" ht="15.75" customHeight="1" x14ac:dyDescent="0.2">
      <c r="B67" s="26" t="s">
        <v>18</v>
      </c>
      <c r="C67" s="25">
        <f>C64+1</f>
        <v>21</v>
      </c>
      <c r="D67" s="27" t="str">
        <f>IF(C67&lt;=$H$3,"Company"&amp;" "&amp;C67,"")</f>
        <v>Company 21</v>
      </c>
      <c r="E67" s="28" t="s">
        <v>19</v>
      </c>
      <c r="F67" s="29">
        <f t="shared" ref="F67:J67" ca="1" si="82">IFERROR(IF(F68&gt;0,(DATE(YEAR(F68),((INT((MONTH(F68)-1)/3)+1)*3)+1,1)-1),"-"),"NA")</f>
        <v>45016</v>
      </c>
      <c r="G67" s="29">
        <f t="shared" ca="1" si="82"/>
        <v>45473</v>
      </c>
      <c r="H67" s="29">
        <f t="shared" ca="1" si="82"/>
        <v>45473</v>
      </c>
      <c r="I67" s="29">
        <f t="shared" ca="1" si="82"/>
        <v>46022</v>
      </c>
      <c r="J67" s="30">
        <f t="shared" ca="1" si="82"/>
        <v>46477</v>
      </c>
      <c r="L67" s="31">
        <f ca="1">IFERROR(IF(L68&gt;0,(DATE(YEAR(L68),((INT((MONTH(L68)-1)/3)+1)*3)+1,1)-1),"-"),"")</f>
        <v>46477</v>
      </c>
      <c r="O67" s="32" t="str">
        <f ca="1">IF(F68&lt;=TODAY(),C67,"0")</f>
        <v>0</v>
      </c>
      <c r="P67" s="33" t="str">
        <f ca="1">IF(F68&lt;=TODAY(),D67,"0")</f>
        <v>0</v>
      </c>
      <c r="Q67" s="56" t="str">
        <f ca="1">IF(F68&lt;=TODAY(),F68,"0")</f>
        <v>0</v>
      </c>
      <c r="R67" s="33">
        <f t="shared" ref="R67:V67" ca="1" si="83">IF(F68&lt;=TODAY(),F69,0)</f>
        <v>0</v>
      </c>
      <c r="S67" s="33">
        <f t="shared" ca="1" si="83"/>
        <v>0</v>
      </c>
      <c r="T67" s="33">
        <f t="shared" ca="1" si="83"/>
        <v>0</v>
      </c>
      <c r="U67" s="33">
        <f t="shared" ca="1" si="83"/>
        <v>0</v>
      </c>
      <c r="V67" s="33">
        <f t="shared" ca="1" si="83"/>
        <v>0</v>
      </c>
      <c r="W67" s="35">
        <f ca="1">IF(L68&lt;=TODAY(),L69,0)</f>
        <v>0</v>
      </c>
      <c r="X67" s="36" t="str">
        <f ca="1">IF(K68&lt;=TODAY(),K69,"-")</f>
        <v>0</v>
      </c>
      <c r="Z67" s="37">
        <f ca="1">IF(F68&gt;TODAY(),C67,"0")</f>
        <v>21</v>
      </c>
      <c r="AA67" s="33" t="str">
        <f ca="1">IF(F68&gt;TODAY(),D67,"0")</f>
        <v>Company 21</v>
      </c>
      <c r="AB67" s="56">
        <f ca="1">IF(F68&gt;TODAY(),F68,"0")</f>
        <v>44932</v>
      </c>
      <c r="AC67" s="33">
        <f t="shared" ref="AC67:AG67" ca="1" si="84">IF(F68&gt;TODAY(),F69,"0")</f>
        <v>1250000</v>
      </c>
      <c r="AD67" s="33">
        <f t="shared" ca="1" si="84"/>
        <v>112500</v>
      </c>
      <c r="AE67" s="33">
        <f t="shared" ca="1" si="84"/>
        <v>937500</v>
      </c>
      <c r="AF67" s="33">
        <f t="shared" ca="1" si="84"/>
        <v>750000</v>
      </c>
      <c r="AG67" s="33">
        <f t="shared" ca="1" si="84"/>
        <v>0</v>
      </c>
      <c r="AH67" s="35">
        <f ca="1">IF(L68&gt;TODAY(),L69,"0")</f>
        <v>0</v>
      </c>
    </row>
    <row r="68" spans="2:34" ht="15.75" customHeight="1" x14ac:dyDescent="0.2">
      <c r="B68" s="38"/>
      <c r="C68" s="25"/>
      <c r="D68" s="39"/>
      <c r="E68" s="40" t="s">
        <v>20</v>
      </c>
      <c r="F68" s="80">
        <f ca="1">IF(C67&lt;=$H$3,IF((F65+('Summary and Assumptions'!$K$118*7))&gt;$D$3,(F65+('Summary and Assumptions'!$K$118*7)),($D$3+$H$4)),"")</f>
        <v>44932</v>
      </c>
      <c r="G68" s="81">
        <f ca="1">IF($C67&lt;=$H$3,IF((F68+('Summary and Assumptions'!$K$119*7))&gt;$D$3,(F68+('Summary and Assumptions'!$K$119*7)),($D$3+$H$4)),"")</f>
        <v>45387</v>
      </c>
      <c r="H68" s="41">
        <f ca="1">IF($C67&lt;=$H$3,IF((F68+('Summary and Assumptions'!$K$120*7))&gt;$D$3,(F68+('Summary and Assumptions'!$K$120*7)),($D$3+$H$4)),"")</f>
        <v>45457</v>
      </c>
      <c r="I68" s="81">
        <f ca="1">IF($C67&lt;=$H$3,IF((H68+('Summary and Assumptions'!$K$121*7))&gt;$D$3,(H68+('Summary and Assumptions'!$K$121*7)),($D$3+$H$4)),"")</f>
        <v>45989</v>
      </c>
      <c r="J68" s="84">
        <f ca="1">IF($C67&lt;=$H$3,IF((I68+('Summary and Assumptions'!$K$122*7))&gt;$D$3,(I68+('Summary and Assumptions'!$K$122*7)),($D$3+$H$4)),"")</f>
        <v>46437</v>
      </c>
      <c r="K68" s="5"/>
      <c r="L68" s="43">
        <f ca="1">IF($C67&lt;=$H$3,IF((J68+('Summary and Assumptions'!$K$123*7))&gt;$D$3,(J68+('Summary and Assumptions'!$K$123*7)),($D$3+$H$4)),"")</f>
        <v>46437</v>
      </c>
      <c r="O68" s="44"/>
      <c r="P68" s="45"/>
      <c r="Q68" s="46"/>
      <c r="R68" s="45"/>
      <c r="S68" s="45"/>
      <c r="T68" s="45"/>
      <c r="U68" s="45"/>
      <c r="V68" s="45"/>
      <c r="W68" s="47"/>
      <c r="X68" s="40"/>
      <c r="Z68" s="48"/>
      <c r="AA68" s="45"/>
      <c r="AB68" s="46"/>
      <c r="AC68" s="45"/>
      <c r="AD68" s="45"/>
      <c r="AE68" s="45"/>
      <c r="AF68" s="45"/>
      <c r="AG68" s="45"/>
      <c r="AH68" s="47"/>
    </row>
    <row r="69" spans="2:34" ht="15.75" customHeight="1" x14ac:dyDescent="0.2">
      <c r="B69" s="38"/>
      <c r="C69" s="49"/>
      <c r="D69" s="50"/>
      <c r="E69" s="51" t="s">
        <v>21</v>
      </c>
      <c r="F69" s="52">
        <f>IF(C67&lt;=$H$3,'Summary and Assumptions'!$D$101,"")</f>
        <v>1250000</v>
      </c>
      <c r="G69" s="52">
        <f>IF(C67&lt;=$H$3,F69*'Summary and Assumptions'!$K$111*'Summary and Assumptions'!$K$102,"")</f>
        <v>112500</v>
      </c>
      <c r="H69" s="52">
        <f>IF(C67&lt;=$H$3,$F69*'Summary and Assumptions'!$K$112*'Summary and Assumptions'!$K$103,"")</f>
        <v>937500</v>
      </c>
      <c r="I69" s="52">
        <f>IF(C67&lt;=$H$3,$F69*'Summary and Assumptions'!$K$113*'Summary and Assumptions'!$K$104,"")</f>
        <v>750000</v>
      </c>
      <c r="J69" s="53">
        <f>IF(C67&lt;=$H$3,$F69*'Summary and Assumptions'!$K$114*'Summary and Assumptions'!$K$105,"")</f>
        <v>0</v>
      </c>
      <c r="K69" s="54" t="str">
        <f ca="1">IF(AND(J68&lt;=$D$3,J69&gt;0),$J$6,IF(AND(I68&lt;=$D$3,I69&gt;0),$I$6,IF(AND(H68&lt;=$D$3,H69&gt;0),$H$6,IF(AND(G68&lt;=$D$3,G69&gt;0),$G$6,IF(AND(F68&lt;=$D$3,F69&gt;0),$F$6,"0")))))</f>
        <v>0</v>
      </c>
      <c r="L69" s="55">
        <f>IF(C67&lt;=$H$3,SUM($F69:$I69)*(1+'Summary and Assumptions'!$D$103),"")</f>
        <v>0</v>
      </c>
      <c r="O69" s="44"/>
      <c r="P69" s="45"/>
      <c r="Q69" s="46"/>
      <c r="R69" s="45"/>
      <c r="S69" s="45"/>
      <c r="T69" s="45"/>
      <c r="U69" s="45"/>
      <c r="V69" s="45"/>
      <c r="W69" s="47"/>
      <c r="X69" s="40"/>
      <c r="Z69" s="48"/>
      <c r="AA69" s="45"/>
      <c r="AB69" s="46"/>
      <c r="AC69" s="45"/>
      <c r="AD69" s="45"/>
      <c r="AE69" s="45"/>
      <c r="AF69" s="45"/>
      <c r="AG69" s="45"/>
      <c r="AH69" s="47"/>
    </row>
    <row r="70" spans="2:34" ht="15.75" customHeight="1" x14ac:dyDescent="0.2">
      <c r="B70" s="26" t="s">
        <v>18</v>
      </c>
      <c r="C70" s="25">
        <f>C67+1</f>
        <v>22</v>
      </c>
      <c r="D70" s="27" t="str">
        <f>IF(C70&lt;=$H$3,"Company"&amp;" "&amp;C70,"")</f>
        <v>Company 22</v>
      </c>
      <c r="E70" s="28" t="s">
        <v>19</v>
      </c>
      <c r="F70" s="29">
        <f t="shared" ref="F70:J70" ca="1" si="85">IFERROR(IF(F71&gt;0,(DATE(YEAR(F71),((INT((MONTH(F71)-1)/3)+1)*3)+1,1)-1),"-"),"NA")</f>
        <v>45016</v>
      </c>
      <c r="G70" s="29">
        <f t="shared" ca="1" si="85"/>
        <v>45473</v>
      </c>
      <c r="H70" s="29">
        <f t="shared" ca="1" si="85"/>
        <v>45565</v>
      </c>
      <c r="I70" s="29">
        <f t="shared" ca="1" si="85"/>
        <v>46112</v>
      </c>
      <c r="J70" s="30">
        <f t="shared" ca="1" si="85"/>
        <v>46477</v>
      </c>
      <c r="L70" s="31">
        <f ca="1">IFERROR(IF(L71&gt;0,(DATE(YEAR(L71),((INT((MONTH(L71)-1)/3)+1)*3)+1,1)-1),"-"),"")</f>
        <v>46477</v>
      </c>
      <c r="O70" s="32" t="str">
        <f ca="1">IF(F71&lt;=TODAY(),C70,"0")</f>
        <v>0</v>
      </c>
      <c r="P70" s="33" t="str">
        <f ca="1">IF(F71&lt;=TODAY(),D70,"0")</f>
        <v>0</v>
      </c>
      <c r="Q70" s="56" t="str">
        <f ca="1">IF(F71&lt;=TODAY(),F71,"0")</f>
        <v>0</v>
      </c>
      <c r="R70" s="33">
        <f t="shared" ref="R70:V70" ca="1" si="86">IF(F71&lt;=TODAY(),F72,0)</f>
        <v>0</v>
      </c>
      <c r="S70" s="33">
        <f t="shared" ca="1" si="86"/>
        <v>0</v>
      </c>
      <c r="T70" s="33">
        <f t="shared" ca="1" si="86"/>
        <v>0</v>
      </c>
      <c r="U70" s="33">
        <f t="shared" ca="1" si="86"/>
        <v>0</v>
      </c>
      <c r="V70" s="33">
        <f t="shared" ca="1" si="86"/>
        <v>0</v>
      </c>
      <c r="W70" s="35">
        <f ca="1">IF(L71&lt;=TODAY(),L72,0)</f>
        <v>0</v>
      </c>
      <c r="X70" s="36" t="str">
        <f ca="1">IF(K71&lt;=TODAY(),K72,"-")</f>
        <v>0</v>
      </c>
      <c r="Z70" s="37">
        <f ca="1">IF(F71&gt;TODAY(),C70,"0")</f>
        <v>22</v>
      </c>
      <c r="AA70" s="33" t="str">
        <f ca="1">IF(F71&gt;TODAY(),D70,"0")</f>
        <v>Company 22</v>
      </c>
      <c r="AB70" s="56">
        <f ca="1">IF(F71&gt;TODAY(),F71,"0")</f>
        <v>44967</v>
      </c>
      <c r="AC70" s="33">
        <f t="shared" ref="AC70:AG70" ca="1" si="87">IF(F71&gt;TODAY(),F72,"0")</f>
        <v>1250000</v>
      </c>
      <c r="AD70" s="33">
        <f t="shared" ca="1" si="87"/>
        <v>112500</v>
      </c>
      <c r="AE70" s="33">
        <f t="shared" ca="1" si="87"/>
        <v>937500</v>
      </c>
      <c r="AF70" s="33">
        <f t="shared" ca="1" si="87"/>
        <v>750000</v>
      </c>
      <c r="AG70" s="33">
        <f t="shared" ca="1" si="87"/>
        <v>0</v>
      </c>
      <c r="AH70" s="35">
        <f ca="1">IF(L71&gt;TODAY(),L72,"0")</f>
        <v>0</v>
      </c>
    </row>
    <row r="71" spans="2:34" ht="15.75" customHeight="1" x14ac:dyDescent="0.2">
      <c r="B71" s="38"/>
      <c r="C71" s="25"/>
      <c r="D71" s="39"/>
      <c r="E71" s="40" t="s">
        <v>20</v>
      </c>
      <c r="F71" s="80">
        <f ca="1">IF(C70&lt;=$H$3,IF((F68+('Summary and Assumptions'!$K$118*7))&gt;$D$3,(F68+('Summary and Assumptions'!$K$118*7)),($D$3+$H$4)),"")</f>
        <v>44967</v>
      </c>
      <c r="G71" s="81">
        <f ca="1">IF($C70&lt;=$H$3,IF((F71+('Summary and Assumptions'!$K$119*7))&gt;$D$3,(F71+('Summary and Assumptions'!$K$119*7)),($D$3+$H$4)),"")</f>
        <v>45422</v>
      </c>
      <c r="H71" s="41">
        <f ca="1">IF($C70&lt;=$H$3,IF((F71+('Summary and Assumptions'!$K$120*7))&gt;$D$3,(F71+('Summary and Assumptions'!$K$120*7)),($D$3+$H$4)),"")</f>
        <v>45492</v>
      </c>
      <c r="I71" s="81">
        <f ca="1">IF($C70&lt;=$H$3,IF((H71+('Summary and Assumptions'!$K$121*7))&gt;$D$3,(H71+('Summary and Assumptions'!$K$121*7)),($D$3+$H$4)),"")</f>
        <v>46024</v>
      </c>
      <c r="J71" s="84">
        <f ca="1">IF($C70&lt;=$H$3,IF((I71+('Summary and Assumptions'!$K$122*7))&gt;$D$3,(I71+('Summary and Assumptions'!$K$122*7)),($D$3+$H$4)),"")</f>
        <v>46472</v>
      </c>
      <c r="K71" s="5"/>
      <c r="L71" s="43">
        <f ca="1">IF($C70&lt;=$H$3,IF((J71+('Summary and Assumptions'!$K$123*7))&gt;$D$3,(J71+('Summary and Assumptions'!$K$123*7)),($D$3+$H$4)),"")</f>
        <v>46472</v>
      </c>
      <c r="O71" s="44"/>
      <c r="P71" s="45"/>
      <c r="Q71" s="46"/>
      <c r="R71" s="45"/>
      <c r="S71" s="45"/>
      <c r="T71" s="45"/>
      <c r="U71" s="45"/>
      <c r="V71" s="45"/>
      <c r="W71" s="47"/>
      <c r="X71" s="40"/>
      <c r="Z71" s="48"/>
      <c r="AA71" s="45"/>
      <c r="AB71" s="46"/>
      <c r="AC71" s="45"/>
      <c r="AD71" s="45"/>
      <c r="AE71" s="45"/>
      <c r="AF71" s="45"/>
      <c r="AG71" s="45"/>
      <c r="AH71" s="47"/>
    </row>
    <row r="72" spans="2:34" ht="15.75" customHeight="1" x14ac:dyDescent="0.2">
      <c r="B72" s="38"/>
      <c r="C72" s="49"/>
      <c r="D72" s="50"/>
      <c r="E72" s="51" t="s">
        <v>21</v>
      </c>
      <c r="F72" s="52">
        <f>IF(C70&lt;=$H$3,'Summary and Assumptions'!$D$101,"")</f>
        <v>1250000</v>
      </c>
      <c r="G72" s="52">
        <f>IF(C70&lt;=$H$3,F72*'Summary and Assumptions'!$K$111*'Summary and Assumptions'!$K$102,"")</f>
        <v>112500</v>
      </c>
      <c r="H72" s="52">
        <f>IF(C70&lt;=$H$3,$F72*'Summary and Assumptions'!$K$112*'Summary and Assumptions'!$K$103,"")</f>
        <v>937500</v>
      </c>
      <c r="I72" s="52">
        <f>IF(C70&lt;=$H$3,$F72*'Summary and Assumptions'!$K$113*'Summary and Assumptions'!$K$104,"")</f>
        <v>750000</v>
      </c>
      <c r="J72" s="53">
        <f>IF(C70&lt;=$H$3,$F72*'Summary and Assumptions'!$K$114*'Summary and Assumptions'!$K$105,"")</f>
        <v>0</v>
      </c>
      <c r="K72" s="54" t="str">
        <f ca="1">IF(AND(J71&lt;=$D$3,J72&gt;0),$J$6,IF(AND(I71&lt;=$D$3,I72&gt;0),$I$6,IF(AND(H71&lt;=$D$3,H72&gt;0),$H$6,IF(AND(G71&lt;=$D$3,G72&gt;0),$G$6,IF(AND(F71&lt;=$D$3,F72&gt;0),$F$6,"0")))))</f>
        <v>0</v>
      </c>
      <c r="L72" s="55">
        <f>IF(C70&lt;=$H$3,SUM($F72:$I72)*(1+'Summary and Assumptions'!$D$103),"")</f>
        <v>0</v>
      </c>
      <c r="O72" s="44"/>
      <c r="P72" s="45"/>
      <c r="Q72" s="46"/>
      <c r="R72" s="45"/>
      <c r="S72" s="45"/>
      <c r="T72" s="45"/>
      <c r="U72" s="45"/>
      <c r="V72" s="45"/>
      <c r="W72" s="47"/>
      <c r="X72" s="40"/>
      <c r="Z72" s="48"/>
      <c r="AA72" s="45"/>
      <c r="AB72" s="46"/>
      <c r="AC72" s="45"/>
      <c r="AD72" s="45"/>
      <c r="AE72" s="45"/>
      <c r="AF72" s="45"/>
      <c r="AG72" s="45"/>
      <c r="AH72" s="47"/>
    </row>
    <row r="73" spans="2:34" ht="15.75" customHeight="1" x14ac:dyDescent="0.2">
      <c r="B73" s="26" t="s">
        <v>18</v>
      </c>
      <c r="C73" s="25">
        <f>C70+1</f>
        <v>23</v>
      </c>
      <c r="D73" s="27" t="str">
        <f>IF(C73&lt;=$H$3,"Company"&amp;" "&amp;C73,"")</f>
        <v>Company 23</v>
      </c>
      <c r="E73" s="28" t="s">
        <v>19</v>
      </c>
      <c r="F73" s="29">
        <f t="shared" ref="F73:J73" ca="1" si="88">IFERROR(IF(F74&gt;0,(DATE(YEAR(F74),((INT((MONTH(F74)-1)/3)+1)*3)+1,1)-1),"-"),"NA")</f>
        <v>45016</v>
      </c>
      <c r="G73" s="29">
        <f t="shared" ca="1" si="88"/>
        <v>45473</v>
      </c>
      <c r="H73" s="29">
        <f t="shared" ca="1" si="88"/>
        <v>45565</v>
      </c>
      <c r="I73" s="29">
        <f t="shared" ca="1" si="88"/>
        <v>46112</v>
      </c>
      <c r="J73" s="30">
        <f t="shared" ca="1" si="88"/>
        <v>46568</v>
      </c>
      <c r="L73" s="31">
        <f ca="1">IFERROR(IF(L74&gt;0,(DATE(YEAR(L74),((INT((MONTH(L74)-1)/3)+1)*3)+1,1)-1),"-"),"")</f>
        <v>46568</v>
      </c>
      <c r="O73" s="32" t="str">
        <f ca="1">IF(F74&lt;=TODAY(),C73,"0")</f>
        <v>0</v>
      </c>
      <c r="P73" s="33" t="str">
        <f ca="1">IF(F74&lt;=TODAY(),D73,"0")</f>
        <v>0</v>
      </c>
      <c r="Q73" s="56" t="str">
        <f ca="1">IF(F74&lt;=TODAY(),F74,"0")</f>
        <v>0</v>
      </c>
      <c r="R73" s="33">
        <f t="shared" ref="R73:V73" ca="1" si="89">IF(F74&lt;=TODAY(),F75,0)</f>
        <v>0</v>
      </c>
      <c r="S73" s="33">
        <f t="shared" ca="1" si="89"/>
        <v>0</v>
      </c>
      <c r="T73" s="33">
        <f t="shared" ca="1" si="89"/>
        <v>0</v>
      </c>
      <c r="U73" s="33">
        <f t="shared" ca="1" si="89"/>
        <v>0</v>
      </c>
      <c r="V73" s="33">
        <f t="shared" ca="1" si="89"/>
        <v>0</v>
      </c>
      <c r="W73" s="35">
        <f ca="1">IF(L74&lt;=TODAY(),L75,0)</f>
        <v>0</v>
      </c>
      <c r="X73" s="36" t="str">
        <f ca="1">IF(K74&lt;=TODAY(),K75,"-")</f>
        <v>0</v>
      </c>
      <c r="Z73" s="37">
        <f ca="1">IF(F74&gt;TODAY(),C73,"0")</f>
        <v>23</v>
      </c>
      <c r="AA73" s="33" t="str">
        <f ca="1">IF(F74&gt;TODAY(),D73,"0")</f>
        <v>Company 23</v>
      </c>
      <c r="AB73" s="56">
        <f ca="1">IF(F74&gt;TODAY(),F74,"0")</f>
        <v>45002</v>
      </c>
      <c r="AC73" s="33">
        <f t="shared" ref="AC73:AG73" ca="1" si="90">IF(F74&gt;TODAY(),F75,"0")</f>
        <v>1250000</v>
      </c>
      <c r="AD73" s="33">
        <f t="shared" ca="1" si="90"/>
        <v>112500</v>
      </c>
      <c r="AE73" s="33">
        <f t="shared" ca="1" si="90"/>
        <v>937500</v>
      </c>
      <c r="AF73" s="33">
        <f t="shared" ca="1" si="90"/>
        <v>750000</v>
      </c>
      <c r="AG73" s="33">
        <f t="shared" ca="1" si="90"/>
        <v>0</v>
      </c>
      <c r="AH73" s="35">
        <f ca="1">IF(L74&gt;TODAY(),L75,"0")</f>
        <v>0</v>
      </c>
    </row>
    <row r="74" spans="2:34" ht="15.75" customHeight="1" x14ac:dyDescent="0.2">
      <c r="B74" s="38"/>
      <c r="C74" s="25"/>
      <c r="D74" s="39"/>
      <c r="E74" s="40" t="s">
        <v>20</v>
      </c>
      <c r="F74" s="80">
        <f ca="1">IF(C73&lt;=$H$3,IF((F71+('Summary and Assumptions'!$K$118*7))&gt;$D$3,(F71+('Summary and Assumptions'!$K$118*7)),($D$3+$H$4)),"")</f>
        <v>45002</v>
      </c>
      <c r="G74" s="81">
        <f ca="1">IF($C73&lt;=$H$3,IF((F74+('Summary and Assumptions'!$K$119*7))&gt;$D$3,(F74+('Summary and Assumptions'!$K$119*7)),($D$3+$H$4)),"")</f>
        <v>45457</v>
      </c>
      <c r="H74" s="41">
        <f ca="1">IF($C73&lt;=$H$3,IF((F74+('Summary and Assumptions'!$K$120*7))&gt;$D$3,(F74+('Summary and Assumptions'!$K$120*7)),($D$3+$H$4)),"")</f>
        <v>45527</v>
      </c>
      <c r="I74" s="81">
        <f ca="1">IF($C73&lt;=$H$3,IF((H74+('Summary and Assumptions'!$K$121*7))&gt;$D$3,(H74+('Summary and Assumptions'!$K$121*7)),($D$3+$H$4)),"")</f>
        <v>46059</v>
      </c>
      <c r="J74" s="84">
        <f ca="1">IF($C73&lt;=$H$3,IF((I74+('Summary and Assumptions'!$K$122*7))&gt;$D$3,(I74+('Summary and Assumptions'!$K$122*7)),($D$3+$H$4)),"")</f>
        <v>46507</v>
      </c>
      <c r="K74" s="5"/>
      <c r="L74" s="43">
        <f ca="1">IF($C73&lt;=$H$3,IF((J74+('Summary and Assumptions'!$K$123*7))&gt;$D$3,(J74+('Summary and Assumptions'!$K$123*7)),($D$3+$H$4)),"")</f>
        <v>46507</v>
      </c>
      <c r="O74" s="44"/>
      <c r="P74" s="45"/>
      <c r="Q74" s="46"/>
      <c r="R74" s="45"/>
      <c r="S74" s="45"/>
      <c r="T74" s="45"/>
      <c r="U74" s="45"/>
      <c r="V74" s="45"/>
      <c r="W74" s="47"/>
      <c r="X74" s="40"/>
      <c r="Z74" s="48"/>
      <c r="AA74" s="45"/>
      <c r="AB74" s="46"/>
      <c r="AC74" s="45"/>
      <c r="AD74" s="45"/>
      <c r="AE74" s="45"/>
      <c r="AF74" s="45"/>
      <c r="AG74" s="45"/>
      <c r="AH74" s="47"/>
    </row>
    <row r="75" spans="2:34" ht="15.75" customHeight="1" x14ac:dyDescent="0.2">
      <c r="B75" s="38"/>
      <c r="C75" s="49"/>
      <c r="D75" s="50"/>
      <c r="E75" s="51" t="s">
        <v>21</v>
      </c>
      <c r="F75" s="52">
        <f>IF(C73&lt;=$H$3,'Summary and Assumptions'!$D$101,"")</f>
        <v>1250000</v>
      </c>
      <c r="G75" s="52">
        <f>IF(C73&lt;=$H$3,F75*'Summary and Assumptions'!$K$111*'Summary and Assumptions'!$K$102,"")</f>
        <v>112500</v>
      </c>
      <c r="H75" s="52">
        <f>IF(C73&lt;=$H$3,$F75*'Summary and Assumptions'!$K$112*'Summary and Assumptions'!$K$103,"")</f>
        <v>937500</v>
      </c>
      <c r="I75" s="52">
        <f>IF(C73&lt;=$H$3,$F75*'Summary and Assumptions'!$K$113*'Summary and Assumptions'!$K$104,"")</f>
        <v>750000</v>
      </c>
      <c r="J75" s="53">
        <f>IF(C73&lt;=$H$3,$F75*'Summary and Assumptions'!$K$114*'Summary and Assumptions'!$K$105,"")</f>
        <v>0</v>
      </c>
      <c r="K75" s="54" t="str">
        <f ca="1">IF(AND(J74&lt;=$D$3,J75&gt;0),$J$6,IF(AND(I74&lt;=$D$3,I75&gt;0),$I$6,IF(AND(H74&lt;=$D$3,H75&gt;0),$H$6,IF(AND(G74&lt;=$D$3,G75&gt;0),$G$6,IF(AND(F74&lt;=$D$3,F75&gt;0),$F$6,"0")))))</f>
        <v>0</v>
      </c>
      <c r="L75" s="55">
        <f>IF(C73&lt;=$H$3,SUM($F75:$I75)*(1+'Summary and Assumptions'!$D$103),"")</f>
        <v>0</v>
      </c>
      <c r="O75" s="44"/>
      <c r="P75" s="45"/>
      <c r="Q75" s="46"/>
      <c r="R75" s="45"/>
      <c r="S75" s="45"/>
      <c r="T75" s="45"/>
      <c r="U75" s="45"/>
      <c r="V75" s="45"/>
      <c r="W75" s="47"/>
      <c r="X75" s="40"/>
      <c r="Z75" s="48"/>
      <c r="AA75" s="45"/>
      <c r="AB75" s="46"/>
      <c r="AC75" s="45"/>
      <c r="AD75" s="45"/>
      <c r="AE75" s="45"/>
      <c r="AF75" s="45"/>
      <c r="AG75" s="45"/>
      <c r="AH75" s="47"/>
    </row>
    <row r="76" spans="2:34" ht="15.75" customHeight="1" x14ac:dyDescent="0.2">
      <c r="B76" s="26" t="s">
        <v>18</v>
      </c>
      <c r="C76" s="25">
        <f>C73+1</f>
        <v>24</v>
      </c>
      <c r="D76" s="27" t="str">
        <f>IF(C76&lt;=$H$3,"Company"&amp;" "&amp;C76,"")</f>
        <v>Company 24</v>
      </c>
      <c r="E76" s="28" t="s">
        <v>19</v>
      </c>
      <c r="F76" s="29">
        <f t="shared" ref="F76:J76" ca="1" si="91">IFERROR(IF(F77&gt;0,(DATE(YEAR(F77),((INT((MONTH(F77)-1)/3)+1)*3)+1,1)-1),"-"),"NA")</f>
        <v>45107</v>
      </c>
      <c r="G76" s="29">
        <f t="shared" ca="1" si="91"/>
        <v>45565</v>
      </c>
      <c r="H76" s="29">
        <f t="shared" ca="1" si="91"/>
        <v>45565</v>
      </c>
      <c r="I76" s="29">
        <f t="shared" ca="1" si="91"/>
        <v>46112</v>
      </c>
      <c r="J76" s="30">
        <f t="shared" ca="1" si="91"/>
        <v>46568</v>
      </c>
      <c r="L76" s="31">
        <f ca="1">IFERROR(IF(L77&gt;0,(DATE(YEAR(L77),((INT((MONTH(L77)-1)/3)+1)*3)+1,1)-1),"-"),"")</f>
        <v>46568</v>
      </c>
      <c r="O76" s="32" t="str">
        <f ca="1">IF(F77&lt;=TODAY(),C76,"0")</f>
        <v>0</v>
      </c>
      <c r="P76" s="33" t="str">
        <f ca="1">IF(F77&lt;=TODAY(),D76,"0")</f>
        <v>0</v>
      </c>
      <c r="Q76" s="56" t="str">
        <f ca="1">IF(F77&lt;=TODAY(),F77,"0")</f>
        <v>0</v>
      </c>
      <c r="R76" s="33">
        <f t="shared" ref="R76:V76" ca="1" si="92">IF(F77&lt;=TODAY(),F78,0)</f>
        <v>0</v>
      </c>
      <c r="S76" s="33">
        <f t="shared" ca="1" si="92"/>
        <v>0</v>
      </c>
      <c r="T76" s="33">
        <f t="shared" ca="1" si="92"/>
        <v>0</v>
      </c>
      <c r="U76" s="33">
        <f t="shared" ca="1" si="92"/>
        <v>0</v>
      </c>
      <c r="V76" s="33">
        <f t="shared" ca="1" si="92"/>
        <v>0</v>
      </c>
      <c r="W76" s="35">
        <f ca="1">IF(L77&lt;=TODAY(),L78,0)</f>
        <v>0</v>
      </c>
      <c r="X76" s="36" t="str">
        <f ca="1">IF(K77&lt;=TODAY(),K78,"-")</f>
        <v>0</v>
      </c>
      <c r="Z76" s="37">
        <f ca="1">IF(F77&gt;TODAY(),C76,"0")</f>
        <v>24</v>
      </c>
      <c r="AA76" s="33" t="str">
        <f ca="1">IF(F77&gt;TODAY(),D76,"0")</f>
        <v>Company 24</v>
      </c>
      <c r="AB76" s="56">
        <f ca="1">IF(F77&gt;TODAY(),F77,"0")</f>
        <v>45037</v>
      </c>
      <c r="AC76" s="33">
        <f t="shared" ref="AC76:AG76" ca="1" si="93">IF(F77&gt;TODAY(),F78,"0")</f>
        <v>1250000</v>
      </c>
      <c r="AD76" s="33">
        <f t="shared" ca="1" si="93"/>
        <v>112500</v>
      </c>
      <c r="AE76" s="33">
        <f t="shared" ca="1" si="93"/>
        <v>937500</v>
      </c>
      <c r="AF76" s="33">
        <f t="shared" ca="1" si="93"/>
        <v>750000</v>
      </c>
      <c r="AG76" s="33">
        <f t="shared" ca="1" si="93"/>
        <v>0</v>
      </c>
      <c r="AH76" s="35">
        <f ca="1">IF(L77&gt;TODAY(),L78,"0")</f>
        <v>0</v>
      </c>
    </row>
    <row r="77" spans="2:34" ht="15.75" customHeight="1" x14ac:dyDescent="0.2">
      <c r="B77" s="38"/>
      <c r="C77" s="25"/>
      <c r="D77" s="39"/>
      <c r="E77" s="40" t="s">
        <v>20</v>
      </c>
      <c r="F77" s="80">
        <f ca="1">IF(C76&lt;=$H$3,IF((F74+('Summary and Assumptions'!$K$118*7))&gt;$D$3,(F74+('Summary and Assumptions'!$K$118*7)),($D$3+$H$4)),"")</f>
        <v>45037</v>
      </c>
      <c r="G77" s="81">
        <f ca="1">IF($C76&lt;=$H$3,IF((F77+('Summary and Assumptions'!$K$119*7))&gt;$D$3,(F77+('Summary and Assumptions'!$K$119*7)),($D$3+$H$4)),"")</f>
        <v>45492</v>
      </c>
      <c r="H77" s="41">
        <f ca="1">IF($C76&lt;=$H$3,IF((F77+('Summary and Assumptions'!$K$120*7))&gt;$D$3,(F77+('Summary and Assumptions'!$K$120*7)),($D$3+$H$4)),"")</f>
        <v>45562</v>
      </c>
      <c r="I77" s="81">
        <f ca="1">IF($C76&lt;=$H$3,IF((H77+('Summary and Assumptions'!$K$121*7))&gt;$D$3,(H77+('Summary and Assumptions'!$K$121*7)),($D$3+$H$4)),"")</f>
        <v>46094</v>
      </c>
      <c r="J77" s="84">
        <f ca="1">IF($C76&lt;=$H$3,IF((I77+('Summary and Assumptions'!$K$122*7))&gt;$D$3,(I77+('Summary and Assumptions'!$K$122*7)),($D$3+$H$4)),"")</f>
        <v>46542</v>
      </c>
      <c r="K77" s="5"/>
      <c r="L77" s="43">
        <f ca="1">IF($C76&lt;=$H$3,IF((J77+('Summary and Assumptions'!$K$123*7))&gt;$D$3,(J77+('Summary and Assumptions'!$K$123*7)),($D$3+$H$4)),"")</f>
        <v>46542</v>
      </c>
      <c r="O77" s="44"/>
      <c r="P77" s="45"/>
      <c r="Q77" s="46"/>
      <c r="R77" s="45"/>
      <c r="S77" s="45"/>
      <c r="T77" s="45"/>
      <c r="U77" s="45"/>
      <c r="V77" s="45"/>
      <c r="W77" s="47"/>
      <c r="X77" s="40"/>
      <c r="Z77" s="48"/>
      <c r="AA77" s="45"/>
      <c r="AB77" s="46"/>
      <c r="AC77" s="45"/>
      <c r="AD77" s="45"/>
      <c r="AE77" s="45"/>
      <c r="AF77" s="45"/>
      <c r="AG77" s="45"/>
      <c r="AH77" s="47"/>
    </row>
    <row r="78" spans="2:34" ht="15.75" customHeight="1" x14ac:dyDescent="0.2">
      <c r="B78" s="38"/>
      <c r="C78" s="49"/>
      <c r="D78" s="50"/>
      <c r="E78" s="51" t="s">
        <v>21</v>
      </c>
      <c r="F78" s="52">
        <f>IF(C76&lt;=$H$3,'Summary and Assumptions'!$D$101,"")</f>
        <v>1250000</v>
      </c>
      <c r="G78" s="52">
        <f>IF(C76&lt;=$H$3,F78*'Summary and Assumptions'!$K$111*'Summary and Assumptions'!$K$102,"")</f>
        <v>112500</v>
      </c>
      <c r="H78" s="52">
        <f>IF(C76&lt;=$H$3,$F78*'Summary and Assumptions'!$K$112*'Summary and Assumptions'!$K$103,"")</f>
        <v>937500</v>
      </c>
      <c r="I78" s="52">
        <f>IF(C76&lt;=$H$3,$F78*'Summary and Assumptions'!$K$113*'Summary and Assumptions'!$K$104,"")</f>
        <v>750000</v>
      </c>
      <c r="J78" s="53">
        <f>IF(C76&lt;=$H$3,$F78*'Summary and Assumptions'!$K$114*'Summary and Assumptions'!$K$105,"")</f>
        <v>0</v>
      </c>
      <c r="K78" s="54" t="str">
        <f ca="1">IF(AND(J77&lt;=$D$3,J78&gt;0),$J$6,IF(AND(I77&lt;=$D$3,I78&gt;0),$I$6,IF(AND(H77&lt;=$D$3,H78&gt;0),$H$6,IF(AND(G77&lt;=$D$3,G78&gt;0),$G$6,IF(AND(F77&lt;=$D$3,F78&gt;0),$F$6,"0")))))</f>
        <v>0</v>
      </c>
      <c r="L78" s="55">
        <f>IF(C76&lt;=$H$3,SUM($F78:$I78)*(1+'Summary and Assumptions'!$D$103),"")</f>
        <v>0</v>
      </c>
      <c r="O78" s="44"/>
      <c r="P78" s="45"/>
      <c r="Q78" s="46"/>
      <c r="R78" s="45"/>
      <c r="S78" s="45"/>
      <c r="T78" s="45"/>
      <c r="U78" s="45"/>
      <c r="V78" s="45"/>
      <c r="W78" s="47"/>
      <c r="X78" s="40"/>
      <c r="Z78" s="48"/>
      <c r="AA78" s="45"/>
      <c r="AB78" s="46"/>
      <c r="AC78" s="45"/>
      <c r="AD78" s="45"/>
      <c r="AE78" s="45"/>
      <c r="AF78" s="45"/>
      <c r="AG78" s="45"/>
      <c r="AH78" s="47"/>
    </row>
    <row r="79" spans="2:34" ht="15.75" customHeight="1" x14ac:dyDescent="0.2">
      <c r="B79" s="26" t="s">
        <v>18</v>
      </c>
      <c r="C79" s="25">
        <f>C76+1</f>
        <v>25</v>
      </c>
      <c r="D79" s="27" t="str">
        <f>IF(C79&lt;=$H$3,"Company"&amp;" "&amp;C79,"")</f>
        <v>Company 25</v>
      </c>
      <c r="E79" s="28" t="s">
        <v>19</v>
      </c>
      <c r="F79" s="29">
        <f t="shared" ref="F79:J79" ca="1" si="94">IFERROR(IF(F80&gt;0,(DATE(YEAR(F80),((INT((MONTH(F80)-1)/3)+1)*3)+1,1)-1),"-"),"NA")</f>
        <v>45107</v>
      </c>
      <c r="G79" s="29">
        <f t="shared" ca="1" si="94"/>
        <v>45565</v>
      </c>
      <c r="H79" s="29">
        <f t="shared" ca="1" si="94"/>
        <v>45657</v>
      </c>
      <c r="I79" s="29">
        <f t="shared" ca="1" si="94"/>
        <v>46203</v>
      </c>
      <c r="J79" s="30">
        <f t="shared" ca="1" si="94"/>
        <v>46660</v>
      </c>
      <c r="L79" s="31">
        <f ca="1">IFERROR(IF(L80&gt;0,(DATE(YEAR(L80),((INT((MONTH(L80)-1)/3)+1)*3)+1,1)-1),"-"),"")</f>
        <v>46660</v>
      </c>
      <c r="O79" s="32" t="str">
        <f ca="1">IF(F80&lt;=TODAY(),C79,"0")</f>
        <v>0</v>
      </c>
      <c r="P79" s="33" t="str">
        <f ca="1">IF(F80&lt;=TODAY(),D79,"0")</f>
        <v>0</v>
      </c>
      <c r="Q79" s="56" t="str">
        <f ca="1">IF(F80&lt;=TODAY(),F80,"0")</f>
        <v>0</v>
      </c>
      <c r="R79" s="33">
        <f t="shared" ref="R79:V79" ca="1" si="95">IF(F80&lt;=TODAY(),F81,0)</f>
        <v>0</v>
      </c>
      <c r="S79" s="33">
        <f t="shared" ca="1" si="95"/>
        <v>0</v>
      </c>
      <c r="T79" s="33">
        <f t="shared" ca="1" si="95"/>
        <v>0</v>
      </c>
      <c r="U79" s="33">
        <f t="shared" ca="1" si="95"/>
        <v>0</v>
      </c>
      <c r="V79" s="33">
        <f t="shared" ca="1" si="95"/>
        <v>0</v>
      </c>
      <c r="W79" s="35">
        <f ca="1">IF(L80&lt;=TODAY(),L81,0)</f>
        <v>0</v>
      </c>
      <c r="X79" s="36" t="str">
        <f ca="1">IF(K80&lt;=TODAY(),K81,"-")</f>
        <v>0</v>
      </c>
      <c r="Z79" s="37">
        <f ca="1">IF(F80&gt;TODAY(),C79,"0")</f>
        <v>25</v>
      </c>
      <c r="AA79" s="33" t="str">
        <f ca="1">IF(F80&gt;TODAY(),D79,"0")</f>
        <v>Company 25</v>
      </c>
      <c r="AB79" s="56">
        <f ca="1">IF(F80&gt;TODAY(),F80,"0")</f>
        <v>45072</v>
      </c>
      <c r="AC79" s="33">
        <f t="shared" ref="AC79:AG79" ca="1" si="96">IF(F80&gt;TODAY(),F81,"0")</f>
        <v>1250000</v>
      </c>
      <c r="AD79" s="33">
        <f t="shared" ca="1" si="96"/>
        <v>112500</v>
      </c>
      <c r="AE79" s="33">
        <f t="shared" ca="1" si="96"/>
        <v>937500</v>
      </c>
      <c r="AF79" s="33">
        <f t="shared" ca="1" si="96"/>
        <v>750000</v>
      </c>
      <c r="AG79" s="33">
        <f t="shared" ca="1" si="96"/>
        <v>0</v>
      </c>
      <c r="AH79" s="35">
        <f ca="1">IF(L80&gt;TODAY(),L81,"0")</f>
        <v>0</v>
      </c>
    </row>
    <row r="80" spans="2:34" ht="15.75" customHeight="1" x14ac:dyDescent="0.2">
      <c r="B80" s="38"/>
      <c r="C80" s="25"/>
      <c r="D80" s="39"/>
      <c r="E80" s="40" t="s">
        <v>20</v>
      </c>
      <c r="F80" s="80">
        <f ca="1">IF(C79&lt;=$H$3,IF((F77+('Summary and Assumptions'!$K$118*7))&gt;$D$3,(F77+('Summary and Assumptions'!$K$118*7)),($D$3+$H$4)),"")</f>
        <v>45072</v>
      </c>
      <c r="G80" s="81">
        <f ca="1">IF($C79&lt;=$H$3,IF((F80+('Summary and Assumptions'!$K$119*7))&gt;$D$3,(F80+('Summary and Assumptions'!$K$119*7)),($D$3+$H$4)),"")</f>
        <v>45527</v>
      </c>
      <c r="H80" s="41">
        <f ca="1">IF($C79&lt;=$H$3,IF((F80+('Summary and Assumptions'!$K$120*7))&gt;$D$3,(F80+('Summary and Assumptions'!$K$120*7)),($D$3+$H$4)),"")</f>
        <v>45597</v>
      </c>
      <c r="I80" s="81">
        <f ca="1">IF($C79&lt;=$H$3,IF((H80+('Summary and Assumptions'!$K$121*7))&gt;$D$3,(H80+('Summary and Assumptions'!$K$121*7)),($D$3+$H$4)),"")</f>
        <v>46129</v>
      </c>
      <c r="J80" s="84">
        <f ca="1">IF($C79&lt;=$H$3,IF((I80+('Summary and Assumptions'!$K$122*7))&gt;$D$3,(I80+('Summary and Assumptions'!$K$122*7)),($D$3+$H$4)),"")</f>
        <v>46577</v>
      </c>
      <c r="K80" s="5"/>
      <c r="L80" s="43">
        <f ca="1">IF($C79&lt;=$H$3,IF((J80+('Summary and Assumptions'!$K$123*7))&gt;$D$3,(J80+('Summary and Assumptions'!$K$123*7)),($D$3+$H$4)),"")</f>
        <v>46577</v>
      </c>
      <c r="O80" s="44"/>
      <c r="P80" s="45"/>
      <c r="Q80" s="46"/>
      <c r="R80" s="45"/>
      <c r="S80" s="45"/>
      <c r="T80" s="45"/>
      <c r="U80" s="45"/>
      <c r="V80" s="45"/>
      <c r="W80" s="47"/>
      <c r="X80" s="40"/>
      <c r="Z80" s="48"/>
      <c r="AA80" s="45"/>
      <c r="AB80" s="46"/>
      <c r="AC80" s="45"/>
      <c r="AD80" s="45"/>
      <c r="AE80" s="45"/>
      <c r="AF80" s="45"/>
      <c r="AG80" s="45"/>
      <c r="AH80" s="47"/>
    </row>
    <row r="81" spans="2:34" ht="15.75" customHeight="1" x14ac:dyDescent="0.2">
      <c r="B81" s="38"/>
      <c r="C81" s="49"/>
      <c r="D81" s="50"/>
      <c r="E81" s="51" t="s">
        <v>21</v>
      </c>
      <c r="F81" s="52">
        <f>IF(C79&lt;=$H$3,'Summary and Assumptions'!$D$101,"")</f>
        <v>1250000</v>
      </c>
      <c r="G81" s="52">
        <f>IF(C79&lt;=$H$3,F81*'Summary and Assumptions'!$K$111*'Summary and Assumptions'!$K$102,"")</f>
        <v>112500</v>
      </c>
      <c r="H81" s="52">
        <f>IF(C79&lt;=$H$3,$F81*'Summary and Assumptions'!$K$112*'Summary and Assumptions'!$K$103,"")</f>
        <v>937500</v>
      </c>
      <c r="I81" s="52">
        <f>IF(C79&lt;=$H$3,$F81*'Summary and Assumptions'!$K$113*'Summary and Assumptions'!$K$104,"")</f>
        <v>750000</v>
      </c>
      <c r="J81" s="53">
        <f>IF(C79&lt;=$H$3,$F81*'Summary and Assumptions'!$K$114*'Summary and Assumptions'!$K$105,"")</f>
        <v>0</v>
      </c>
      <c r="K81" s="54" t="str">
        <f ca="1">IF(AND(J80&lt;=$D$3,J81&gt;0),$J$6,IF(AND(I80&lt;=$D$3,I81&gt;0),$I$6,IF(AND(H80&lt;=$D$3,H81&gt;0),$H$6,IF(AND(G80&lt;=$D$3,G81&gt;0),$G$6,IF(AND(F80&lt;=$D$3,F81&gt;0),$F$6,"0")))))</f>
        <v>0</v>
      </c>
      <c r="L81" s="55">
        <f>IF(C79&lt;=$H$3,SUM($F81:$I81)*(1+'Summary and Assumptions'!$D$103),"")</f>
        <v>0</v>
      </c>
      <c r="O81" s="44"/>
      <c r="P81" s="45"/>
      <c r="Q81" s="46"/>
      <c r="R81" s="45"/>
      <c r="S81" s="45"/>
      <c r="T81" s="45"/>
      <c r="U81" s="45"/>
      <c r="V81" s="45"/>
      <c r="W81" s="47"/>
      <c r="X81" s="40"/>
      <c r="Z81" s="48"/>
      <c r="AA81" s="45"/>
      <c r="AB81" s="46"/>
      <c r="AC81" s="45"/>
      <c r="AD81" s="45"/>
      <c r="AE81" s="45"/>
      <c r="AF81" s="45"/>
      <c r="AG81" s="45"/>
      <c r="AH81" s="47"/>
    </row>
    <row r="82" spans="2:34" ht="15.75" customHeight="1" x14ac:dyDescent="0.2">
      <c r="B82" s="26" t="s">
        <v>18</v>
      </c>
      <c r="C82" s="25">
        <f>C79+1</f>
        <v>26</v>
      </c>
      <c r="D82" s="27" t="str">
        <f>IF(C82&lt;=$H$3,"Company"&amp;" "&amp;C82,"")</f>
        <v>Company 26</v>
      </c>
      <c r="E82" s="28" t="s">
        <v>19</v>
      </c>
      <c r="F82" s="29">
        <f t="shared" ref="F82:J82" ca="1" si="97">IFERROR(IF(F83&gt;0,(DATE(YEAR(F83),((INT((MONTH(F83)-1)/3)+1)*3)+1,1)-1),"-"),"NA")</f>
        <v>45107</v>
      </c>
      <c r="G82" s="29">
        <f t="shared" ca="1" si="97"/>
        <v>45565</v>
      </c>
      <c r="H82" s="29">
        <f t="shared" ca="1" si="97"/>
        <v>45657</v>
      </c>
      <c r="I82" s="29">
        <f t="shared" ca="1" si="97"/>
        <v>46203</v>
      </c>
      <c r="J82" s="30">
        <f t="shared" ca="1" si="97"/>
        <v>46660</v>
      </c>
      <c r="L82" s="31">
        <f ca="1">IFERROR(IF(L83&gt;0,(DATE(YEAR(L83),((INT((MONTH(L83)-1)/3)+1)*3)+1,1)-1),"-"),"")</f>
        <v>46660</v>
      </c>
      <c r="O82" s="32" t="str">
        <f ca="1">IF(F83&lt;=TODAY(),C82,"0")</f>
        <v>0</v>
      </c>
      <c r="P82" s="33" t="str">
        <f ca="1">IF(F83&lt;=TODAY(),D82,"0")</f>
        <v>0</v>
      </c>
      <c r="Q82" s="56" t="str">
        <f ca="1">IF(F83&lt;=TODAY(),F83,"0")</f>
        <v>0</v>
      </c>
      <c r="R82" s="33">
        <f t="shared" ref="R82:V82" ca="1" si="98">IF(F83&lt;=TODAY(),F84,0)</f>
        <v>0</v>
      </c>
      <c r="S82" s="33">
        <f t="shared" ca="1" si="98"/>
        <v>0</v>
      </c>
      <c r="T82" s="33">
        <f t="shared" ca="1" si="98"/>
        <v>0</v>
      </c>
      <c r="U82" s="33">
        <f t="shared" ca="1" si="98"/>
        <v>0</v>
      </c>
      <c r="V82" s="33">
        <f t="shared" ca="1" si="98"/>
        <v>0</v>
      </c>
      <c r="W82" s="35">
        <f ca="1">IF(L83&lt;=TODAY(),L84,0)</f>
        <v>0</v>
      </c>
      <c r="X82" s="36" t="str">
        <f ca="1">IF(K83&lt;=TODAY(),K84,"-")</f>
        <v>0</v>
      </c>
      <c r="Z82" s="37">
        <f ca="1">IF(F83&gt;TODAY(),C82,"0")</f>
        <v>26</v>
      </c>
      <c r="AA82" s="33" t="str">
        <f ca="1">IF(F83&gt;TODAY(),D82,"0")</f>
        <v>Company 26</v>
      </c>
      <c r="AB82" s="56">
        <f ca="1">IF(F83&gt;TODAY(),F83,"0")</f>
        <v>45107</v>
      </c>
      <c r="AC82" s="33">
        <f t="shared" ref="AC82:AG82" ca="1" si="99">IF(F83&gt;TODAY(),F84,"0")</f>
        <v>1250000</v>
      </c>
      <c r="AD82" s="33">
        <f t="shared" ca="1" si="99"/>
        <v>112500</v>
      </c>
      <c r="AE82" s="33">
        <f t="shared" ca="1" si="99"/>
        <v>937500</v>
      </c>
      <c r="AF82" s="33">
        <f t="shared" ca="1" si="99"/>
        <v>750000</v>
      </c>
      <c r="AG82" s="33">
        <f t="shared" ca="1" si="99"/>
        <v>0</v>
      </c>
      <c r="AH82" s="35">
        <f ca="1">IF(L83&gt;TODAY(),L84,"0")</f>
        <v>0</v>
      </c>
    </row>
    <row r="83" spans="2:34" ht="15.75" customHeight="1" x14ac:dyDescent="0.2">
      <c r="B83" s="38"/>
      <c r="C83" s="25"/>
      <c r="D83" s="39"/>
      <c r="E83" s="40" t="s">
        <v>20</v>
      </c>
      <c r="F83" s="80">
        <f ca="1">IF(C82&lt;=$H$3,IF((F80+('Summary and Assumptions'!$K$118*7))&gt;$D$3,(F80+('Summary and Assumptions'!$K$118*7)),($D$3+$H$4)),"")</f>
        <v>45107</v>
      </c>
      <c r="G83" s="81">
        <f ca="1">IF($C82&lt;=$H$3,IF((F83+('Summary and Assumptions'!$K$119*7))&gt;$D$3,(F83+('Summary and Assumptions'!$K$119*7)),($D$3+$H$4)),"")</f>
        <v>45562</v>
      </c>
      <c r="H83" s="41">
        <f ca="1">IF($C82&lt;=$H$3,IF((F83+('Summary and Assumptions'!$K$120*7))&gt;$D$3,(F83+('Summary and Assumptions'!$K$120*7)),($D$3+$H$4)),"")</f>
        <v>45632</v>
      </c>
      <c r="I83" s="81">
        <f ca="1">IF($C82&lt;=$H$3,IF((H83+('Summary and Assumptions'!$K$121*7))&gt;$D$3,(H83+('Summary and Assumptions'!$K$121*7)),($D$3+$H$4)),"")</f>
        <v>46164</v>
      </c>
      <c r="J83" s="84">
        <f ca="1">IF($C82&lt;=$H$3,IF((I83+('Summary and Assumptions'!$K$122*7))&gt;$D$3,(I83+('Summary and Assumptions'!$K$122*7)),($D$3+$H$4)),"")</f>
        <v>46612</v>
      </c>
      <c r="K83" s="5"/>
      <c r="L83" s="43">
        <f ca="1">IF($C82&lt;=$H$3,IF((J83+('Summary and Assumptions'!$K$123*7))&gt;$D$3,(J83+('Summary and Assumptions'!$K$123*7)),($D$3+$H$4)),"")</f>
        <v>46612</v>
      </c>
      <c r="O83" s="44"/>
      <c r="P83" s="45"/>
      <c r="Q83" s="46"/>
      <c r="R83" s="45"/>
      <c r="S83" s="45"/>
      <c r="T83" s="45"/>
      <c r="U83" s="45"/>
      <c r="V83" s="45"/>
      <c r="W83" s="47"/>
      <c r="X83" s="40"/>
      <c r="Z83" s="48"/>
      <c r="AA83" s="45"/>
      <c r="AB83" s="46"/>
      <c r="AC83" s="45"/>
      <c r="AD83" s="45"/>
      <c r="AE83" s="45"/>
      <c r="AF83" s="45"/>
      <c r="AG83" s="45"/>
      <c r="AH83" s="47"/>
    </row>
    <row r="84" spans="2:34" ht="15.75" customHeight="1" x14ac:dyDescent="0.2">
      <c r="B84" s="38"/>
      <c r="C84" s="49"/>
      <c r="D84" s="50"/>
      <c r="E84" s="51" t="s">
        <v>21</v>
      </c>
      <c r="F84" s="52">
        <f>IF(C82&lt;=$H$3,'Summary and Assumptions'!$D$101,"")</f>
        <v>1250000</v>
      </c>
      <c r="G84" s="52">
        <f>IF(C82&lt;=$H$3,F84*'Summary and Assumptions'!$K$111*'Summary and Assumptions'!$K$102,"")</f>
        <v>112500</v>
      </c>
      <c r="H84" s="52">
        <f>IF(C82&lt;=$H$3,$F84*'Summary and Assumptions'!$K$112*'Summary and Assumptions'!$K$103,"")</f>
        <v>937500</v>
      </c>
      <c r="I84" s="52">
        <f>IF(C82&lt;=$H$3,$F84*'Summary and Assumptions'!$K$113*'Summary and Assumptions'!$K$104,"")</f>
        <v>750000</v>
      </c>
      <c r="J84" s="53">
        <f>IF(C82&lt;=$H$3,$F84*'Summary and Assumptions'!$K$114*'Summary and Assumptions'!$K$105,"")</f>
        <v>0</v>
      </c>
      <c r="K84" s="54" t="str">
        <f ca="1">IF(AND(J83&lt;=$D$3,J84&gt;0),$J$6,IF(AND(I83&lt;=$D$3,I84&gt;0),$I$6,IF(AND(H83&lt;=$D$3,H84&gt;0),$H$6,IF(AND(G83&lt;=$D$3,G84&gt;0),$G$6,IF(AND(F83&lt;=$D$3,F84&gt;0),$F$6,"0")))))</f>
        <v>0</v>
      </c>
      <c r="L84" s="55">
        <f>IF(C82&lt;=$H$3,SUM($F84:$I84)*(1+'Summary and Assumptions'!$D$103),"")</f>
        <v>0</v>
      </c>
      <c r="O84" s="44"/>
      <c r="P84" s="45"/>
      <c r="Q84" s="46"/>
      <c r="R84" s="45"/>
      <c r="S84" s="45"/>
      <c r="T84" s="45"/>
      <c r="U84" s="45"/>
      <c r="V84" s="45"/>
      <c r="W84" s="47"/>
      <c r="X84" s="40"/>
      <c r="Z84" s="48"/>
      <c r="AA84" s="45"/>
      <c r="AB84" s="46"/>
      <c r="AC84" s="45"/>
      <c r="AD84" s="45"/>
      <c r="AE84" s="45"/>
      <c r="AF84" s="45"/>
      <c r="AG84" s="45"/>
      <c r="AH84" s="47"/>
    </row>
    <row r="85" spans="2:34" ht="15.75" customHeight="1" x14ac:dyDescent="0.2">
      <c r="B85" s="26" t="s">
        <v>18</v>
      </c>
      <c r="C85" s="25">
        <f>C82+1</f>
        <v>27</v>
      </c>
      <c r="D85" s="27" t="str">
        <f>IF(C85&lt;=$H$3,"Company"&amp;" "&amp;C85,"")</f>
        <v>Company 27</v>
      </c>
      <c r="E85" s="28" t="s">
        <v>19</v>
      </c>
      <c r="F85" s="29">
        <f t="shared" ref="F85:J85" ca="1" si="100">IFERROR(IF(F86&gt;0,(DATE(YEAR(F86),((INT((MONTH(F86)-1)/3)+1)*3)+1,1)-1),"-"),"NA")</f>
        <v>45199</v>
      </c>
      <c r="G85" s="29">
        <f t="shared" ca="1" si="100"/>
        <v>45657</v>
      </c>
      <c r="H85" s="29">
        <f t="shared" ca="1" si="100"/>
        <v>45747</v>
      </c>
      <c r="I85" s="29">
        <f t="shared" ca="1" si="100"/>
        <v>46203</v>
      </c>
      <c r="J85" s="30">
        <f t="shared" ca="1" si="100"/>
        <v>46660</v>
      </c>
      <c r="L85" s="31">
        <f ca="1">IFERROR(IF(L86&gt;0,(DATE(YEAR(L86),((INT((MONTH(L86)-1)/3)+1)*3)+1,1)-1),"-"),"")</f>
        <v>46660</v>
      </c>
      <c r="O85" s="32" t="str">
        <f ca="1">IF(F86&lt;=TODAY(),C85,"0")</f>
        <v>0</v>
      </c>
      <c r="P85" s="33" t="str">
        <f ca="1">IF(F86&lt;=TODAY(),D85,"0")</f>
        <v>0</v>
      </c>
      <c r="Q85" s="56" t="str">
        <f ca="1">IF(F86&lt;=TODAY(),F86,"0")</f>
        <v>0</v>
      </c>
      <c r="R85" s="33">
        <f t="shared" ref="R85:V85" ca="1" si="101">IF(F86&lt;=TODAY(),F87,0)</f>
        <v>0</v>
      </c>
      <c r="S85" s="33">
        <f t="shared" ca="1" si="101"/>
        <v>0</v>
      </c>
      <c r="T85" s="33">
        <f t="shared" ca="1" si="101"/>
        <v>0</v>
      </c>
      <c r="U85" s="33">
        <f t="shared" ca="1" si="101"/>
        <v>0</v>
      </c>
      <c r="V85" s="33">
        <f t="shared" ca="1" si="101"/>
        <v>0</v>
      </c>
      <c r="W85" s="35">
        <f ca="1">IF(L86&lt;=TODAY(),L87,0)</f>
        <v>0</v>
      </c>
      <c r="X85" s="36" t="str">
        <f ca="1">IF(K86&lt;=TODAY(),K87,"-")</f>
        <v>0</v>
      </c>
      <c r="Z85" s="37">
        <f ca="1">IF(F86&gt;TODAY(),C85,"0")</f>
        <v>27</v>
      </c>
      <c r="AA85" s="33" t="str">
        <f ca="1">IF(F86&gt;TODAY(),D85,"0")</f>
        <v>Company 27</v>
      </c>
      <c r="AB85" s="56">
        <f ca="1">IF(F86&gt;TODAY(),F86,"0")</f>
        <v>45142</v>
      </c>
      <c r="AC85" s="33">
        <f t="shared" ref="AC85:AG85" ca="1" si="102">IF(F86&gt;TODAY(),F87,"0")</f>
        <v>1250000</v>
      </c>
      <c r="AD85" s="33">
        <f t="shared" ca="1" si="102"/>
        <v>112500</v>
      </c>
      <c r="AE85" s="33">
        <f t="shared" ca="1" si="102"/>
        <v>937500</v>
      </c>
      <c r="AF85" s="33">
        <f t="shared" ca="1" si="102"/>
        <v>750000</v>
      </c>
      <c r="AG85" s="33">
        <f t="shared" ca="1" si="102"/>
        <v>0</v>
      </c>
      <c r="AH85" s="35">
        <f ca="1">IF(L86&gt;TODAY(),L87,"0")</f>
        <v>0</v>
      </c>
    </row>
    <row r="86" spans="2:34" ht="15.75" customHeight="1" x14ac:dyDescent="0.2">
      <c r="B86" s="38"/>
      <c r="C86" s="25"/>
      <c r="D86" s="39"/>
      <c r="E86" s="40" t="s">
        <v>20</v>
      </c>
      <c r="F86" s="80">
        <f ca="1">IF(C85&lt;=$H$3,IF((F83+('Summary and Assumptions'!$K$118*7))&gt;$D$3,(F83+('Summary and Assumptions'!$K$118*7)),($D$3+$H$4)),"")</f>
        <v>45142</v>
      </c>
      <c r="G86" s="81">
        <f ca="1">IF($C85&lt;=$H$3,IF((F86+('Summary and Assumptions'!$K$119*7))&gt;$D$3,(F86+('Summary and Assumptions'!$K$119*7)),($D$3+$H$4)),"")</f>
        <v>45597</v>
      </c>
      <c r="H86" s="41">
        <f ca="1">IF($C85&lt;=$H$3,IF((F86+('Summary and Assumptions'!$K$120*7))&gt;$D$3,(F86+('Summary and Assumptions'!$K$120*7)),($D$3+$H$4)),"")</f>
        <v>45667</v>
      </c>
      <c r="I86" s="81">
        <f ca="1">IF($C85&lt;=$H$3,IF((H86+('Summary and Assumptions'!$K$121*7))&gt;$D$3,(H86+('Summary and Assumptions'!$K$121*7)),($D$3+$H$4)),"")</f>
        <v>46199</v>
      </c>
      <c r="J86" s="84">
        <f ca="1">IF($C85&lt;=$H$3,IF((I86+('Summary and Assumptions'!$K$122*7))&gt;$D$3,(I86+('Summary and Assumptions'!$K$122*7)),($D$3+$H$4)),"")</f>
        <v>46647</v>
      </c>
      <c r="K86" s="5"/>
      <c r="L86" s="43">
        <f ca="1">IF($C85&lt;=$H$3,IF((J86+('Summary and Assumptions'!$K$123*7))&gt;$D$3,(J86+('Summary and Assumptions'!$K$123*7)),($D$3+$H$4)),"")</f>
        <v>46647</v>
      </c>
      <c r="O86" s="44"/>
      <c r="P86" s="45"/>
      <c r="Q86" s="46"/>
      <c r="R86" s="45"/>
      <c r="S86" s="45"/>
      <c r="T86" s="45"/>
      <c r="U86" s="45"/>
      <c r="V86" s="45"/>
      <c r="W86" s="47"/>
      <c r="X86" s="40"/>
      <c r="Z86" s="48"/>
      <c r="AA86" s="45"/>
      <c r="AB86" s="46"/>
      <c r="AC86" s="45"/>
      <c r="AD86" s="45"/>
      <c r="AE86" s="45"/>
      <c r="AF86" s="45"/>
      <c r="AG86" s="45"/>
      <c r="AH86" s="47"/>
    </row>
    <row r="87" spans="2:34" ht="15.75" customHeight="1" x14ac:dyDescent="0.2">
      <c r="B87" s="38"/>
      <c r="C87" s="49"/>
      <c r="D87" s="50"/>
      <c r="E87" s="51" t="s">
        <v>21</v>
      </c>
      <c r="F87" s="52">
        <f>IF(C85&lt;=$H$3,'Summary and Assumptions'!$D$101,"")</f>
        <v>1250000</v>
      </c>
      <c r="G87" s="52">
        <f>IF(C85&lt;=$H$3,F87*'Summary and Assumptions'!$K$111*'Summary and Assumptions'!$K$102,"")</f>
        <v>112500</v>
      </c>
      <c r="H87" s="52">
        <f>IF(C85&lt;=$H$3,$F87*'Summary and Assumptions'!$K$112*'Summary and Assumptions'!$K$103,"")</f>
        <v>937500</v>
      </c>
      <c r="I87" s="52">
        <f>IF(C85&lt;=$H$3,$F87*'Summary and Assumptions'!$K$113*'Summary and Assumptions'!$K$104,"")</f>
        <v>750000</v>
      </c>
      <c r="J87" s="53">
        <f>IF(C85&lt;=$H$3,$F87*'Summary and Assumptions'!$K$114*'Summary and Assumptions'!$K$105,"")</f>
        <v>0</v>
      </c>
      <c r="K87" s="54" t="str">
        <f ca="1">IF(AND(J86&lt;=$D$3,J87&gt;0),$J$6,IF(AND(I86&lt;=$D$3,I87&gt;0),$I$6,IF(AND(H86&lt;=$D$3,H87&gt;0),$H$6,IF(AND(G86&lt;=$D$3,G87&gt;0),$G$6,IF(AND(F86&lt;=$D$3,F87&gt;0),$F$6,"0")))))</f>
        <v>0</v>
      </c>
      <c r="L87" s="55">
        <f>IF(C85&lt;=$H$3,SUM($F87:$I87)*(1+'Summary and Assumptions'!$D$103),"")</f>
        <v>0</v>
      </c>
      <c r="O87" s="44"/>
      <c r="P87" s="45"/>
      <c r="Q87" s="46"/>
      <c r="R87" s="45"/>
      <c r="S87" s="45"/>
      <c r="T87" s="45"/>
      <c r="U87" s="45"/>
      <c r="V87" s="45"/>
      <c r="W87" s="47"/>
      <c r="X87" s="40"/>
      <c r="Z87" s="48"/>
      <c r="AA87" s="45"/>
      <c r="AB87" s="46"/>
      <c r="AC87" s="45"/>
      <c r="AD87" s="45"/>
      <c r="AE87" s="45"/>
      <c r="AF87" s="45"/>
      <c r="AG87" s="45"/>
      <c r="AH87" s="47"/>
    </row>
    <row r="88" spans="2:34" ht="15.75" customHeight="1" x14ac:dyDescent="0.2">
      <c r="B88" s="26" t="s">
        <v>18</v>
      </c>
      <c r="C88" s="25">
        <f>C85+1</f>
        <v>28</v>
      </c>
      <c r="D88" s="27" t="str">
        <f>IF(C88&lt;=$H$3,"Company"&amp;" "&amp;C88,"")</f>
        <v>Company 28</v>
      </c>
      <c r="E88" s="28" t="s">
        <v>19</v>
      </c>
      <c r="F88" s="29">
        <f t="shared" ref="F88:J88" ca="1" si="103">IFERROR(IF(F89&gt;0,(DATE(YEAR(F89),((INT((MONTH(F89)-1)/3)+1)*3)+1,1)-1),"-"),"NA")</f>
        <v>45199</v>
      </c>
      <c r="G88" s="29">
        <f t="shared" ca="1" si="103"/>
        <v>45657</v>
      </c>
      <c r="H88" s="29">
        <f t="shared" ca="1" si="103"/>
        <v>45747</v>
      </c>
      <c r="I88" s="29">
        <f t="shared" ca="1" si="103"/>
        <v>46295</v>
      </c>
      <c r="J88" s="30">
        <f t="shared" ca="1" si="103"/>
        <v>46752</v>
      </c>
      <c r="L88" s="31">
        <f ca="1">IFERROR(IF(L89&gt;0,(DATE(YEAR(L89),((INT((MONTH(L89)-1)/3)+1)*3)+1,1)-1),"-"),"")</f>
        <v>46752</v>
      </c>
      <c r="O88" s="32" t="str">
        <f ca="1">IF(F89&lt;=TODAY(),C88,"0")</f>
        <v>0</v>
      </c>
      <c r="P88" s="33" t="str">
        <f ca="1">IF(F89&lt;=TODAY(),D88,"0")</f>
        <v>0</v>
      </c>
      <c r="Q88" s="56" t="str">
        <f ca="1">IF(F89&lt;=TODAY(),F89,"0")</f>
        <v>0</v>
      </c>
      <c r="R88" s="33">
        <f t="shared" ref="R88:V88" ca="1" si="104">IF(F89&lt;=TODAY(),F90,0)</f>
        <v>0</v>
      </c>
      <c r="S88" s="33">
        <f t="shared" ca="1" si="104"/>
        <v>0</v>
      </c>
      <c r="T88" s="33">
        <f t="shared" ca="1" si="104"/>
        <v>0</v>
      </c>
      <c r="U88" s="33">
        <f t="shared" ca="1" si="104"/>
        <v>0</v>
      </c>
      <c r="V88" s="33">
        <f t="shared" ca="1" si="104"/>
        <v>0</v>
      </c>
      <c r="W88" s="35">
        <f ca="1">IF(L89&lt;=TODAY(),L90,0)</f>
        <v>0</v>
      </c>
      <c r="X88" s="36" t="str">
        <f ca="1">IF(K89&lt;=TODAY(),K90,"-")</f>
        <v>0</v>
      </c>
      <c r="Z88" s="37">
        <f ca="1">IF(F89&gt;TODAY(),C88,"0")</f>
        <v>28</v>
      </c>
      <c r="AA88" s="33" t="str">
        <f ca="1">IF(F89&gt;TODAY(),D88,"0")</f>
        <v>Company 28</v>
      </c>
      <c r="AB88" s="56">
        <f ca="1">IF(F89&gt;TODAY(),F89,"0")</f>
        <v>45177</v>
      </c>
      <c r="AC88" s="33">
        <f t="shared" ref="AC88:AG88" ca="1" si="105">IF(F89&gt;TODAY(),F90,"0")</f>
        <v>1250000</v>
      </c>
      <c r="AD88" s="33">
        <f t="shared" ca="1" si="105"/>
        <v>112500</v>
      </c>
      <c r="AE88" s="33">
        <f t="shared" ca="1" si="105"/>
        <v>937500</v>
      </c>
      <c r="AF88" s="33">
        <f t="shared" ca="1" si="105"/>
        <v>750000</v>
      </c>
      <c r="AG88" s="33">
        <f t="shared" ca="1" si="105"/>
        <v>0</v>
      </c>
      <c r="AH88" s="35">
        <f ca="1">IF(L89&gt;TODAY(),L90,"0")</f>
        <v>0</v>
      </c>
    </row>
    <row r="89" spans="2:34" ht="15.75" customHeight="1" x14ac:dyDescent="0.2">
      <c r="B89" s="38"/>
      <c r="C89" s="25"/>
      <c r="D89" s="39"/>
      <c r="E89" s="40" t="s">
        <v>20</v>
      </c>
      <c r="F89" s="80">
        <f ca="1">IF(C88&lt;=$H$3,IF((F86+('Summary and Assumptions'!$K$118*7))&gt;$D$3,(F86+('Summary and Assumptions'!$K$118*7)),($D$3+$H$4)),"")</f>
        <v>45177</v>
      </c>
      <c r="G89" s="81">
        <f ca="1">IF($C88&lt;=$H$3,IF((F89+('Summary and Assumptions'!$K$119*7))&gt;$D$3,(F89+('Summary and Assumptions'!$K$119*7)),($D$3+$H$4)),"")</f>
        <v>45632</v>
      </c>
      <c r="H89" s="41">
        <f ca="1">IF($C88&lt;=$H$3,IF((F89+('Summary and Assumptions'!$K$120*7))&gt;$D$3,(F89+('Summary and Assumptions'!$K$120*7)),($D$3+$H$4)),"")</f>
        <v>45702</v>
      </c>
      <c r="I89" s="81">
        <f ca="1">IF($C88&lt;=$H$3,IF((H89+('Summary and Assumptions'!$K$121*7))&gt;$D$3,(H89+('Summary and Assumptions'!$K$121*7)),($D$3+$H$4)),"")</f>
        <v>46234</v>
      </c>
      <c r="J89" s="84">
        <f ca="1">IF($C88&lt;=$H$3,IF((I89+('Summary and Assumptions'!$K$122*7))&gt;$D$3,(I89+('Summary and Assumptions'!$K$122*7)),($D$3+$H$4)),"")</f>
        <v>46682</v>
      </c>
      <c r="K89" s="5"/>
      <c r="L89" s="43">
        <f ca="1">IF($C88&lt;=$H$3,IF((J89+('Summary and Assumptions'!$K$123*7))&gt;$D$3,(J89+('Summary and Assumptions'!$K$123*7)),($D$3+$H$4)),"")</f>
        <v>46682</v>
      </c>
      <c r="O89" s="44"/>
      <c r="P89" s="45"/>
      <c r="Q89" s="46"/>
      <c r="R89" s="45"/>
      <c r="S89" s="45"/>
      <c r="T89" s="45"/>
      <c r="U89" s="45"/>
      <c r="V89" s="45"/>
      <c r="W89" s="47"/>
      <c r="X89" s="40"/>
      <c r="Z89" s="48"/>
      <c r="AA89" s="45"/>
      <c r="AB89" s="46"/>
      <c r="AC89" s="45"/>
      <c r="AD89" s="45"/>
      <c r="AE89" s="45"/>
      <c r="AF89" s="45"/>
      <c r="AG89" s="45"/>
      <c r="AH89" s="47"/>
    </row>
    <row r="90" spans="2:34" ht="15.75" customHeight="1" x14ac:dyDescent="0.2">
      <c r="B90" s="38"/>
      <c r="C90" s="49"/>
      <c r="D90" s="50"/>
      <c r="E90" s="51" t="s">
        <v>21</v>
      </c>
      <c r="F90" s="52">
        <f>IF(C88&lt;=$H$3,'Summary and Assumptions'!$D$101,"")</f>
        <v>1250000</v>
      </c>
      <c r="G90" s="52">
        <f>IF(C88&lt;=$H$3,F90*'Summary and Assumptions'!$K$111*'Summary and Assumptions'!$K$102,"")</f>
        <v>112500</v>
      </c>
      <c r="H90" s="52">
        <f>IF(C88&lt;=$H$3,$F90*'Summary and Assumptions'!$K$112*'Summary and Assumptions'!$K$103,"")</f>
        <v>937500</v>
      </c>
      <c r="I90" s="52">
        <f>IF(C88&lt;=$H$3,$F90*'Summary and Assumptions'!$K$113*'Summary and Assumptions'!$K$104,"")</f>
        <v>750000</v>
      </c>
      <c r="J90" s="53">
        <f>IF(C88&lt;=$H$3,$F90*'Summary and Assumptions'!$K$114*'Summary and Assumptions'!$K$105,"")</f>
        <v>0</v>
      </c>
      <c r="K90" s="54" t="str">
        <f ca="1">IF(AND(J89&lt;=$D$3,J90&gt;0),$J$6,IF(AND(I89&lt;=$D$3,I90&gt;0),$I$6,IF(AND(H89&lt;=$D$3,H90&gt;0),$H$6,IF(AND(G89&lt;=$D$3,G90&gt;0),$G$6,IF(AND(F89&lt;=$D$3,F90&gt;0),$F$6,"0")))))</f>
        <v>0</v>
      </c>
      <c r="L90" s="55">
        <f>IF(C88&lt;=$H$3,SUM($F90:$I90)*(1+'Summary and Assumptions'!$D$103),"")</f>
        <v>0</v>
      </c>
      <c r="O90" s="44"/>
      <c r="P90" s="45"/>
      <c r="Q90" s="46"/>
      <c r="R90" s="45"/>
      <c r="S90" s="45"/>
      <c r="T90" s="45"/>
      <c r="U90" s="45"/>
      <c r="V90" s="45"/>
      <c r="W90" s="47"/>
      <c r="X90" s="40"/>
      <c r="Z90" s="48"/>
      <c r="AA90" s="45"/>
      <c r="AB90" s="46"/>
      <c r="AC90" s="45"/>
      <c r="AD90" s="45"/>
      <c r="AE90" s="45"/>
      <c r="AF90" s="45"/>
      <c r="AG90" s="45"/>
      <c r="AH90" s="47"/>
    </row>
    <row r="91" spans="2:34" ht="15.75" customHeight="1" x14ac:dyDescent="0.2">
      <c r="B91" s="26" t="s">
        <v>18</v>
      </c>
      <c r="C91" s="25">
        <f>C88+1</f>
        <v>29</v>
      </c>
      <c r="D91" s="27" t="str">
        <f>IF(C91&lt;=$H$3,"Company"&amp;" "&amp;C91,"")</f>
        <v>Company 29</v>
      </c>
      <c r="E91" s="28" t="s">
        <v>19</v>
      </c>
      <c r="F91" s="29">
        <f t="shared" ref="F91:J91" ca="1" si="106">IFERROR(IF(F92&gt;0,(DATE(YEAR(F92),((INT((MONTH(F92)-1)/3)+1)*3)+1,1)-1),"-"),"NA")</f>
        <v>45291</v>
      </c>
      <c r="G91" s="29">
        <f t="shared" ca="1" si="106"/>
        <v>45747</v>
      </c>
      <c r="H91" s="29">
        <f t="shared" ca="1" si="106"/>
        <v>45747</v>
      </c>
      <c r="I91" s="29">
        <f t="shared" ca="1" si="106"/>
        <v>46295</v>
      </c>
      <c r="J91" s="30">
        <f t="shared" ca="1" si="106"/>
        <v>46752</v>
      </c>
      <c r="L91" s="31">
        <f ca="1">IFERROR(IF(L92&gt;0,(DATE(YEAR(L92),((INT((MONTH(L92)-1)/3)+1)*3)+1,1)-1),"-"),"")</f>
        <v>46752</v>
      </c>
      <c r="O91" s="32" t="str">
        <f ca="1">IF(F92&lt;=TODAY(),C91,"0")</f>
        <v>0</v>
      </c>
      <c r="P91" s="33" t="str">
        <f ca="1">IF(F92&lt;=TODAY(),D91,"0")</f>
        <v>0</v>
      </c>
      <c r="Q91" s="56" t="str">
        <f ca="1">IF(F92&lt;=TODAY(),F92,"0")</f>
        <v>0</v>
      </c>
      <c r="R91" s="33">
        <f t="shared" ref="R91:V91" ca="1" si="107">IF(F92&lt;=TODAY(),F93,0)</f>
        <v>0</v>
      </c>
      <c r="S91" s="33">
        <f t="shared" ca="1" si="107"/>
        <v>0</v>
      </c>
      <c r="T91" s="33">
        <f t="shared" ca="1" si="107"/>
        <v>0</v>
      </c>
      <c r="U91" s="33">
        <f t="shared" ca="1" si="107"/>
        <v>0</v>
      </c>
      <c r="V91" s="33">
        <f t="shared" ca="1" si="107"/>
        <v>0</v>
      </c>
      <c r="W91" s="35">
        <f ca="1">IF(L92&lt;=TODAY(),L93,0)</f>
        <v>0</v>
      </c>
      <c r="X91" s="36" t="str">
        <f ca="1">IF(K92&lt;=TODAY(),K93,"-")</f>
        <v>0</v>
      </c>
      <c r="Z91" s="37">
        <f ca="1">IF(F92&gt;TODAY(),C91,"0")</f>
        <v>29</v>
      </c>
      <c r="AA91" s="33" t="str">
        <f ca="1">IF(F92&gt;TODAY(),D91,"0")</f>
        <v>Company 29</v>
      </c>
      <c r="AB91" s="56">
        <f ca="1">IF(F92&gt;TODAY(),F92,"0")</f>
        <v>45212</v>
      </c>
      <c r="AC91" s="33">
        <f t="shared" ref="AC91:AG91" ca="1" si="108">IF(F92&gt;TODAY(),F93,"0")</f>
        <v>1250000</v>
      </c>
      <c r="AD91" s="33">
        <f t="shared" ca="1" si="108"/>
        <v>112500</v>
      </c>
      <c r="AE91" s="33">
        <f t="shared" ca="1" si="108"/>
        <v>937500</v>
      </c>
      <c r="AF91" s="33">
        <f t="shared" ca="1" si="108"/>
        <v>750000</v>
      </c>
      <c r="AG91" s="33">
        <f t="shared" ca="1" si="108"/>
        <v>0</v>
      </c>
      <c r="AH91" s="35">
        <f ca="1">IF(L92&gt;TODAY(),L93,"0")</f>
        <v>0</v>
      </c>
    </row>
    <row r="92" spans="2:34" ht="15.75" customHeight="1" x14ac:dyDescent="0.2">
      <c r="B92" s="38"/>
      <c r="C92" s="25"/>
      <c r="D92" s="39"/>
      <c r="E92" s="40" t="s">
        <v>20</v>
      </c>
      <c r="F92" s="80">
        <f ca="1">IF(C91&lt;=$H$3,IF((F89+('Summary and Assumptions'!$K$118*7))&gt;$D$3,(F89+('Summary and Assumptions'!$K$118*7)),($D$3+$H$4)),"")</f>
        <v>45212</v>
      </c>
      <c r="G92" s="81">
        <f ca="1">IF($C91&lt;=$H$3,IF((F92+('Summary and Assumptions'!$K$119*7))&gt;$D$3,(F92+('Summary and Assumptions'!$K$119*7)),($D$3+$H$4)),"")</f>
        <v>45667</v>
      </c>
      <c r="H92" s="41">
        <f ca="1">IF($C91&lt;=$H$3,IF((F92+('Summary and Assumptions'!$K$120*7))&gt;$D$3,(F92+('Summary and Assumptions'!$K$120*7)),($D$3+$H$4)),"")</f>
        <v>45737</v>
      </c>
      <c r="I92" s="81">
        <f ca="1">IF($C91&lt;=$H$3,IF((H92+('Summary and Assumptions'!$K$121*7))&gt;$D$3,(H92+('Summary and Assumptions'!$K$121*7)),($D$3+$H$4)),"")</f>
        <v>46269</v>
      </c>
      <c r="J92" s="84">
        <f ca="1">IF($C91&lt;=$H$3,IF((I92+('Summary and Assumptions'!$K$122*7))&gt;$D$3,(I92+('Summary and Assumptions'!$K$122*7)),($D$3+$H$4)),"")</f>
        <v>46717</v>
      </c>
      <c r="K92" s="5"/>
      <c r="L92" s="43">
        <f ca="1">IF($C91&lt;=$H$3,IF((J92+('Summary and Assumptions'!$K$123*7))&gt;$D$3,(J92+('Summary and Assumptions'!$K$123*7)),($D$3+$H$4)),"")</f>
        <v>46717</v>
      </c>
      <c r="O92" s="44"/>
      <c r="P92" s="45"/>
      <c r="Q92" s="46"/>
      <c r="R92" s="45"/>
      <c r="S92" s="45"/>
      <c r="T92" s="45"/>
      <c r="U92" s="45"/>
      <c r="V92" s="45"/>
      <c r="W92" s="47"/>
      <c r="X92" s="40"/>
      <c r="Z92" s="48"/>
      <c r="AA92" s="45"/>
      <c r="AB92" s="46"/>
      <c r="AC92" s="45"/>
      <c r="AD92" s="45"/>
      <c r="AE92" s="45"/>
      <c r="AF92" s="45"/>
      <c r="AG92" s="45"/>
      <c r="AH92" s="47"/>
    </row>
    <row r="93" spans="2:34" ht="15.75" customHeight="1" x14ac:dyDescent="0.2">
      <c r="B93" s="38"/>
      <c r="C93" s="49"/>
      <c r="D93" s="50"/>
      <c r="E93" s="51" t="s">
        <v>21</v>
      </c>
      <c r="F93" s="52">
        <f>IF(C91&lt;=$H$3,'Summary and Assumptions'!$D$101,"")</f>
        <v>1250000</v>
      </c>
      <c r="G93" s="52">
        <f>IF(C91&lt;=$H$3,F93*'Summary and Assumptions'!$K$111*'Summary and Assumptions'!$K$102,"")</f>
        <v>112500</v>
      </c>
      <c r="H93" s="52">
        <f>IF(C91&lt;=$H$3,$F93*'Summary and Assumptions'!$K$112*'Summary and Assumptions'!$K$103,"")</f>
        <v>937500</v>
      </c>
      <c r="I93" s="52">
        <f>IF(C91&lt;=$H$3,$F93*'Summary and Assumptions'!$K$113*'Summary and Assumptions'!$K$104,"")</f>
        <v>750000</v>
      </c>
      <c r="J93" s="53">
        <f>IF(C91&lt;=$H$3,$F93*'Summary and Assumptions'!$K$114*'Summary and Assumptions'!$K$105,"")</f>
        <v>0</v>
      </c>
      <c r="K93" s="54" t="str">
        <f ca="1">IF(AND(J92&lt;=$D$3,J93&gt;0),$J$6,IF(AND(I92&lt;=$D$3,I93&gt;0),$I$6,IF(AND(H92&lt;=$D$3,H93&gt;0),$H$6,IF(AND(G92&lt;=$D$3,G93&gt;0),$G$6,IF(AND(F92&lt;=$D$3,F93&gt;0),$F$6,"0")))))</f>
        <v>0</v>
      </c>
      <c r="L93" s="55">
        <f>IF(C91&lt;=$H$3,SUM($F93:$I93)*(1+'Summary and Assumptions'!$D$103),"")</f>
        <v>0</v>
      </c>
      <c r="O93" s="44"/>
      <c r="P93" s="45"/>
      <c r="Q93" s="46"/>
      <c r="R93" s="45"/>
      <c r="S93" s="45"/>
      <c r="T93" s="45"/>
      <c r="U93" s="45"/>
      <c r="V93" s="45"/>
      <c r="W93" s="47"/>
      <c r="X93" s="40"/>
      <c r="Z93" s="48"/>
      <c r="AA93" s="45"/>
      <c r="AB93" s="46"/>
      <c r="AC93" s="45"/>
      <c r="AD93" s="45"/>
      <c r="AE93" s="45"/>
      <c r="AF93" s="45"/>
      <c r="AG93" s="45"/>
      <c r="AH93" s="47"/>
    </row>
    <row r="94" spans="2:34" ht="15.75" customHeight="1" x14ac:dyDescent="0.2">
      <c r="B94" s="26" t="s">
        <v>18</v>
      </c>
      <c r="C94" s="25">
        <f>C91+1</f>
        <v>30</v>
      </c>
      <c r="D94" s="27" t="str">
        <f>IF(C94&lt;=$H$3,"Company"&amp;" "&amp;C94,"")</f>
        <v>Company 30</v>
      </c>
      <c r="E94" s="28" t="s">
        <v>19</v>
      </c>
      <c r="F94" s="29">
        <f t="shared" ref="F94:J94" ca="1" si="109">IFERROR(IF(F95&gt;0,(DATE(YEAR(F95),((INT((MONTH(F95)-1)/3)+1)*3)+1,1)-1),"-"),"NA")</f>
        <v>45291</v>
      </c>
      <c r="G94" s="29">
        <f t="shared" ca="1" si="109"/>
        <v>45747</v>
      </c>
      <c r="H94" s="29">
        <f t="shared" ca="1" si="109"/>
        <v>45838</v>
      </c>
      <c r="I94" s="29">
        <f t="shared" ca="1" si="109"/>
        <v>46387</v>
      </c>
      <c r="J94" s="30">
        <f t="shared" ca="1" si="109"/>
        <v>46752</v>
      </c>
      <c r="L94" s="31">
        <f ca="1">IFERROR(IF(L95&gt;0,(DATE(YEAR(L95),((INT((MONTH(L95)-1)/3)+1)*3)+1,1)-1),"-"),"")</f>
        <v>46752</v>
      </c>
      <c r="O94" s="32" t="str">
        <f ca="1">IF(F95&lt;=TODAY(),C94,"0")</f>
        <v>0</v>
      </c>
      <c r="P94" s="33" t="str">
        <f ca="1">IF(F95&lt;=TODAY(),D94,"0")</f>
        <v>0</v>
      </c>
      <c r="Q94" s="56" t="str">
        <f ca="1">IF(F95&lt;=TODAY(),F95,"0")</f>
        <v>0</v>
      </c>
      <c r="R94" s="33">
        <f t="shared" ref="R94:V94" ca="1" si="110">IF(F95&lt;=TODAY(),F96,0)</f>
        <v>0</v>
      </c>
      <c r="S94" s="33">
        <f t="shared" ca="1" si="110"/>
        <v>0</v>
      </c>
      <c r="T94" s="33">
        <f t="shared" ca="1" si="110"/>
        <v>0</v>
      </c>
      <c r="U94" s="33">
        <f t="shared" ca="1" si="110"/>
        <v>0</v>
      </c>
      <c r="V94" s="33">
        <f t="shared" ca="1" si="110"/>
        <v>0</v>
      </c>
      <c r="W94" s="35">
        <f ca="1">IF(L95&lt;=TODAY(),L96,0)</f>
        <v>0</v>
      </c>
      <c r="X94" s="36" t="str">
        <f ca="1">IF(K95&lt;=TODAY(),K96,"-")</f>
        <v>0</v>
      </c>
      <c r="Z94" s="37">
        <f ca="1">IF(F95&gt;TODAY(),C94,"0")</f>
        <v>30</v>
      </c>
      <c r="AA94" s="33" t="str">
        <f ca="1">IF(F95&gt;TODAY(),D94,"0")</f>
        <v>Company 30</v>
      </c>
      <c r="AB94" s="56">
        <f ca="1">IF(F95&gt;TODAY(),F95,"0")</f>
        <v>45247</v>
      </c>
      <c r="AC94" s="33">
        <f t="shared" ref="AC94:AG94" ca="1" si="111">IF(F95&gt;TODAY(),F96,"0")</f>
        <v>1250000</v>
      </c>
      <c r="AD94" s="33">
        <f t="shared" ca="1" si="111"/>
        <v>112500</v>
      </c>
      <c r="AE94" s="33">
        <f t="shared" ca="1" si="111"/>
        <v>937500</v>
      </c>
      <c r="AF94" s="33">
        <f t="shared" ca="1" si="111"/>
        <v>750000</v>
      </c>
      <c r="AG94" s="33">
        <f t="shared" ca="1" si="111"/>
        <v>0</v>
      </c>
      <c r="AH94" s="35">
        <f ca="1">IF(L95&gt;TODAY(),L96,"0")</f>
        <v>0</v>
      </c>
    </row>
    <row r="95" spans="2:34" ht="15.75" customHeight="1" x14ac:dyDescent="0.2">
      <c r="B95" s="38"/>
      <c r="C95" s="25"/>
      <c r="D95" s="39"/>
      <c r="E95" s="40" t="s">
        <v>20</v>
      </c>
      <c r="F95" s="80">
        <f ca="1">IF(C94&lt;=$H$3,IF((F92+('Summary and Assumptions'!$K$118*7))&gt;$D$3,(F92+('Summary and Assumptions'!$K$118*7)),($D$3+$H$4)),"")</f>
        <v>45247</v>
      </c>
      <c r="G95" s="81">
        <f ca="1">IF($C94&lt;=$H$3,IF((F95+('Summary and Assumptions'!$K$119*7))&gt;$D$3,(F95+('Summary and Assumptions'!$K$119*7)),($D$3+$H$4)),"")</f>
        <v>45702</v>
      </c>
      <c r="H95" s="41">
        <f ca="1">IF($C94&lt;=$H$3,IF((F95+('Summary and Assumptions'!$K$120*7))&gt;$D$3,(F95+('Summary and Assumptions'!$K$120*7)),($D$3+$H$4)),"")</f>
        <v>45772</v>
      </c>
      <c r="I95" s="81">
        <f ca="1">IF($C94&lt;=$H$3,IF((H95+('Summary and Assumptions'!$K$121*7))&gt;$D$3,(H95+('Summary and Assumptions'!$K$121*7)),($D$3+$H$4)),"")</f>
        <v>46304</v>
      </c>
      <c r="J95" s="84">
        <f ca="1">IF($C94&lt;=$H$3,IF((I95+('Summary and Assumptions'!$K$122*7))&gt;$D$3,(I95+('Summary and Assumptions'!$K$122*7)),($D$3+$H$4)),"")</f>
        <v>46752</v>
      </c>
      <c r="K95" s="5"/>
      <c r="L95" s="43">
        <f ca="1">IF($C94&lt;=$H$3,IF((J95+('Summary and Assumptions'!$K$123*7))&gt;$D$3,(J95+('Summary and Assumptions'!$K$123*7)),($D$3+$H$4)),"")</f>
        <v>46752</v>
      </c>
      <c r="O95" s="44"/>
      <c r="P95" s="45"/>
      <c r="Q95" s="46"/>
      <c r="R95" s="45"/>
      <c r="S95" s="45"/>
      <c r="T95" s="45"/>
      <c r="U95" s="45"/>
      <c r="V95" s="45"/>
      <c r="W95" s="47"/>
      <c r="X95" s="40"/>
      <c r="Z95" s="48"/>
      <c r="AA95" s="45"/>
      <c r="AB95" s="46"/>
      <c r="AC95" s="45"/>
      <c r="AD95" s="45"/>
      <c r="AE95" s="45"/>
      <c r="AF95" s="45"/>
      <c r="AG95" s="45"/>
      <c r="AH95" s="47"/>
    </row>
    <row r="96" spans="2:34" ht="15.75" customHeight="1" x14ac:dyDescent="0.2">
      <c r="B96" s="38"/>
      <c r="C96" s="49"/>
      <c r="D96" s="50"/>
      <c r="E96" s="51" t="s">
        <v>21</v>
      </c>
      <c r="F96" s="52">
        <f>IF(C94&lt;=$H$3,'Summary and Assumptions'!$D$101,"")</f>
        <v>1250000</v>
      </c>
      <c r="G96" s="52">
        <f>IF(C94&lt;=$H$3,F96*'Summary and Assumptions'!$K$111*'Summary and Assumptions'!$K$102,"")</f>
        <v>112500</v>
      </c>
      <c r="H96" s="52">
        <f>IF(C94&lt;=$H$3,$F96*'Summary and Assumptions'!$K$112*'Summary and Assumptions'!$K$103,"")</f>
        <v>937500</v>
      </c>
      <c r="I96" s="52">
        <f>IF(C94&lt;=$H$3,$F96*'Summary and Assumptions'!$K$113*'Summary and Assumptions'!$K$104,"")</f>
        <v>750000</v>
      </c>
      <c r="J96" s="53">
        <f>IF(C94&lt;=$H$3,$F96*'Summary and Assumptions'!$K$114*'Summary and Assumptions'!$K$105,"")</f>
        <v>0</v>
      </c>
      <c r="K96" s="54" t="str">
        <f ca="1">IF(AND(J95&lt;=$D$3,J96&gt;0),$J$6,IF(AND(I95&lt;=$D$3,I96&gt;0),$I$6,IF(AND(H95&lt;=$D$3,H96&gt;0),$H$6,IF(AND(G95&lt;=$D$3,G96&gt;0),$G$6,IF(AND(F95&lt;=$D$3,F96&gt;0),$F$6,"0")))))</f>
        <v>0</v>
      </c>
      <c r="L96" s="55">
        <f>IF(C94&lt;=$H$3,SUM($F96:$I96)*(1+'Summary and Assumptions'!$D$103),"")</f>
        <v>0</v>
      </c>
      <c r="O96" s="44"/>
      <c r="P96" s="45"/>
      <c r="Q96" s="46"/>
      <c r="R96" s="45"/>
      <c r="S96" s="45"/>
      <c r="T96" s="45"/>
      <c r="U96" s="45"/>
      <c r="V96" s="45"/>
      <c r="W96" s="47"/>
      <c r="X96" s="40"/>
      <c r="Z96" s="48"/>
      <c r="AA96" s="45"/>
      <c r="AB96" s="46"/>
      <c r="AC96" s="45"/>
      <c r="AD96" s="45"/>
      <c r="AE96" s="45"/>
      <c r="AF96" s="45"/>
      <c r="AG96" s="45"/>
      <c r="AH96" s="47"/>
    </row>
    <row r="97" spans="2:34" ht="15.75" customHeight="1" x14ac:dyDescent="0.2">
      <c r="B97" s="26" t="s">
        <v>18</v>
      </c>
      <c r="C97" s="25">
        <f>C94+1</f>
        <v>31</v>
      </c>
      <c r="D97" s="27" t="str">
        <f>IF(C97&lt;=$H$3,"Company"&amp;" "&amp;C97,"")</f>
        <v>Company 31</v>
      </c>
      <c r="E97" s="28" t="s">
        <v>19</v>
      </c>
      <c r="F97" s="29">
        <f t="shared" ref="F97:J97" ca="1" si="112">IFERROR(IF(F98&gt;0,(DATE(YEAR(F98),((INT((MONTH(F98)-1)/3)+1)*3)+1,1)-1),"-"),"NA")</f>
        <v>45291</v>
      </c>
      <c r="G97" s="29">
        <f t="shared" ca="1" si="112"/>
        <v>45747</v>
      </c>
      <c r="H97" s="29">
        <f t="shared" ca="1" si="112"/>
        <v>45838</v>
      </c>
      <c r="I97" s="29">
        <f t="shared" ca="1" si="112"/>
        <v>46387</v>
      </c>
      <c r="J97" s="30">
        <f t="shared" ca="1" si="112"/>
        <v>46843</v>
      </c>
      <c r="L97" s="31">
        <f ca="1">IFERROR(IF(L98&gt;0,(DATE(YEAR(L98),((INT((MONTH(L98)-1)/3)+1)*3)+1,1)-1),"-"),"")</f>
        <v>46843</v>
      </c>
      <c r="O97" s="32" t="str">
        <f ca="1">IF(F98&lt;=TODAY(),C97,"0")</f>
        <v>0</v>
      </c>
      <c r="P97" s="33" t="str">
        <f ca="1">IF(F98&lt;=TODAY(),D97,"0")</f>
        <v>0</v>
      </c>
      <c r="Q97" s="56" t="str">
        <f ca="1">IF(F98&lt;=TODAY(),F98,"0")</f>
        <v>0</v>
      </c>
      <c r="R97" s="33">
        <f t="shared" ref="R97:V97" ca="1" si="113">IF(F98&lt;=TODAY(),F99,0)</f>
        <v>0</v>
      </c>
      <c r="S97" s="33">
        <f t="shared" ca="1" si="113"/>
        <v>0</v>
      </c>
      <c r="T97" s="33">
        <f t="shared" ca="1" si="113"/>
        <v>0</v>
      </c>
      <c r="U97" s="33">
        <f t="shared" ca="1" si="113"/>
        <v>0</v>
      </c>
      <c r="V97" s="33">
        <f t="shared" ca="1" si="113"/>
        <v>0</v>
      </c>
      <c r="W97" s="35">
        <f ca="1">IF(L98&lt;=TODAY(),L99,0)</f>
        <v>0</v>
      </c>
      <c r="X97" s="36" t="str">
        <f ca="1">IF(K98&lt;=TODAY(),K99,"-")</f>
        <v>0</v>
      </c>
      <c r="Z97" s="37">
        <f ca="1">IF(F98&gt;TODAY(),C97,"0")</f>
        <v>31</v>
      </c>
      <c r="AA97" s="33" t="str">
        <f ca="1">IF(F98&gt;TODAY(),D97,"0")</f>
        <v>Company 31</v>
      </c>
      <c r="AB97" s="56">
        <f ca="1">IF(F98&gt;TODAY(),F98,"0")</f>
        <v>45282</v>
      </c>
      <c r="AC97" s="33">
        <f t="shared" ref="AC97:AG97" ca="1" si="114">IF(F98&gt;TODAY(),F99,"0")</f>
        <v>1250000</v>
      </c>
      <c r="AD97" s="33">
        <f t="shared" ca="1" si="114"/>
        <v>112500</v>
      </c>
      <c r="AE97" s="33">
        <f t="shared" ca="1" si="114"/>
        <v>937500</v>
      </c>
      <c r="AF97" s="33">
        <f t="shared" ca="1" si="114"/>
        <v>750000</v>
      </c>
      <c r="AG97" s="33">
        <f t="shared" ca="1" si="114"/>
        <v>0</v>
      </c>
      <c r="AH97" s="35">
        <f ca="1">IF(L98&gt;TODAY(),L99,"0")</f>
        <v>0</v>
      </c>
    </row>
    <row r="98" spans="2:34" ht="15.75" customHeight="1" x14ac:dyDescent="0.2">
      <c r="B98" s="38"/>
      <c r="C98" s="25"/>
      <c r="D98" s="39"/>
      <c r="E98" s="40" t="s">
        <v>20</v>
      </c>
      <c r="F98" s="80">
        <f ca="1">IF(C97&lt;=$H$3,IF((F95+('Summary and Assumptions'!$K$118*7))&gt;$D$3,(F95+('Summary and Assumptions'!$K$118*7)),($D$3+$H$4)),"")</f>
        <v>45282</v>
      </c>
      <c r="G98" s="81">
        <f ca="1">IF($C97&lt;=$H$3,IF((F98+('Summary and Assumptions'!$K$119*7))&gt;$D$3,(F98+('Summary and Assumptions'!$K$119*7)),($D$3+$H$4)),"")</f>
        <v>45737</v>
      </c>
      <c r="H98" s="41">
        <f ca="1">IF($C97&lt;=$H$3,IF((F98+('Summary and Assumptions'!$K$120*7))&gt;$D$3,(F98+('Summary and Assumptions'!$K$120*7)),($D$3+$H$4)),"")</f>
        <v>45807</v>
      </c>
      <c r="I98" s="81">
        <f ca="1">IF($C97&lt;=$H$3,IF((H98+('Summary and Assumptions'!$K$121*7))&gt;$D$3,(H98+('Summary and Assumptions'!$K$121*7)),($D$3+$H$4)),"")</f>
        <v>46339</v>
      </c>
      <c r="J98" s="84">
        <f ca="1">IF($C97&lt;=$H$3,IF((I98+('Summary and Assumptions'!$K$122*7))&gt;$D$3,(I98+('Summary and Assumptions'!$K$122*7)),($D$3+$H$4)),"")</f>
        <v>46787</v>
      </c>
      <c r="K98" s="5"/>
      <c r="L98" s="43">
        <f ca="1">IF($C97&lt;=$H$3,IF((J98+('Summary and Assumptions'!$K$123*7))&gt;$D$3,(J98+('Summary and Assumptions'!$K$123*7)),($D$3+$H$4)),"")</f>
        <v>46787</v>
      </c>
      <c r="O98" s="44"/>
      <c r="P98" s="45"/>
      <c r="Q98" s="46"/>
      <c r="R98" s="45"/>
      <c r="S98" s="45"/>
      <c r="T98" s="45"/>
      <c r="U98" s="45"/>
      <c r="V98" s="45"/>
      <c r="W98" s="47"/>
      <c r="X98" s="40"/>
      <c r="Z98" s="48"/>
      <c r="AA98" s="45"/>
      <c r="AB98" s="46"/>
      <c r="AC98" s="45"/>
      <c r="AD98" s="45"/>
      <c r="AE98" s="45"/>
      <c r="AF98" s="45"/>
      <c r="AG98" s="45"/>
      <c r="AH98" s="47"/>
    </row>
    <row r="99" spans="2:34" ht="15.75" customHeight="1" x14ac:dyDescent="0.2">
      <c r="B99" s="38"/>
      <c r="C99" s="49"/>
      <c r="D99" s="50"/>
      <c r="E99" s="51" t="s">
        <v>21</v>
      </c>
      <c r="F99" s="52">
        <f>IF(C97&lt;=$H$3,'Summary and Assumptions'!$D$101,"")</f>
        <v>1250000</v>
      </c>
      <c r="G99" s="52">
        <f>IF(C97&lt;=$H$3,F99*'Summary and Assumptions'!$K$111*'Summary and Assumptions'!$K$102,"")</f>
        <v>112500</v>
      </c>
      <c r="H99" s="52">
        <f>IF(C97&lt;=$H$3,$F99*'Summary and Assumptions'!$K$112*'Summary and Assumptions'!$K$103,"")</f>
        <v>937500</v>
      </c>
      <c r="I99" s="52">
        <f>IF(C97&lt;=$H$3,$F99*'Summary and Assumptions'!$K$113*'Summary and Assumptions'!$K$104,"")</f>
        <v>750000</v>
      </c>
      <c r="J99" s="53">
        <f>IF(C97&lt;=$H$3,$F99*'Summary and Assumptions'!$K$114*'Summary and Assumptions'!$K$105,"")</f>
        <v>0</v>
      </c>
      <c r="K99" s="54" t="str">
        <f ca="1">IF(AND(J98&lt;=$D$3,J99&gt;0),$J$6,IF(AND(I98&lt;=$D$3,I99&gt;0),$I$6,IF(AND(H98&lt;=$D$3,H99&gt;0),$H$6,IF(AND(G98&lt;=$D$3,G99&gt;0),$G$6,IF(AND(F98&lt;=$D$3,F99&gt;0),$F$6,"0")))))</f>
        <v>0</v>
      </c>
      <c r="L99" s="55">
        <f>IF(C97&lt;=$H$3,SUM($F99:$I99)*(1+'Summary and Assumptions'!$D$103),"")</f>
        <v>0</v>
      </c>
      <c r="O99" s="44"/>
      <c r="P99" s="45"/>
      <c r="Q99" s="46"/>
      <c r="R99" s="45"/>
      <c r="S99" s="45"/>
      <c r="T99" s="45"/>
      <c r="U99" s="45"/>
      <c r="V99" s="45"/>
      <c r="W99" s="47"/>
      <c r="X99" s="40"/>
      <c r="Z99" s="48"/>
      <c r="AA99" s="45"/>
      <c r="AB99" s="46"/>
      <c r="AC99" s="45"/>
      <c r="AD99" s="45"/>
      <c r="AE99" s="45"/>
      <c r="AF99" s="45"/>
      <c r="AG99" s="45"/>
      <c r="AH99" s="47"/>
    </row>
    <row r="100" spans="2:34" ht="15.75" customHeight="1" x14ac:dyDescent="0.2">
      <c r="B100" s="26" t="s">
        <v>18</v>
      </c>
      <c r="C100" s="25">
        <f>C97+1</f>
        <v>32</v>
      </c>
      <c r="D100" s="27" t="str">
        <f>IF(C100&lt;=$H$3,"Company"&amp;" "&amp;C100,"")</f>
        <v>Company 32</v>
      </c>
      <c r="E100" s="28" t="s">
        <v>19</v>
      </c>
      <c r="F100" s="29">
        <f t="shared" ref="F100:J100" ca="1" si="115">IFERROR(IF(F101&gt;0,(DATE(YEAR(F101),((INT((MONTH(F101)-1)/3)+1)*3)+1,1)-1),"-"),"NA")</f>
        <v>45382</v>
      </c>
      <c r="G100" s="29">
        <f t="shared" ca="1" si="115"/>
        <v>45838</v>
      </c>
      <c r="H100" s="29">
        <f t="shared" ca="1" si="115"/>
        <v>45930</v>
      </c>
      <c r="I100" s="29">
        <f t="shared" ca="1" si="115"/>
        <v>46387</v>
      </c>
      <c r="J100" s="30">
        <f t="shared" ca="1" si="115"/>
        <v>46843</v>
      </c>
      <c r="L100" s="31">
        <f ca="1">IFERROR(IF(L101&gt;0,(DATE(YEAR(L101),((INT((MONTH(L101)-1)/3)+1)*3)+1,1)-1),"-"),"")</f>
        <v>46843</v>
      </c>
      <c r="O100" s="32" t="str">
        <f ca="1">IF(F101&lt;=TODAY(),C100,"0")</f>
        <v>0</v>
      </c>
      <c r="P100" s="33" t="str">
        <f ca="1">IF(F101&lt;=TODAY(),D100,"0")</f>
        <v>0</v>
      </c>
      <c r="Q100" s="56" t="str">
        <f ca="1">IF(F101&lt;=TODAY(),F101,"0")</f>
        <v>0</v>
      </c>
      <c r="R100" s="33">
        <f t="shared" ref="R100:V100" ca="1" si="116">IF(F101&lt;=TODAY(),F102,0)</f>
        <v>0</v>
      </c>
      <c r="S100" s="33">
        <f t="shared" ca="1" si="116"/>
        <v>0</v>
      </c>
      <c r="T100" s="33">
        <f t="shared" ca="1" si="116"/>
        <v>0</v>
      </c>
      <c r="U100" s="33">
        <f t="shared" ca="1" si="116"/>
        <v>0</v>
      </c>
      <c r="V100" s="33">
        <f t="shared" ca="1" si="116"/>
        <v>0</v>
      </c>
      <c r="W100" s="35">
        <f ca="1">IF(L101&lt;=TODAY(),L102,0)</f>
        <v>0</v>
      </c>
      <c r="X100" s="36" t="str">
        <f ca="1">IF(K101&lt;=TODAY(),K102,"-")</f>
        <v>0</v>
      </c>
      <c r="Z100" s="37">
        <f ca="1">IF(F101&gt;TODAY(),C100,"0")</f>
        <v>32</v>
      </c>
      <c r="AA100" s="33" t="str">
        <f ca="1">IF(F101&gt;TODAY(),D100,"0")</f>
        <v>Company 32</v>
      </c>
      <c r="AB100" s="56">
        <f ca="1">IF(F101&gt;TODAY(),F101,"0")</f>
        <v>45317</v>
      </c>
      <c r="AC100" s="33">
        <f t="shared" ref="AC100:AG100" ca="1" si="117">IF(F101&gt;TODAY(),F102,"0")</f>
        <v>1250000</v>
      </c>
      <c r="AD100" s="33">
        <f t="shared" ca="1" si="117"/>
        <v>112500</v>
      </c>
      <c r="AE100" s="33">
        <f t="shared" ca="1" si="117"/>
        <v>937500</v>
      </c>
      <c r="AF100" s="33">
        <f t="shared" ca="1" si="117"/>
        <v>750000</v>
      </c>
      <c r="AG100" s="33">
        <f t="shared" ca="1" si="117"/>
        <v>0</v>
      </c>
      <c r="AH100" s="35">
        <f ca="1">IF(L101&gt;TODAY(),L102,"0")</f>
        <v>0</v>
      </c>
    </row>
    <row r="101" spans="2:34" ht="15.75" customHeight="1" x14ac:dyDescent="0.2">
      <c r="B101" s="38"/>
      <c r="C101" s="25"/>
      <c r="D101" s="39"/>
      <c r="E101" s="40" t="s">
        <v>20</v>
      </c>
      <c r="F101" s="80">
        <f ca="1">IF(C100&lt;=$H$3,IF((F98+('Summary and Assumptions'!$K$118*7))&gt;$D$3,(F98+('Summary and Assumptions'!$K$118*7)),($D$3+$H$4)),"")</f>
        <v>45317</v>
      </c>
      <c r="G101" s="81">
        <f ca="1">IF($C100&lt;=$H$3,IF((F101+('Summary and Assumptions'!$K$119*7))&gt;$D$3,(F101+('Summary and Assumptions'!$K$119*7)),($D$3+$H$4)),"")</f>
        <v>45772</v>
      </c>
      <c r="H101" s="41">
        <f ca="1">IF($C100&lt;=$H$3,IF((F101+('Summary and Assumptions'!$K$120*7))&gt;$D$3,(F101+('Summary and Assumptions'!$K$120*7)),($D$3+$H$4)),"")</f>
        <v>45842</v>
      </c>
      <c r="I101" s="81">
        <f ca="1">IF($C100&lt;=$H$3,IF((H101+('Summary and Assumptions'!$K$121*7))&gt;$D$3,(H101+('Summary and Assumptions'!$K$121*7)),($D$3+$H$4)),"")</f>
        <v>46374</v>
      </c>
      <c r="J101" s="84">
        <f ca="1">IF($C100&lt;=$H$3,IF((I101+('Summary and Assumptions'!$K$122*7))&gt;$D$3,(I101+('Summary and Assumptions'!$K$122*7)),($D$3+$H$4)),"")</f>
        <v>46822</v>
      </c>
      <c r="K101" s="5"/>
      <c r="L101" s="43">
        <f ca="1">IF($C100&lt;=$H$3,IF((J101+('Summary and Assumptions'!$K$123*7))&gt;$D$3,(J101+('Summary and Assumptions'!$K$123*7)),($D$3+$H$4)),"")</f>
        <v>46822</v>
      </c>
      <c r="O101" s="44"/>
      <c r="P101" s="45"/>
      <c r="Q101" s="46"/>
      <c r="R101" s="45"/>
      <c r="S101" s="45"/>
      <c r="T101" s="45"/>
      <c r="U101" s="45"/>
      <c r="V101" s="45"/>
      <c r="W101" s="47"/>
      <c r="X101" s="40"/>
      <c r="Z101" s="48"/>
      <c r="AA101" s="45"/>
      <c r="AB101" s="46"/>
      <c r="AC101" s="45"/>
      <c r="AD101" s="45"/>
      <c r="AE101" s="45"/>
      <c r="AF101" s="45"/>
      <c r="AG101" s="45"/>
      <c r="AH101" s="47"/>
    </row>
    <row r="102" spans="2:34" ht="15.75" customHeight="1" x14ac:dyDescent="0.2">
      <c r="B102" s="38"/>
      <c r="C102" s="49"/>
      <c r="D102" s="50"/>
      <c r="E102" s="51" t="s">
        <v>21</v>
      </c>
      <c r="F102" s="52">
        <f>IF(C100&lt;=$H$3,'Summary and Assumptions'!$D$101,"")</f>
        <v>1250000</v>
      </c>
      <c r="G102" s="52">
        <f>IF(C100&lt;=$H$3,F102*'Summary and Assumptions'!$K$111*'Summary and Assumptions'!$K$102,"")</f>
        <v>112500</v>
      </c>
      <c r="H102" s="52">
        <f>IF(C100&lt;=$H$3,$F102*'Summary and Assumptions'!$K$112*'Summary and Assumptions'!$K$103,"")</f>
        <v>937500</v>
      </c>
      <c r="I102" s="52">
        <f>IF(C100&lt;=$H$3,$F102*'Summary and Assumptions'!$K$113*'Summary and Assumptions'!$K$104,"")</f>
        <v>750000</v>
      </c>
      <c r="J102" s="53">
        <f>IF(C100&lt;=$H$3,$F102*'Summary and Assumptions'!$K$114*'Summary and Assumptions'!$K$105,"")</f>
        <v>0</v>
      </c>
      <c r="K102" s="54" t="str">
        <f ca="1">IF(AND(J101&lt;=$D$3,J102&gt;0),$J$6,IF(AND(I101&lt;=$D$3,I102&gt;0),$I$6,IF(AND(H101&lt;=$D$3,H102&gt;0),$H$6,IF(AND(G101&lt;=$D$3,G102&gt;0),$G$6,IF(AND(F101&lt;=$D$3,F102&gt;0),$F$6,"0")))))</f>
        <v>0</v>
      </c>
      <c r="L102" s="55">
        <f>IF(C100&lt;=$H$3,SUM($F102:$I102)*(1+'Summary and Assumptions'!$D$103),"")</f>
        <v>0</v>
      </c>
      <c r="O102" s="44"/>
      <c r="P102" s="45"/>
      <c r="Q102" s="46"/>
      <c r="R102" s="45"/>
      <c r="S102" s="45"/>
      <c r="T102" s="45"/>
      <c r="U102" s="45"/>
      <c r="V102" s="45"/>
      <c r="W102" s="47"/>
      <c r="X102" s="40"/>
      <c r="Z102" s="48"/>
      <c r="AA102" s="45"/>
      <c r="AB102" s="46"/>
      <c r="AC102" s="45"/>
      <c r="AD102" s="45"/>
      <c r="AE102" s="45"/>
      <c r="AF102" s="45"/>
      <c r="AG102" s="45"/>
      <c r="AH102" s="47"/>
    </row>
    <row r="103" spans="2:34" ht="15.75" customHeight="1" x14ac:dyDescent="0.2">
      <c r="B103" s="26" t="s">
        <v>18</v>
      </c>
      <c r="C103" s="25">
        <f>C100+1</f>
        <v>33</v>
      </c>
      <c r="D103" s="27" t="str">
        <f>IF(C103&lt;=$H$3,"Company"&amp;" "&amp;C103,"")</f>
        <v>Company 33</v>
      </c>
      <c r="E103" s="28" t="s">
        <v>19</v>
      </c>
      <c r="F103" s="29">
        <f t="shared" ref="F103:J103" ca="1" si="118">IFERROR(IF(F104&gt;0,(DATE(YEAR(F104),((INT((MONTH(F104)-1)/3)+1)*3)+1,1)-1),"-"),"NA")</f>
        <v>45382</v>
      </c>
      <c r="G103" s="29">
        <f t="shared" ca="1" si="118"/>
        <v>45838</v>
      </c>
      <c r="H103" s="29">
        <f t="shared" ca="1" si="118"/>
        <v>45930</v>
      </c>
      <c r="I103" s="29">
        <f t="shared" ca="1" si="118"/>
        <v>46477</v>
      </c>
      <c r="J103" s="30">
        <f t="shared" ca="1" si="118"/>
        <v>46934</v>
      </c>
      <c r="L103" s="31">
        <f ca="1">IFERROR(IF(L104&gt;0,(DATE(YEAR(L104),((INT((MONTH(L104)-1)/3)+1)*3)+1,1)-1),"-"),"")</f>
        <v>46934</v>
      </c>
      <c r="O103" s="32" t="str">
        <f ca="1">IF(F104&lt;=TODAY(),C103,"0")</f>
        <v>0</v>
      </c>
      <c r="P103" s="33" t="str">
        <f ca="1">IF(F104&lt;=TODAY(),D103,"0")</f>
        <v>0</v>
      </c>
      <c r="Q103" s="56" t="str">
        <f ca="1">IF(F104&lt;=TODAY(),F104,"0")</f>
        <v>0</v>
      </c>
      <c r="R103" s="33">
        <f t="shared" ref="R103:V103" ca="1" si="119">IF(F104&lt;=TODAY(),F105,0)</f>
        <v>0</v>
      </c>
      <c r="S103" s="33">
        <f t="shared" ca="1" si="119"/>
        <v>0</v>
      </c>
      <c r="T103" s="33">
        <f t="shared" ca="1" si="119"/>
        <v>0</v>
      </c>
      <c r="U103" s="33">
        <f t="shared" ca="1" si="119"/>
        <v>0</v>
      </c>
      <c r="V103" s="33">
        <f t="shared" ca="1" si="119"/>
        <v>0</v>
      </c>
      <c r="W103" s="35">
        <f ca="1">IF(L104&lt;=TODAY(),L105,0)</f>
        <v>0</v>
      </c>
      <c r="X103" s="36" t="str">
        <f ca="1">IF(K104&lt;=TODAY(),K105,"-")</f>
        <v>0</v>
      </c>
      <c r="Z103" s="37">
        <f ca="1">IF(F104&gt;TODAY(),C103,"0")</f>
        <v>33</v>
      </c>
      <c r="AA103" s="33" t="str">
        <f ca="1">IF(F104&gt;TODAY(),D103,"0")</f>
        <v>Company 33</v>
      </c>
      <c r="AB103" s="56">
        <f ca="1">IF(F104&gt;TODAY(),F104,"0")</f>
        <v>45352</v>
      </c>
      <c r="AC103" s="33">
        <f t="shared" ref="AC103:AG103" ca="1" si="120">IF(F104&gt;TODAY(),F105,"0")</f>
        <v>1250000</v>
      </c>
      <c r="AD103" s="33">
        <f t="shared" ca="1" si="120"/>
        <v>112500</v>
      </c>
      <c r="AE103" s="33">
        <f t="shared" ca="1" si="120"/>
        <v>937500</v>
      </c>
      <c r="AF103" s="33">
        <f t="shared" ca="1" si="120"/>
        <v>750000</v>
      </c>
      <c r="AG103" s="33">
        <f t="shared" ca="1" si="120"/>
        <v>0</v>
      </c>
      <c r="AH103" s="35">
        <f ca="1">IF(L104&gt;TODAY(),L105,"0")</f>
        <v>0</v>
      </c>
    </row>
    <row r="104" spans="2:34" ht="15.75" customHeight="1" x14ac:dyDescent="0.2">
      <c r="B104" s="38"/>
      <c r="C104" s="25"/>
      <c r="D104" s="39"/>
      <c r="E104" s="40" t="s">
        <v>20</v>
      </c>
      <c r="F104" s="80">
        <f ca="1">IF(C103&lt;=$H$3,IF((F101+('Summary and Assumptions'!$K$118*7))&gt;$D$3,(F101+('Summary and Assumptions'!$K$118*7)),($D$3+$H$4)),"")</f>
        <v>45352</v>
      </c>
      <c r="G104" s="81">
        <f ca="1">IF($C103&lt;=$H$3,IF((F104+('Summary and Assumptions'!$K$119*7))&gt;$D$3,(F104+('Summary and Assumptions'!$K$119*7)),($D$3+$H$4)),"")</f>
        <v>45807</v>
      </c>
      <c r="H104" s="41">
        <f ca="1">IF($C103&lt;=$H$3,IF((F104+('Summary and Assumptions'!$K$120*7))&gt;$D$3,(F104+('Summary and Assumptions'!$K$120*7)),($D$3+$H$4)),"")</f>
        <v>45877</v>
      </c>
      <c r="I104" s="81">
        <f ca="1">IF($C103&lt;=$H$3,IF((H104+('Summary and Assumptions'!$K$121*7))&gt;$D$3,(H104+('Summary and Assumptions'!$K$121*7)),($D$3+$H$4)),"")</f>
        <v>46409</v>
      </c>
      <c r="J104" s="84">
        <f ca="1">IF($C103&lt;=$H$3,IF((I104+('Summary and Assumptions'!$K$122*7))&gt;$D$3,(I104+('Summary and Assumptions'!$K$122*7)),($D$3+$H$4)),"")</f>
        <v>46857</v>
      </c>
      <c r="K104" s="5"/>
      <c r="L104" s="43">
        <f ca="1">IF($C103&lt;=$H$3,IF((J104+('Summary and Assumptions'!$K$123*7))&gt;$D$3,(J104+('Summary and Assumptions'!$K$123*7)),($D$3+$H$4)),"")</f>
        <v>46857</v>
      </c>
      <c r="O104" s="44"/>
      <c r="P104" s="45"/>
      <c r="Q104" s="46"/>
      <c r="R104" s="45"/>
      <c r="S104" s="45"/>
      <c r="T104" s="45"/>
      <c r="U104" s="45"/>
      <c r="V104" s="45"/>
      <c r="W104" s="47"/>
      <c r="X104" s="40"/>
      <c r="Z104" s="48"/>
      <c r="AA104" s="45"/>
      <c r="AB104" s="46"/>
      <c r="AC104" s="45"/>
      <c r="AD104" s="45"/>
      <c r="AE104" s="45"/>
      <c r="AF104" s="45"/>
      <c r="AG104" s="45"/>
      <c r="AH104" s="47"/>
    </row>
    <row r="105" spans="2:34" ht="15.75" customHeight="1" x14ac:dyDescent="0.2">
      <c r="B105" s="38"/>
      <c r="C105" s="49"/>
      <c r="D105" s="50"/>
      <c r="E105" s="51" t="s">
        <v>21</v>
      </c>
      <c r="F105" s="52">
        <f>IF(C103&lt;=$H$3,'Summary and Assumptions'!$D$101,"")</f>
        <v>1250000</v>
      </c>
      <c r="G105" s="52">
        <f>IF(C103&lt;=$H$3,F105*'Summary and Assumptions'!$K$111*'Summary and Assumptions'!$K$102,"")</f>
        <v>112500</v>
      </c>
      <c r="H105" s="52">
        <f>IF(C103&lt;=$H$3,$F105*'Summary and Assumptions'!$K$112*'Summary and Assumptions'!$K$103,"")</f>
        <v>937500</v>
      </c>
      <c r="I105" s="52">
        <f>IF(C103&lt;=$H$3,$F105*'Summary and Assumptions'!$K$113*'Summary and Assumptions'!$K$104,"")</f>
        <v>750000</v>
      </c>
      <c r="J105" s="53">
        <f>IF(C103&lt;=$H$3,$F105*'Summary and Assumptions'!$K$114*'Summary and Assumptions'!$K$105,"")</f>
        <v>0</v>
      </c>
      <c r="K105" s="54" t="str">
        <f ca="1">IF(AND(J104&lt;=$D$3,J105&gt;0),$J$6,IF(AND(I104&lt;=$D$3,I105&gt;0),$I$6,IF(AND(H104&lt;=$D$3,H105&gt;0),$H$6,IF(AND(G104&lt;=$D$3,G105&gt;0),$G$6,IF(AND(F104&lt;=$D$3,F105&gt;0),$F$6,"0")))))</f>
        <v>0</v>
      </c>
      <c r="L105" s="55">
        <f>IF(C103&lt;=$H$3,SUM($F105:$I105)*(1+'Summary and Assumptions'!$D$103),"")</f>
        <v>0</v>
      </c>
      <c r="O105" s="44"/>
      <c r="P105" s="45"/>
      <c r="Q105" s="46"/>
      <c r="R105" s="45"/>
      <c r="S105" s="45"/>
      <c r="T105" s="45"/>
      <c r="U105" s="45"/>
      <c r="V105" s="45"/>
      <c r="W105" s="47"/>
      <c r="X105" s="40"/>
      <c r="Z105" s="48"/>
      <c r="AA105" s="45"/>
      <c r="AB105" s="46"/>
      <c r="AC105" s="45"/>
      <c r="AD105" s="45"/>
      <c r="AE105" s="45"/>
      <c r="AF105" s="45"/>
      <c r="AG105" s="45"/>
      <c r="AH105" s="47"/>
    </row>
    <row r="106" spans="2:34" ht="15.75" customHeight="1" x14ac:dyDescent="0.2">
      <c r="B106" s="26" t="s">
        <v>18</v>
      </c>
      <c r="C106" s="25">
        <f>C103+1</f>
        <v>34</v>
      </c>
      <c r="D106" s="27" t="str">
        <f>IF(C106&lt;=$H$3,"Company"&amp;" "&amp;C106,"")</f>
        <v>Company 34</v>
      </c>
      <c r="E106" s="28" t="s">
        <v>19</v>
      </c>
      <c r="F106" s="29">
        <f t="shared" ref="F106:J106" ca="1" si="121">IFERROR(IF(F107&gt;0,(DATE(YEAR(F107),((INT((MONTH(F107)-1)/3)+1)*3)+1,1)-1),"-"),"NA")</f>
        <v>45473</v>
      </c>
      <c r="G106" s="29">
        <f t="shared" ca="1" si="121"/>
        <v>45930</v>
      </c>
      <c r="H106" s="29">
        <f t="shared" ca="1" si="121"/>
        <v>45930</v>
      </c>
      <c r="I106" s="29">
        <f t="shared" ca="1" si="121"/>
        <v>46477</v>
      </c>
      <c r="J106" s="30">
        <f t="shared" ca="1" si="121"/>
        <v>46934</v>
      </c>
      <c r="L106" s="31">
        <f ca="1">IFERROR(IF(L107&gt;0,(DATE(YEAR(L107),((INT((MONTH(L107)-1)/3)+1)*3)+1,1)-1),"-"),"")</f>
        <v>46934</v>
      </c>
      <c r="O106" s="32" t="str">
        <f ca="1">IF(F107&lt;=TODAY(),C106,"0")</f>
        <v>0</v>
      </c>
      <c r="P106" s="33" t="str">
        <f ca="1">IF(F107&lt;=TODAY(),D106,"0")</f>
        <v>0</v>
      </c>
      <c r="Q106" s="56" t="str">
        <f ca="1">IF(F107&lt;=TODAY(),F107,"0")</f>
        <v>0</v>
      </c>
      <c r="R106" s="33">
        <f t="shared" ref="R106:V106" ca="1" si="122">IF(F107&lt;=TODAY(),F108,0)</f>
        <v>0</v>
      </c>
      <c r="S106" s="33">
        <f t="shared" ca="1" si="122"/>
        <v>0</v>
      </c>
      <c r="T106" s="33">
        <f t="shared" ca="1" si="122"/>
        <v>0</v>
      </c>
      <c r="U106" s="33">
        <f t="shared" ca="1" si="122"/>
        <v>0</v>
      </c>
      <c r="V106" s="33">
        <f t="shared" ca="1" si="122"/>
        <v>0</v>
      </c>
      <c r="W106" s="35">
        <f ca="1">IF(L107&lt;=TODAY(),L108,0)</f>
        <v>0</v>
      </c>
      <c r="X106" s="36" t="str">
        <f ca="1">IF(K107&lt;=TODAY(),K108,"-")</f>
        <v>0</v>
      </c>
      <c r="Z106" s="37">
        <f ca="1">IF(F107&gt;TODAY(),C106,"0")</f>
        <v>34</v>
      </c>
      <c r="AA106" s="33" t="str">
        <f ca="1">IF(F107&gt;TODAY(),D106,"0")</f>
        <v>Company 34</v>
      </c>
      <c r="AB106" s="56">
        <f ca="1">IF(F107&gt;TODAY(),F107,"0")</f>
        <v>45387</v>
      </c>
      <c r="AC106" s="33">
        <f t="shared" ref="AC106:AG106" ca="1" si="123">IF(F107&gt;TODAY(),F108,"0")</f>
        <v>1250000</v>
      </c>
      <c r="AD106" s="33">
        <f t="shared" ca="1" si="123"/>
        <v>112500</v>
      </c>
      <c r="AE106" s="33">
        <f t="shared" ca="1" si="123"/>
        <v>937500</v>
      </c>
      <c r="AF106" s="33">
        <f t="shared" ca="1" si="123"/>
        <v>750000</v>
      </c>
      <c r="AG106" s="33">
        <f t="shared" ca="1" si="123"/>
        <v>0</v>
      </c>
      <c r="AH106" s="35">
        <f ca="1">IF(L107&gt;TODAY(),L108,"0")</f>
        <v>0</v>
      </c>
    </row>
    <row r="107" spans="2:34" ht="15.75" customHeight="1" x14ac:dyDescent="0.2">
      <c r="B107" s="38"/>
      <c r="C107" s="25"/>
      <c r="D107" s="39"/>
      <c r="E107" s="40" t="s">
        <v>20</v>
      </c>
      <c r="F107" s="80">
        <f ca="1">IF(C106&lt;=$H$3,IF((F104+('Summary and Assumptions'!$K$118*7))&gt;$D$3,(F104+('Summary and Assumptions'!$K$118*7)),($D$3+$H$4)),"")</f>
        <v>45387</v>
      </c>
      <c r="G107" s="81">
        <f ca="1">IF($C106&lt;=$H$3,IF((F107+('Summary and Assumptions'!$K$119*7))&gt;$D$3,(F107+('Summary and Assumptions'!$K$119*7)),($D$3+$H$4)),"")</f>
        <v>45842</v>
      </c>
      <c r="H107" s="41">
        <f ca="1">IF($C106&lt;=$H$3,IF((F107+('Summary and Assumptions'!$K$120*7))&gt;$D$3,(F107+('Summary and Assumptions'!$K$120*7)),($D$3+$H$4)),"")</f>
        <v>45912</v>
      </c>
      <c r="I107" s="81">
        <f ca="1">IF($C106&lt;=$H$3,IF((H107+('Summary and Assumptions'!$K$121*7))&gt;$D$3,(H107+('Summary and Assumptions'!$K$121*7)),($D$3+$H$4)),"")</f>
        <v>46444</v>
      </c>
      <c r="J107" s="84">
        <f ca="1">IF($C106&lt;=$H$3,IF((I107+('Summary and Assumptions'!$K$122*7))&gt;$D$3,(I107+('Summary and Assumptions'!$K$122*7)),($D$3+$H$4)),"")</f>
        <v>46892</v>
      </c>
      <c r="K107" s="5"/>
      <c r="L107" s="43">
        <f ca="1">IF($C106&lt;=$H$3,IF((J107+('Summary and Assumptions'!$K$123*7))&gt;$D$3,(J107+('Summary and Assumptions'!$K$123*7)),($D$3+$H$4)),"")</f>
        <v>46892</v>
      </c>
      <c r="O107" s="44"/>
      <c r="P107" s="45"/>
      <c r="Q107" s="46"/>
      <c r="R107" s="45"/>
      <c r="S107" s="45"/>
      <c r="T107" s="45"/>
      <c r="U107" s="45"/>
      <c r="V107" s="45"/>
      <c r="W107" s="47"/>
      <c r="X107" s="40"/>
      <c r="Z107" s="48"/>
      <c r="AA107" s="45"/>
      <c r="AB107" s="46"/>
      <c r="AC107" s="45"/>
      <c r="AD107" s="45"/>
      <c r="AE107" s="45"/>
      <c r="AF107" s="45"/>
      <c r="AG107" s="45"/>
      <c r="AH107" s="47"/>
    </row>
    <row r="108" spans="2:34" ht="15.75" customHeight="1" x14ac:dyDescent="0.2">
      <c r="B108" s="38"/>
      <c r="C108" s="49"/>
      <c r="D108" s="50"/>
      <c r="E108" s="51" t="s">
        <v>21</v>
      </c>
      <c r="F108" s="52">
        <f>IF(C106&lt;=$H$3,'Summary and Assumptions'!$D$101,"")</f>
        <v>1250000</v>
      </c>
      <c r="G108" s="52">
        <f>IF(C106&lt;=$H$3,F108*'Summary and Assumptions'!$K$111*'Summary and Assumptions'!$K$102,"")</f>
        <v>112500</v>
      </c>
      <c r="H108" s="52">
        <f>IF(C106&lt;=$H$3,$F108*'Summary and Assumptions'!$K$112*'Summary and Assumptions'!$K$103,"")</f>
        <v>937500</v>
      </c>
      <c r="I108" s="52">
        <f>IF(C106&lt;=$H$3,$F108*'Summary and Assumptions'!$K$113*'Summary and Assumptions'!$K$104,"")</f>
        <v>750000</v>
      </c>
      <c r="J108" s="53">
        <f>IF(C106&lt;=$H$3,$F108*'Summary and Assumptions'!$K$114*'Summary and Assumptions'!$K$105,"")</f>
        <v>0</v>
      </c>
      <c r="K108" s="54" t="str">
        <f ca="1">IF(AND(J107&lt;=$D$3,J108&gt;0),$J$6,IF(AND(I107&lt;=$D$3,I108&gt;0),$I$6,IF(AND(H107&lt;=$D$3,H108&gt;0),$H$6,IF(AND(G107&lt;=$D$3,G108&gt;0),$G$6,IF(AND(F107&lt;=$D$3,F108&gt;0),$F$6,"0")))))</f>
        <v>0</v>
      </c>
      <c r="L108" s="55">
        <f>IF(C106&lt;=$H$3,SUM($F108:$I108)*(1+'Summary and Assumptions'!$D$103),"")</f>
        <v>0</v>
      </c>
      <c r="O108" s="44"/>
      <c r="P108" s="45"/>
      <c r="Q108" s="46"/>
      <c r="R108" s="45"/>
      <c r="S108" s="45"/>
      <c r="T108" s="45"/>
      <c r="U108" s="45"/>
      <c r="V108" s="45"/>
      <c r="W108" s="47"/>
      <c r="X108" s="40"/>
      <c r="Z108" s="48"/>
      <c r="AA108" s="45"/>
      <c r="AB108" s="46"/>
      <c r="AC108" s="45"/>
      <c r="AD108" s="45"/>
      <c r="AE108" s="45"/>
      <c r="AF108" s="45"/>
      <c r="AG108" s="45"/>
      <c r="AH108" s="47"/>
    </row>
    <row r="109" spans="2:34" ht="15.75" customHeight="1" x14ac:dyDescent="0.2">
      <c r="B109" s="26" t="s">
        <v>18</v>
      </c>
      <c r="C109" s="25">
        <f>C106+1</f>
        <v>35</v>
      </c>
      <c r="D109" s="27" t="str">
        <f>IF(C109&lt;=$H$3,"Company"&amp;" "&amp;C109,"")</f>
        <v>Company 35</v>
      </c>
      <c r="E109" s="28" t="s">
        <v>19</v>
      </c>
      <c r="F109" s="29">
        <f t="shared" ref="F109:J109" ca="1" si="124">IFERROR(IF(F110&gt;0,(DATE(YEAR(F110),((INT((MONTH(F110)-1)/3)+1)*3)+1,1)-1),"-"),"NA")</f>
        <v>45473</v>
      </c>
      <c r="G109" s="29">
        <f t="shared" ca="1" si="124"/>
        <v>45930</v>
      </c>
      <c r="H109" s="29">
        <f t="shared" ca="1" si="124"/>
        <v>46022</v>
      </c>
      <c r="I109" s="29">
        <f t="shared" ca="1" si="124"/>
        <v>46568</v>
      </c>
      <c r="J109" s="30">
        <f t="shared" ca="1" si="124"/>
        <v>46934</v>
      </c>
      <c r="L109" s="31">
        <f ca="1">IFERROR(IF(L110&gt;0,(DATE(YEAR(L110),((INT((MONTH(L110)-1)/3)+1)*3)+1,1)-1),"-"),"")</f>
        <v>46934</v>
      </c>
      <c r="O109" s="32" t="str">
        <f ca="1">IF(F110&lt;=TODAY(),C109,"0")</f>
        <v>0</v>
      </c>
      <c r="P109" s="33" t="str">
        <f ca="1">IF(F110&lt;=TODAY(),D109,"0")</f>
        <v>0</v>
      </c>
      <c r="Q109" s="56" t="str">
        <f ca="1">IF(F110&lt;=TODAY(),F110,"0")</f>
        <v>0</v>
      </c>
      <c r="R109" s="33">
        <f t="shared" ref="R109:V109" ca="1" si="125">IF(F110&lt;=TODAY(),F111,0)</f>
        <v>0</v>
      </c>
      <c r="S109" s="33">
        <f t="shared" ca="1" si="125"/>
        <v>0</v>
      </c>
      <c r="T109" s="33">
        <f t="shared" ca="1" si="125"/>
        <v>0</v>
      </c>
      <c r="U109" s="33">
        <f t="shared" ca="1" si="125"/>
        <v>0</v>
      </c>
      <c r="V109" s="33">
        <f t="shared" ca="1" si="125"/>
        <v>0</v>
      </c>
      <c r="W109" s="35">
        <f ca="1">IF(L110&lt;=TODAY(),L111,0)</f>
        <v>0</v>
      </c>
      <c r="X109" s="36" t="str">
        <f ca="1">IF(K110&lt;=TODAY(),K111,"-")</f>
        <v>0</v>
      </c>
      <c r="Z109" s="37">
        <f ca="1">IF(F110&gt;TODAY(),C109,"0")</f>
        <v>35</v>
      </c>
      <c r="AA109" s="33" t="str">
        <f ca="1">IF(F110&gt;TODAY(),D109,"0")</f>
        <v>Company 35</v>
      </c>
      <c r="AB109" s="56">
        <f ca="1">IF(F110&gt;TODAY(),F110,"0")</f>
        <v>45422</v>
      </c>
      <c r="AC109" s="33">
        <f t="shared" ref="AC109:AG109" ca="1" si="126">IF(F110&gt;TODAY(),F111,"0")</f>
        <v>1250000</v>
      </c>
      <c r="AD109" s="33">
        <f t="shared" ca="1" si="126"/>
        <v>112500</v>
      </c>
      <c r="AE109" s="33">
        <f t="shared" ca="1" si="126"/>
        <v>937500</v>
      </c>
      <c r="AF109" s="33">
        <f t="shared" ca="1" si="126"/>
        <v>750000</v>
      </c>
      <c r="AG109" s="33">
        <f t="shared" ca="1" si="126"/>
        <v>0</v>
      </c>
      <c r="AH109" s="35">
        <f ca="1">IF(L110&gt;TODAY(),L111,"0")</f>
        <v>0</v>
      </c>
    </row>
    <row r="110" spans="2:34" ht="15.75" customHeight="1" x14ac:dyDescent="0.2">
      <c r="B110" s="38"/>
      <c r="C110" s="25"/>
      <c r="D110" s="39"/>
      <c r="E110" s="40" t="s">
        <v>20</v>
      </c>
      <c r="F110" s="80">
        <f ca="1">IF(C109&lt;=$H$3,IF((F107+('Summary and Assumptions'!$K$118*7))&gt;$D$3,(F107+('Summary and Assumptions'!$K$118*7)),($D$3+$H$4)),"")</f>
        <v>45422</v>
      </c>
      <c r="G110" s="81">
        <f ca="1">IF($C109&lt;=$H$3,IF((F110+('Summary and Assumptions'!$K$119*7))&gt;$D$3,(F110+('Summary and Assumptions'!$K$119*7)),($D$3+$H$4)),"")</f>
        <v>45877</v>
      </c>
      <c r="H110" s="41">
        <f ca="1">IF($C109&lt;=$H$3,IF((F110+('Summary and Assumptions'!$K$120*7))&gt;$D$3,(F110+('Summary and Assumptions'!$K$120*7)),($D$3+$H$4)),"")</f>
        <v>45947</v>
      </c>
      <c r="I110" s="81">
        <f ca="1">IF($C109&lt;=$H$3,IF((H110+('Summary and Assumptions'!$K$121*7))&gt;$D$3,(H110+('Summary and Assumptions'!$K$121*7)),($D$3+$H$4)),"")</f>
        <v>46479</v>
      </c>
      <c r="J110" s="84">
        <f ca="1">IF($C109&lt;=$H$3,IF((I110+('Summary and Assumptions'!$K$122*7))&gt;$D$3,(I110+('Summary and Assumptions'!$K$122*7)),($D$3+$H$4)),"")</f>
        <v>46927</v>
      </c>
      <c r="K110" s="5"/>
      <c r="L110" s="43">
        <f ca="1">IF($C109&lt;=$H$3,IF((J110+('Summary and Assumptions'!$K$123*7))&gt;$D$3,(J110+('Summary and Assumptions'!$K$123*7)),($D$3+$H$4)),"")</f>
        <v>46927</v>
      </c>
      <c r="O110" s="44"/>
      <c r="P110" s="45"/>
      <c r="Q110" s="46"/>
      <c r="R110" s="45"/>
      <c r="S110" s="45"/>
      <c r="T110" s="45"/>
      <c r="U110" s="45"/>
      <c r="V110" s="45"/>
      <c r="W110" s="47"/>
      <c r="X110" s="40"/>
      <c r="Z110" s="48"/>
      <c r="AA110" s="45"/>
      <c r="AB110" s="46"/>
      <c r="AC110" s="45"/>
      <c r="AD110" s="45"/>
      <c r="AE110" s="45"/>
      <c r="AF110" s="45"/>
      <c r="AG110" s="45"/>
      <c r="AH110" s="47"/>
    </row>
    <row r="111" spans="2:34" ht="15.75" customHeight="1" x14ac:dyDescent="0.2">
      <c r="B111" s="38"/>
      <c r="C111" s="49"/>
      <c r="D111" s="50"/>
      <c r="E111" s="51" t="s">
        <v>21</v>
      </c>
      <c r="F111" s="52">
        <f>IF(C109&lt;=$H$3,'Summary and Assumptions'!$D$101,"")</f>
        <v>1250000</v>
      </c>
      <c r="G111" s="52">
        <f>IF(C109&lt;=$H$3,F111*'Summary and Assumptions'!$K$111*'Summary and Assumptions'!$K$102,"")</f>
        <v>112500</v>
      </c>
      <c r="H111" s="52">
        <f>IF(C109&lt;=$H$3,$F111*'Summary and Assumptions'!$K$112*'Summary and Assumptions'!$K$103,"")</f>
        <v>937500</v>
      </c>
      <c r="I111" s="52">
        <f>IF(C109&lt;=$H$3,$F111*'Summary and Assumptions'!$K$113*'Summary and Assumptions'!$K$104,"")</f>
        <v>750000</v>
      </c>
      <c r="J111" s="53">
        <f>IF(C109&lt;=$H$3,$F111*'Summary and Assumptions'!$K$114*'Summary and Assumptions'!$K$105,"")</f>
        <v>0</v>
      </c>
      <c r="K111" s="54" t="str">
        <f ca="1">IF(AND(J110&lt;=$D$3,J111&gt;0),$J$6,IF(AND(I110&lt;=$D$3,I111&gt;0),$I$6,IF(AND(H110&lt;=$D$3,H111&gt;0),$H$6,IF(AND(G110&lt;=$D$3,G111&gt;0),$G$6,IF(AND(F110&lt;=$D$3,F111&gt;0),$F$6,"0")))))</f>
        <v>0</v>
      </c>
      <c r="L111" s="55">
        <f>IF(C109&lt;=$H$3,SUM($F111:$I111)*(1+'Summary and Assumptions'!$D$103),"")</f>
        <v>0</v>
      </c>
      <c r="O111" s="44"/>
      <c r="P111" s="45"/>
      <c r="Q111" s="46"/>
      <c r="R111" s="45"/>
      <c r="S111" s="45"/>
      <c r="T111" s="45"/>
      <c r="U111" s="45"/>
      <c r="V111" s="45"/>
      <c r="W111" s="47"/>
      <c r="X111" s="40"/>
      <c r="Z111" s="48"/>
      <c r="AA111" s="45"/>
      <c r="AB111" s="46"/>
      <c r="AC111" s="45"/>
      <c r="AD111" s="45"/>
      <c r="AE111" s="45"/>
      <c r="AF111" s="45"/>
      <c r="AG111" s="45"/>
      <c r="AH111" s="47"/>
    </row>
    <row r="112" spans="2:34" ht="15.75" customHeight="1" x14ac:dyDescent="0.2">
      <c r="B112" s="26" t="s">
        <v>18</v>
      </c>
      <c r="C112" s="25">
        <f>C109+1</f>
        <v>36</v>
      </c>
      <c r="D112" s="27" t="str">
        <f>IF(C112&lt;=$H$3,"Company"&amp;" "&amp;C112,"")</f>
        <v/>
      </c>
      <c r="E112" s="28" t="s">
        <v>19</v>
      </c>
      <c r="F112" s="29">
        <f>IFERROR(IF(F113&gt;0,(DATE(YEAR(F113),((INT((MONTH(F113)-1)/3)+1)*3)+1,1)-1),""),0)</f>
        <v>0</v>
      </c>
      <c r="G112" s="29">
        <f>IFERROR(IF(G113&gt;0,(DATE(YEAR(G113),((INT((MONTH(G113)-1)/3)+1)*3)+1,1)-1),"-"),0)</f>
        <v>0</v>
      </c>
      <c r="H112" s="29">
        <f>IFERROR(IF(H113&gt;0,(DATE(YEAR(H113),((INT((MONTH(H113)-1)/3)+1)*3)+1,1)-1),"-"),0)</f>
        <v>0</v>
      </c>
      <c r="I112" s="29">
        <f>IFERROR(IF(I113&gt;0,(DATE(YEAR(I113),((INT((MONTH(I113)-1)/3)+1)*3)+1,1)-1),"-"),0)</f>
        <v>0</v>
      </c>
      <c r="J112" s="30">
        <f>IFERROR(IF(J113&gt;0,(DATE(YEAR(J113),((INT((MONTH(J113)-1)/3)+1)*3)+1,1)-1),"-"),0)</f>
        <v>0</v>
      </c>
      <c r="L112" s="31">
        <f>IFERROR(IF(L113&gt;0,(DATE(YEAR(L113),((INT((MONTH(L113)-1)/3)+1)*3)+1,1)-1),"-"),0)</f>
        <v>0</v>
      </c>
      <c r="O112" s="32" t="str">
        <f ca="1">IF(F113&lt;=TODAY(),C112,"0")</f>
        <v>0</v>
      </c>
      <c r="P112" s="33" t="str">
        <f ca="1">IF(F113&lt;=TODAY(),D112,"0")</f>
        <v>0</v>
      </c>
      <c r="Q112" s="56" t="str">
        <f ca="1">IF(F113&lt;=TODAY(),F113,"0")</f>
        <v>0</v>
      </c>
      <c r="R112" s="33">
        <f t="shared" ref="R112:V112" ca="1" si="127">IF(F113&lt;=TODAY(),F114,0)</f>
        <v>0</v>
      </c>
      <c r="S112" s="33">
        <f t="shared" ca="1" si="127"/>
        <v>0</v>
      </c>
      <c r="T112" s="33">
        <f t="shared" ca="1" si="127"/>
        <v>0</v>
      </c>
      <c r="U112" s="33">
        <f t="shared" ca="1" si="127"/>
        <v>0</v>
      </c>
      <c r="V112" s="33">
        <f t="shared" ca="1" si="127"/>
        <v>0</v>
      </c>
      <c r="W112" s="35">
        <f ca="1">IF(L113&lt;=TODAY(),L114,0)</f>
        <v>0</v>
      </c>
      <c r="X112" s="36" t="str">
        <f ca="1">IF(K113&lt;=TODAY(),K114,"-")</f>
        <v>0</v>
      </c>
      <c r="Z112" s="37">
        <f ca="1">IF(F113&gt;TODAY(),C112,"0")</f>
        <v>36</v>
      </c>
      <c r="AA112" s="33" t="str">
        <f ca="1">IF(F113&gt;TODAY(),D112,"0")</f>
        <v/>
      </c>
      <c r="AB112" s="56" t="str">
        <f ca="1">IF(F113&gt;TODAY(),F113,"0")</f>
        <v/>
      </c>
      <c r="AC112" s="33">
        <f t="shared" ref="AC112:AG112" ca="1" si="128">IF(F113&gt;TODAY(),F114,"0")</f>
        <v>0</v>
      </c>
      <c r="AD112" s="33">
        <f t="shared" ca="1" si="128"/>
        <v>0</v>
      </c>
      <c r="AE112" s="33">
        <f t="shared" ca="1" si="128"/>
        <v>0</v>
      </c>
      <c r="AF112" s="33">
        <f t="shared" ca="1" si="128"/>
        <v>0</v>
      </c>
      <c r="AG112" s="33">
        <f t="shared" ca="1" si="128"/>
        <v>0</v>
      </c>
      <c r="AH112" s="35">
        <f ca="1">IF(L113&gt;TODAY(),L114,"0")</f>
        <v>0</v>
      </c>
    </row>
    <row r="113" spans="2:34" ht="15.75" customHeight="1" x14ac:dyDescent="0.2">
      <c r="B113" s="38"/>
      <c r="C113" s="25"/>
      <c r="D113" s="39"/>
      <c r="E113" s="40" t="s">
        <v>20</v>
      </c>
      <c r="F113" s="80" t="str">
        <f>IF(C112&lt;=$H$3,IF((F110+('Summary and Assumptions'!$K$118*7))&gt;$D$3,(F110+('Summary and Assumptions'!$K$118*7)),($D$3+$H$4)),"")</f>
        <v/>
      </c>
      <c r="G113" s="81" t="str">
        <f>IF($C112&lt;=$H$3,IF((F113+('Summary and Assumptions'!$K$119*7))&gt;$D$3,(F113+('Summary and Assumptions'!$K$119*7)),($D$3+$H$4)),"")</f>
        <v/>
      </c>
      <c r="H113" s="41" t="str">
        <f>IF($C112&lt;=$H$3,IF((F113+('Summary and Assumptions'!$K$120*7))&gt;$D$3,(F113+('Summary and Assumptions'!$K$120*7)),($D$3+$H$4)),"")</f>
        <v/>
      </c>
      <c r="I113" s="81" t="str">
        <f>IF($C112&lt;=$H$3,IF((H113+('Summary and Assumptions'!$K$121*7))&gt;$D$3,(H113+('Summary and Assumptions'!$K$121*7)),($D$3+$H$4)),"")</f>
        <v/>
      </c>
      <c r="J113" s="84" t="str">
        <f>IF($C112&lt;=$H$3,IF((I113+('Summary and Assumptions'!$K$122*7))&gt;$D$3,(I113+('Summary and Assumptions'!$K$122*7)),($D$3+$H$4)),"")</f>
        <v/>
      </c>
      <c r="K113" s="5"/>
      <c r="L113" s="43" t="str">
        <f>IF($C112&lt;=$H$3,IF((J113+('Summary and Assumptions'!$K$123*7))&gt;$D$3,(J113+('Summary and Assumptions'!$K$123*7)),($D$3+$H$4)),"")</f>
        <v/>
      </c>
      <c r="O113" s="44"/>
      <c r="P113" s="45"/>
      <c r="Q113" s="46"/>
      <c r="R113" s="45"/>
      <c r="S113" s="45"/>
      <c r="T113" s="45"/>
      <c r="U113" s="45"/>
      <c r="V113" s="45"/>
      <c r="W113" s="47"/>
      <c r="X113" s="40"/>
      <c r="Z113" s="48"/>
      <c r="AA113" s="45"/>
      <c r="AB113" s="46"/>
      <c r="AC113" s="45"/>
      <c r="AD113" s="45"/>
      <c r="AE113" s="45"/>
      <c r="AF113" s="45"/>
      <c r="AG113" s="45"/>
      <c r="AH113" s="47"/>
    </row>
    <row r="114" spans="2:34" ht="15.75" customHeight="1" x14ac:dyDescent="0.2">
      <c r="B114" s="38"/>
      <c r="C114" s="49"/>
      <c r="D114" s="50"/>
      <c r="E114" s="51" t="s">
        <v>21</v>
      </c>
      <c r="F114" s="52">
        <f>IF(C112&lt;=$H$3,'Summary and Assumptions'!$D$101,0)</f>
        <v>0</v>
      </c>
      <c r="G114" s="52">
        <f>IF(C112&lt;=$H$3,F114*'Summary and Assumptions'!$K$111*'Summary and Assumptions'!$K$102,0)</f>
        <v>0</v>
      </c>
      <c r="H114" s="52">
        <f>IF(C112&lt;=$H$3,$F114*'Summary and Assumptions'!$K$112*'Summary and Assumptions'!$K$103,0)</f>
        <v>0</v>
      </c>
      <c r="I114" s="52">
        <f>IF(C112&lt;=$H$3,$F114*'Summary and Assumptions'!$K$113*'Summary and Assumptions'!$K$104,0)</f>
        <v>0</v>
      </c>
      <c r="J114" s="53">
        <f>IF(C112&lt;=$H$3,$F114*'Summary and Assumptions'!$K$114*'Summary and Assumptions'!$K$105,0)</f>
        <v>0</v>
      </c>
      <c r="K114" s="54" t="str">
        <f ca="1">IF(AND(J113&lt;=$D$3,J114&gt;0),$J$6,IF(AND(I113&lt;=$D$3,I114&gt;0),$I$6,IF(AND(H113&lt;=$D$3,H114&gt;0),$H$6,IF(AND(G113&lt;=$D$3,G114&gt;0),$G$6,IF(AND(F113&lt;=$D$3,F114&gt;0),$F$6,"0")))))</f>
        <v>0</v>
      </c>
      <c r="L114" s="55">
        <f>IF(C112&lt;=$H$3,SUM($F114:$I114)*(1+'Summary and Assumptions'!$D$103),0)</f>
        <v>0</v>
      </c>
      <c r="O114" s="44"/>
      <c r="P114" s="45"/>
      <c r="Q114" s="46"/>
      <c r="R114" s="45"/>
      <c r="S114" s="45"/>
      <c r="T114" s="45"/>
      <c r="U114" s="45"/>
      <c r="V114" s="45"/>
      <c r="W114" s="47"/>
      <c r="X114" s="40"/>
      <c r="Z114" s="48"/>
      <c r="AA114" s="45"/>
      <c r="AB114" s="46"/>
      <c r="AC114" s="45"/>
      <c r="AD114" s="45"/>
      <c r="AE114" s="45"/>
      <c r="AF114" s="45"/>
      <c r="AG114" s="45"/>
      <c r="AH114" s="47"/>
    </row>
    <row r="115" spans="2:34" ht="15.75" customHeight="1" x14ac:dyDescent="0.2">
      <c r="B115" s="26" t="s">
        <v>18</v>
      </c>
      <c r="C115" s="25">
        <f>C112+1</f>
        <v>37</v>
      </c>
      <c r="D115" s="27" t="str">
        <f>IF(C115&lt;=$H$3,"Company"&amp;" "&amp;C115,"")</f>
        <v/>
      </c>
      <c r="E115" s="28" t="s">
        <v>19</v>
      </c>
      <c r="F115" s="29">
        <f>IFERROR(IF(F116&gt;0,(DATE(YEAR(F116),((INT((MONTH(F116)-1)/3)+1)*3)+1,1)-1),""),0)</f>
        <v>0</v>
      </c>
      <c r="G115" s="29">
        <f>IFERROR(IF(G116&gt;0,(DATE(YEAR(G116),((INT((MONTH(G116)-1)/3)+1)*3)+1,1)-1),"-"),0)</f>
        <v>0</v>
      </c>
      <c r="H115" s="29">
        <f>IFERROR(IF(H116&gt;0,(DATE(YEAR(H116),((INT((MONTH(H116)-1)/3)+1)*3)+1,1)-1),"-"),0)</f>
        <v>0</v>
      </c>
      <c r="I115" s="29">
        <f>IFERROR(IF(I116&gt;0,(DATE(YEAR(I116),((INT((MONTH(I116)-1)/3)+1)*3)+1,1)-1),"-"),0)</f>
        <v>0</v>
      </c>
      <c r="J115" s="30">
        <f>IFERROR(IF(J116&gt;0,(DATE(YEAR(J116),((INT((MONTH(J116)-1)/3)+1)*3)+1,1)-1),"-"),0)</f>
        <v>0</v>
      </c>
      <c r="L115" s="31">
        <f>IFERROR(IF(L116&gt;0,(DATE(YEAR(L116),((INT((MONTH(L116)-1)/3)+1)*3)+1,1)-1),"-"),0)</f>
        <v>0</v>
      </c>
      <c r="O115" s="32" t="str">
        <f ca="1">IF(F116&lt;=TODAY(),C115,"0")</f>
        <v>0</v>
      </c>
      <c r="P115" s="33" t="str">
        <f ca="1">IF(F116&lt;=TODAY(),D115,"0")</f>
        <v>0</v>
      </c>
      <c r="Q115" s="56" t="str">
        <f ca="1">IF(F116&lt;=TODAY(),F116,"0")</f>
        <v>0</v>
      </c>
      <c r="R115" s="33">
        <f t="shared" ref="R115:V115" ca="1" si="129">IF(F116&lt;=TODAY(),F117,0)</f>
        <v>0</v>
      </c>
      <c r="S115" s="33">
        <f t="shared" ca="1" si="129"/>
        <v>0</v>
      </c>
      <c r="T115" s="33">
        <f t="shared" ca="1" si="129"/>
        <v>0</v>
      </c>
      <c r="U115" s="33">
        <f t="shared" ca="1" si="129"/>
        <v>0</v>
      </c>
      <c r="V115" s="33">
        <f t="shared" ca="1" si="129"/>
        <v>0</v>
      </c>
      <c r="W115" s="35">
        <f ca="1">IF(L116&lt;=TODAY(),L117,0)</f>
        <v>0</v>
      </c>
      <c r="X115" s="36" t="str">
        <f ca="1">IF(K116&lt;=TODAY(),K117,"-")</f>
        <v>0</v>
      </c>
      <c r="Z115" s="37">
        <f ca="1">IF(F116&gt;TODAY(),C115,"0")</f>
        <v>37</v>
      </c>
      <c r="AA115" s="33" t="str">
        <f ca="1">IF(F116&gt;TODAY(),D115,"0")</f>
        <v/>
      </c>
      <c r="AB115" s="56" t="str">
        <f ca="1">IF(F116&gt;TODAY(),F116,"0")</f>
        <v/>
      </c>
      <c r="AC115" s="33">
        <f t="shared" ref="AC115:AG115" ca="1" si="130">IF(F116&gt;TODAY(),F117,"0")</f>
        <v>0</v>
      </c>
      <c r="AD115" s="33">
        <f t="shared" ca="1" si="130"/>
        <v>0</v>
      </c>
      <c r="AE115" s="33">
        <f t="shared" ca="1" si="130"/>
        <v>0</v>
      </c>
      <c r="AF115" s="33">
        <f t="shared" ca="1" si="130"/>
        <v>0</v>
      </c>
      <c r="AG115" s="33">
        <f t="shared" ca="1" si="130"/>
        <v>0</v>
      </c>
      <c r="AH115" s="35">
        <f ca="1">IF(L116&gt;TODAY(),L117,"0")</f>
        <v>0</v>
      </c>
    </row>
    <row r="116" spans="2:34" ht="15.75" customHeight="1" x14ac:dyDescent="0.2">
      <c r="B116" s="38"/>
      <c r="C116" s="25"/>
      <c r="D116" s="39"/>
      <c r="E116" s="40" t="s">
        <v>20</v>
      </c>
      <c r="F116" s="80" t="str">
        <f>IF(C115&lt;=$H$3,IF((F113+('Summary and Assumptions'!$K$118*7))&gt;$D$3,(F113+('Summary and Assumptions'!$K$118*7)),($D$3+$H$4)),"")</f>
        <v/>
      </c>
      <c r="G116" s="81" t="str">
        <f>IF($C115&lt;=$H$3,IF((F116+('Summary and Assumptions'!$K$119*7))&gt;$D$3,(F116+('Summary and Assumptions'!$K$119*7)),($D$3+$H$4)),"")</f>
        <v/>
      </c>
      <c r="H116" s="41" t="str">
        <f>IF($C115&lt;=$H$3,IF((F116+('Summary and Assumptions'!$K$120*7))&gt;$D$3,(F116+('Summary and Assumptions'!$K$120*7)),($D$3+$H$4)),"")</f>
        <v/>
      </c>
      <c r="I116" s="81" t="str">
        <f>IF($C115&lt;=$H$3,IF((H116+('Summary and Assumptions'!$K$121*7))&gt;$D$3,(H116+('Summary and Assumptions'!$K$121*7)),($D$3+$H$4)),"")</f>
        <v/>
      </c>
      <c r="J116" s="84" t="str">
        <f>IF($C115&lt;=$H$3,IF((I116+('Summary and Assumptions'!$K$122*7))&gt;$D$3,(I116+('Summary and Assumptions'!$K$122*7)),($D$3+$H$4)),"")</f>
        <v/>
      </c>
      <c r="K116" s="5"/>
      <c r="L116" s="43" t="str">
        <f>IF($C115&lt;=$H$3,IF((J116+('Summary and Assumptions'!$K$123*7))&gt;$D$3,(J116+('Summary and Assumptions'!$K$123*7)),($D$3+$H$4)),"")</f>
        <v/>
      </c>
      <c r="O116" s="44"/>
      <c r="P116" s="45"/>
      <c r="Q116" s="46"/>
      <c r="R116" s="45"/>
      <c r="S116" s="45"/>
      <c r="T116" s="45"/>
      <c r="U116" s="45"/>
      <c r="V116" s="45"/>
      <c r="W116" s="47"/>
      <c r="X116" s="40"/>
      <c r="Z116" s="48"/>
      <c r="AA116" s="45"/>
      <c r="AB116" s="46"/>
      <c r="AC116" s="45"/>
      <c r="AD116" s="45"/>
      <c r="AE116" s="45"/>
      <c r="AF116" s="45"/>
      <c r="AG116" s="45"/>
      <c r="AH116" s="47"/>
    </row>
    <row r="117" spans="2:34" ht="15.75" customHeight="1" x14ac:dyDescent="0.2">
      <c r="B117" s="38"/>
      <c r="C117" s="49"/>
      <c r="D117" s="50"/>
      <c r="E117" s="51" t="s">
        <v>21</v>
      </c>
      <c r="F117" s="52">
        <f>IF(C115&lt;=$H$3,'Summary and Assumptions'!$D$101,0)</f>
        <v>0</v>
      </c>
      <c r="G117" s="52">
        <f>IF(C115&lt;=$H$3,F117*'Summary and Assumptions'!$K$111*'Summary and Assumptions'!$K$102,0)</f>
        <v>0</v>
      </c>
      <c r="H117" s="52">
        <f>IF(C115&lt;=$H$3,$F117*'Summary and Assumptions'!$K$112*'Summary and Assumptions'!$K$103,0)</f>
        <v>0</v>
      </c>
      <c r="I117" s="52">
        <f>IF(C115&lt;=$H$3,$F117*'Summary and Assumptions'!$K$113*'Summary and Assumptions'!$K$104,0)</f>
        <v>0</v>
      </c>
      <c r="J117" s="53">
        <f>IF(C115&lt;=$H$3,$F117*'Summary and Assumptions'!$K$114*'Summary and Assumptions'!$K$105,0)</f>
        <v>0</v>
      </c>
      <c r="K117" s="54" t="str">
        <f ca="1">IF(AND(J116&lt;=$D$3,J117&gt;0),$J$6,IF(AND(I116&lt;=$D$3,I117&gt;0),$I$6,IF(AND(H116&lt;=$D$3,H117&gt;0),$H$6,IF(AND(G116&lt;=$D$3,G117&gt;0),$G$6,IF(AND(F116&lt;=$D$3,F117&gt;0),$F$6,"0")))))</f>
        <v>0</v>
      </c>
      <c r="L117" s="55">
        <f>IF(C115&lt;=$H$3,SUM($F117:$I117)*(1+'Summary and Assumptions'!$D$103),0)</f>
        <v>0</v>
      </c>
      <c r="O117" s="44"/>
      <c r="P117" s="45"/>
      <c r="Q117" s="46"/>
      <c r="R117" s="45"/>
      <c r="S117" s="45"/>
      <c r="T117" s="45"/>
      <c r="U117" s="45"/>
      <c r="V117" s="45"/>
      <c r="W117" s="47"/>
      <c r="X117" s="40"/>
      <c r="Z117" s="48"/>
      <c r="AA117" s="45"/>
      <c r="AB117" s="46"/>
      <c r="AC117" s="45"/>
      <c r="AD117" s="45"/>
      <c r="AE117" s="45"/>
      <c r="AF117" s="45"/>
      <c r="AG117" s="45"/>
      <c r="AH117" s="47"/>
    </row>
    <row r="118" spans="2:34" ht="15.75" customHeight="1" x14ac:dyDescent="0.2">
      <c r="B118" s="26" t="s">
        <v>18</v>
      </c>
      <c r="C118" s="25">
        <f>C115+1</f>
        <v>38</v>
      </c>
      <c r="D118" s="27" t="str">
        <f>IF(C118&lt;=$H$3,"Company"&amp;" "&amp;C118,"")</f>
        <v/>
      </c>
      <c r="E118" s="28" t="s">
        <v>19</v>
      </c>
      <c r="F118" s="29">
        <f>IFERROR(IF(F119&gt;0,(DATE(YEAR(F119),((INT((MONTH(F119)-1)/3)+1)*3)+1,1)-1),""),0)</f>
        <v>0</v>
      </c>
      <c r="G118" s="29">
        <f>IFERROR(IF(G119&gt;0,(DATE(YEAR(G119),((INT((MONTH(G119)-1)/3)+1)*3)+1,1)-1),"-"),0)</f>
        <v>0</v>
      </c>
      <c r="H118" s="29">
        <f>IFERROR(IF(H119&gt;0,(DATE(YEAR(H119),((INT((MONTH(H119)-1)/3)+1)*3)+1,1)-1),"-"),0)</f>
        <v>0</v>
      </c>
      <c r="I118" s="29">
        <f>IFERROR(IF(I119&gt;0,(DATE(YEAR(I119),((INT((MONTH(I119)-1)/3)+1)*3)+1,1)-1),"-"),0)</f>
        <v>0</v>
      </c>
      <c r="J118" s="30">
        <f>IFERROR(IF(J119&gt;0,(DATE(YEAR(J119),((INT((MONTH(J119)-1)/3)+1)*3)+1,1)-1),"-"),0)</f>
        <v>0</v>
      </c>
      <c r="L118" s="31">
        <f>IFERROR(IF(L119&gt;0,(DATE(YEAR(L119),((INT((MONTH(L119)-1)/3)+1)*3)+1,1)-1),"-"),0)</f>
        <v>0</v>
      </c>
      <c r="O118" s="32" t="str">
        <f ca="1">IF(F119&lt;=TODAY(),C118,"0")</f>
        <v>0</v>
      </c>
      <c r="P118" s="33" t="str">
        <f ca="1">IF(F119&lt;=TODAY(),D118,"0")</f>
        <v>0</v>
      </c>
      <c r="Q118" s="56" t="str">
        <f ca="1">IF(F119&lt;=TODAY(),F119,"0")</f>
        <v>0</v>
      </c>
      <c r="R118" s="33">
        <f t="shared" ref="R118:V118" ca="1" si="131">IF(F119&lt;=TODAY(),F120,0)</f>
        <v>0</v>
      </c>
      <c r="S118" s="33">
        <f t="shared" ca="1" si="131"/>
        <v>0</v>
      </c>
      <c r="T118" s="33">
        <f t="shared" ca="1" si="131"/>
        <v>0</v>
      </c>
      <c r="U118" s="33">
        <f t="shared" ca="1" si="131"/>
        <v>0</v>
      </c>
      <c r="V118" s="33">
        <f t="shared" ca="1" si="131"/>
        <v>0</v>
      </c>
      <c r="W118" s="35">
        <f ca="1">IF(L119&lt;=TODAY(),L120,0)</f>
        <v>0</v>
      </c>
      <c r="X118" s="36" t="str">
        <f ca="1">IF(K119&lt;=TODAY(),K120,"-")</f>
        <v>0</v>
      </c>
      <c r="Z118" s="37">
        <f ca="1">IF(F119&gt;TODAY(),C118,"0")</f>
        <v>38</v>
      </c>
      <c r="AA118" s="33" t="str">
        <f ca="1">IF(F119&gt;TODAY(),D118,"0")</f>
        <v/>
      </c>
      <c r="AB118" s="56" t="str">
        <f ca="1">IF(F119&gt;TODAY(),F119,"0")</f>
        <v/>
      </c>
      <c r="AC118" s="33">
        <f t="shared" ref="AC118:AG118" ca="1" si="132">IF(F119&gt;TODAY(),F120,"0")</f>
        <v>0</v>
      </c>
      <c r="AD118" s="33">
        <f t="shared" ca="1" si="132"/>
        <v>0</v>
      </c>
      <c r="AE118" s="33">
        <f t="shared" ca="1" si="132"/>
        <v>0</v>
      </c>
      <c r="AF118" s="33">
        <f t="shared" ca="1" si="132"/>
        <v>0</v>
      </c>
      <c r="AG118" s="33">
        <f t="shared" ca="1" si="132"/>
        <v>0</v>
      </c>
      <c r="AH118" s="35">
        <f ca="1">IF(L119&gt;TODAY(),L120,"0")</f>
        <v>0</v>
      </c>
    </row>
    <row r="119" spans="2:34" ht="15.75" customHeight="1" x14ac:dyDescent="0.2">
      <c r="B119" s="38"/>
      <c r="C119" s="25"/>
      <c r="D119" s="39"/>
      <c r="E119" s="40" t="s">
        <v>20</v>
      </c>
      <c r="F119" s="80" t="str">
        <f>IF(C118&lt;=$H$3,IF((F116+('Summary and Assumptions'!$K$118*7))&gt;$D$3,(F116+('Summary and Assumptions'!$K$118*7)),($D$3+$H$4)),"")</f>
        <v/>
      </c>
      <c r="G119" s="81" t="str">
        <f>IF($C118&lt;=$H$3,IF((F119+('Summary and Assumptions'!$K$119*7))&gt;$D$3,(F119+('Summary and Assumptions'!$K$119*7)),($D$3+$H$4)),"")</f>
        <v/>
      </c>
      <c r="H119" s="41" t="str">
        <f>IF($C118&lt;=$H$3,IF((F119+('Summary and Assumptions'!$K$120*7))&gt;$D$3,(F119+('Summary and Assumptions'!$K$120*7)),($D$3+$H$4)),"")</f>
        <v/>
      </c>
      <c r="I119" s="81" t="str">
        <f>IF($C118&lt;=$H$3,IF((H119+('Summary and Assumptions'!$K$121*7))&gt;$D$3,(H119+('Summary and Assumptions'!$K$121*7)),($D$3+$H$4)),"")</f>
        <v/>
      </c>
      <c r="J119" s="84" t="str">
        <f>IF($C118&lt;=$H$3,IF((I119+('Summary and Assumptions'!$K$122*7))&gt;$D$3,(I119+('Summary and Assumptions'!$K$122*7)),($D$3+$H$4)),"")</f>
        <v/>
      </c>
      <c r="K119" s="5"/>
      <c r="L119" s="43" t="str">
        <f>IF($C118&lt;=$H$3,IF((J119+('Summary and Assumptions'!$K$123*7))&gt;$D$3,(J119+('Summary and Assumptions'!$K$123*7)),($D$3+$H$4)),"")</f>
        <v/>
      </c>
      <c r="O119" s="44"/>
      <c r="P119" s="45"/>
      <c r="Q119" s="46"/>
      <c r="R119" s="45"/>
      <c r="S119" s="45"/>
      <c r="T119" s="45"/>
      <c r="U119" s="45"/>
      <c r="V119" s="45"/>
      <c r="W119" s="47"/>
      <c r="X119" s="40"/>
      <c r="Z119" s="48"/>
      <c r="AA119" s="45"/>
      <c r="AB119" s="46"/>
      <c r="AC119" s="45"/>
      <c r="AD119" s="45"/>
      <c r="AE119" s="45"/>
      <c r="AF119" s="45"/>
      <c r="AG119" s="45"/>
      <c r="AH119" s="47"/>
    </row>
    <row r="120" spans="2:34" ht="15.75" customHeight="1" x14ac:dyDescent="0.2">
      <c r="B120" s="38"/>
      <c r="C120" s="49"/>
      <c r="D120" s="50"/>
      <c r="E120" s="51" t="s">
        <v>21</v>
      </c>
      <c r="F120" s="52">
        <f>IF(C118&lt;=$H$3,'Summary and Assumptions'!$D$101,0)</f>
        <v>0</v>
      </c>
      <c r="G120" s="52">
        <f>IF(C118&lt;=$H$3,F120*'Summary and Assumptions'!$K$111*'Summary and Assumptions'!$K$102,0)</f>
        <v>0</v>
      </c>
      <c r="H120" s="52">
        <f>IF(C118&lt;=$H$3,$F120*'Summary and Assumptions'!$K$112*'Summary and Assumptions'!$K$103,0)</f>
        <v>0</v>
      </c>
      <c r="I120" s="52">
        <f>IF(C118&lt;=$H$3,$F120*'Summary and Assumptions'!$K$113*'Summary and Assumptions'!$K$104,0)</f>
        <v>0</v>
      </c>
      <c r="J120" s="53">
        <f>IF(C118&lt;=$H$3,$F120*'Summary and Assumptions'!$K$114*'Summary and Assumptions'!$K$105,0)</f>
        <v>0</v>
      </c>
      <c r="K120" s="54" t="str">
        <f ca="1">IF(AND(J119&lt;=$D$3,J120&gt;0),$J$6,IF(AND(I119&lt;=$D$3,I120&gt;0),$I$6,IF(AND(H119&lt;=$D$3,H120&gt;0),$H$6,IF(AND(G119&lt;=$D$3,G120&gt;0),$G$6,IF(AND(F119&lt;=$D$3,F120&gt;0),$F$6,"0")))))</f>
        <v>0</v>
      </c>
      <c r="L120" s="55">
        <f>IF(C118&lt;=$H$3,SUM($F120:$I120)*(1+'Summary and Assumptions'!$D$103),0)</f>
        <v>0</v>
      </c>
      <c r="O120" s="44"/>
      <c r="P120" s="45"/>
      <c r="Q120" s="46"/>
      <c r="R120" s="45"/>
      <c r="S120" s="45"/>
      <c r="T120" s="45"/>
      <c r="U120" s="45"/>
      <c r="V120" s="45"/>
      <c r="W120" s="47"/>
      <c r="X120" s="40"/>
      <c r="Z120" s="48"/>
      <c r="AA120" s="45"/>
      <c r="AB120" s="46"/>
      <c r="AC120" s="45"/>
      <c r="AD120" s="45"/>
      <c r="AE120" s="45"/>
      <c r="AF120" s="45"/>
      <c r="AG120" s="45"/>
      <c r="AH120" s="47"/>
    </row>
    <row r="121" spans="2:34" ht="15.75" customHeight="1" x14ac:dyDescent="0.2">
      <c r="B121" s="26" t="s">
        <v>18</v>
      </c>
      <c r="C121" s="25">
        <f>C118+1</f>
        <v>39</v>
      </c>
      <c r="D121" s="27" t="str">
        <f>IF(C121&lt;=$H$3,"Company"&amp;" "&amp;C121,"")</f>
        <v/>
      </c>
      <c r="E121" s="28" t="s">
        <v>19</v>
      </c>
      <c r="F121" s="29">
        <f>IFERROR(IF(F122&gt;0,(DATE(YEAR(F122),((INT((MONTH(F122)-1)/3)+1)*3)+1,1)-1),""),0)</f>
        <v>0</v>
      </c>
      <c r="G121" s="29">
        <f>IFERROR(IF(G122&gt;0,(DATE(YEAR(G122),((INT((MONTH(G122)-1)/3)+1)*3)+1,1)-1),"-"),0)</f>
        <v>0</v>
      </c>
      <c r="H121" s="29">
        <f>IFERROR(IF(H122&gt;0,(DATE(YEAR(H122),((INT((MONTH(H122)-1)/3)+1)*3)+1,1)-1),"-"),0)</f>
        <v>0</v>
      </c>
      <c r="I121" s="29">
        <f>IFERROR(IF(I122&gt;0,(DATE(YEAR(I122),((INT((MONTH(I122)-1)/3)+1)*3)+1,1)-1),"-"),0)</f>
        <v>0</v>
      </c>
      <c r="J121" s="30">
        <f>IFERROR(IF(J122&gt;0,(DATE(YEAR(J122),((INT((MONTH(J122)-1)/3)+1)*3)+1,1)-1),"-"),0)</f>
        <v>0</v>
      </c>
      <c r="L121" s="31">
        <f>IFERROR(IF(L122&gt;0,(DATE(YEAR(L122),((INT((MONTH(L122)-1)/3)+1)*3)+1,1)-1),"-"),0)</f>
        <v>0</v>
      </c>
      <c r="O121" s="32" t="str">
        <f ca="1">IF(F122&lt;=TODAY(),C121,"0")</f>
        <v>0</v>
      </c>
      <c r="P121" s="33" t="str">
        <f ca="1">IF(F122&lt;=TODAY(),D121,"0")</f>
        <v>0</v>
      </c>
      <c r="Q121" s="56" t="str">
        <f ca="1">IF(F122&lt;=TODAY(),F122,"0")</f>
        <v>0</v>
      </c>
      <c r="R121" s="33">
        <f t="shared" ref="R121:V121" ca="1" si="133">IF(F122&lt;=TODAY(),F123,0)</f>
        <v>0</v>
      </c>
      <c r="S121" s="33">
        <f t="shared" ca="1" si="133"/>
        <v>0</v>
      </c>
      <c r="T121" s="33">
        <f t="shared" ca="1" si="133"/>
        <v>0</v>
      </c>
      <c r="U121" s="33">
        <f t="shared" ca="1" si="133"/>
        <v>0</v>
      </c>
      <c r="V121" s="33">
        <f t="shared" ca="1" si="133"/>
        <v>0</v>
      </c>
      <c r="W121" s="35">
        <f ca="1">IF(L122&lt;=TODAY(),L123,0)</f>
        <v>0</v>
      </c>
      <c r="X121" s="36" t="str">
        <f ca="1">IF(K122&lt;=TODAY(),K123,"-")</f>
        <v>0</v>
      </c>
      <c r="Z121" s="37">
        <f ca="1">IF(F122&gt;TODAY(),C121,"0")</f>
        <v>39</v>
      </c>
      <c r="AA121" s="33" t="str">
        <f ca="1">IF(F122&gt;TODAY(),D121,"0")</f>
        <v/>
      </c>
      <c r="AB121" s="56" t="str">
        <f ca="1">IF(F122&gt;TODAY(),F122,"0")</f>
        <v/>
      </c>
      <c r="AC121" s="33">
        <f t="shared" ref="AC121:AG121" ca="1" si="134">IF(F122&gt;TODAY(),F123,"0")</f>
        <v>0</v>
      </c>
      <c r="AD121" s="33">
        <f t="shared" ca="1" si="134"/>
        <v>0</v>
      </c>
      <c r="AE121" s="33">
        <f t="shared" ca="1" si="134"/>
        <v>0</v>
      </c>
      <c r="AF121" s="33">
        <f t="shared" ca="1" si="134"/>
        <v>0</v>
      </c>
      <c r="AG121" s="33">
        <f t="shared" ca="1" si="134"/>
        <v>0</v>
      </c>
      <c r="AH121" s="35">
        <f ca="1">IF(L122&gt;TODAY(),L123,"0")</f>
        <v>0</v>
      </c>
    </row>
    <row r="122" spans="2:34" ht="15.75" customHeight="1" x14ac:dyDescent="0.2">
      <c r="B122" s="38"/>
      <c r="C122" s="25"/>
      <c r="D122" s="39"/>
      <c r="E122" s="40" t="s">
        <v>20</v>
      </c>
      <c r="F122" s="80" t="str">
        <f>IF(C121&lt;=$H$3,IF((F119+('Summary and Assumptions'!$K$118*7))&gt;$D$3,(F119+('Summary and Assumptions'!$K$118*7)),($D$3+$H$4)),"")</f>
        <v/>
      </c>
      <c r="G122" s="81" t="str">
        <f>IF($C121&lt;=$H$3,IF((F122+('Summary and Assumptions'!$K$119*7))&gt;$D$3,(F122+('Summary and Assumptions'!$K$119*7)),($D$3+$H$4)),"")</f>
        <v/>
      </c>
      <c r="H122" s="41" t="str">
        <f>IF($C121&lt;=$H$3,IF((F122+('Summary and Assumptions'!$K$120*7))&gt;$D$3,(F122+('Summary and Assumptions'!$K$120*7)),($D$3+$H$4)),"")</f>
        <v/>
      </c>
      <c r="I122" s="81" t="str">
        <f>IF($C121&lt;=$H$3,IF((H122+('Summary and Assumptions'!$K$121*7))&gt;$D$3,(H122+('Summary and Assumptions'!$K$121*7)),($D$3+$H$4)),"")</f>
        <v/>
      </c>
      <c r="J122" s="84" t="str">
        <f>IF($C121&lt;=$H$3,IF((I122+('Summary and Assumptions'!$K$122*7))&gt;$D$3,(I122+('Summary and Assumptions'!$K$122*7)),($D$3+$H$4)),"")</f>
        <v/>
      </c>
      <c r="K122" s="5"/>
      <c r="L122" s="43" t="str">
        <f>IF($C121&lt;=$H$3,IF((J122+('Summary and Assumptions'!$K$123*7))&gt;$D$3,(J122+('Summary and Assumptions'!$K$123*7)),($D$3+$H$4)),"")</f>
        <v/>
      </c>
      <c r="O122" s="44"/>
      <c r="P122" s="45"/>
      <c r="Q122" s="46"/>
      <c r="R122" s="45"/>
      <c r="S122" s="45"/>
      <c r="T122" s="45"/>
      <c r="U122" s="45"/>
      <c r="V122" s="45"/>
      <c r="W122" s="47"/>
      <c r="X122" s="40"/>
      <c r="Z122" s="48"/>
      <c r="AA122" s="45"/>
      <c r="AB122" s="46"/>
      <c r="AC122" s="45"/>
      <c r="AD122" s="45"/>
      <c r="AE122" s="45"/>
      <c r="AF122" s="45"/>
      <c r="AG122" s="45"/>
      <c r="AH122" s="47"/>
    </row>
    <row r="123" spans="2:34" ht="15.75" customHeight="1" x14ac:dyDescent="0.2">
      <c r="B123" s="38"/>
      <c r="C123" s="49"/>
      <c r="D123" s="50"/>
      <c r="E123" s="51" t="s">
        <v>21</v>
      </c>
      <c r="F123" s="52">
        <f>IF(C121&lt;=$H$3,'Summary and Assumptions'!$D$101,0)</f>
        <v>0</v>
      </c>
      <c r="G123" s="52">
        <f>IF(C121&lt;=$H$3,F123*'Summary and Assumptions'!$K$111*'Summary and Assumptions'!$K$102,0)</f>
        <v>0</v>
      </c>
      <c r="H123" s="52">
        <f>IF(C121&lt;=$H$3,$F123*'Summary and Assumptions'!$K$112*'Summary and Assumptions'!$K$103,0)</f>
        <v>0</v>
      </c>
      <c r="I123" s="52">
        <f>IF(C121&lt;=$H$3,$F123*'Summary and Assumptions'!$K$113*'Summary and Assumptions'!$K$104,0)</f>
        <v>0</v>
      </c>
      <c r="J123" s="53">
        <f>IF(C121&lt;=$H$3,$F123*'Summary and Assumptions'!$K$114*'Summary and Assumptions'!$K$105,0)</f>
        <v>0</v>
      </c>
      <c r="K123" s="54" t="str">
        <f ca="1">IF(AND(J122&lt;=$D$3,J123&gt;0),$J$6,IF(AND(I122&lt;=$D$3,I123&gt;0),$I$6,IF(AND(H122&lt;=$D$3,H123&gt;0),$H$6,IF(AND(G122&lt;=$D$3,G123&gt;0),$G$6,IF(AND(F122&lt;=$D$3,F123&gt;0),$F$6,"0")))))</f>
        <v>0</v>
      </c>
      <c r="L123" s="55">
        <f>IF(C121&lt;=$H$3,SUM($F123:$I123)*(1+'Summary and Assumptions'!$D$103),0)</f>
        <v>0</v>
      </c>
      <c r="O123" s="44"/>
      <c r="P123" s="45"/>
      <c r="Q123" s="46"/>
      <c r="R123" s="45"/>
      <c r="S123" s="45"/>
      <c r="T123" s="45"/>
      <c r="U123" s="45"/>
      <c r="V123" s="45"/>
      <c r="W123" s="47"/>
      <c r="X123" s="40"/>
      <c r="Z123" s="48"/>
      <c r="AA123" s="45"/>
      <c r="AB123" s="46"/>
      <c r="AC123" s="45"/>
      <c r="AD123" s="45"/>
      <c r="AE123" s="45"/>
      <c r="AF123" s="45"/>
      <c r="AG123" s="45"/>
      <c r="AH123" s="47"/>
    </row>
    <row r="124" spans="2:34" ht="15.75" customHeight="1" x14ac:dyDescent="0.2">
      <c r="B124" s="26" t="s">
        <v>18</v>
      </c>
      <c r="C124" s="25">
        <f>C121+1</f>
        <v>40</v>
      </c>
      <c r="D124" s="27" t="str">
        <f>IF(C124&lt;=$H$3,"Company"&amp;" "&amp;C124,"")</f>
        <v/>
      </c>
      <c r="E124" s="28" t="s">
        <v>19</v>
      </c>
      <c r="F124" s="29">
        <f>IFERROR(IF(F125&gt;0,(DATE(YEAR(F125),((INT((MONTH(F125)-1)/3)+1)*3)+1,1)-1),""),0)</f>
        <v>0</v>
      </c>
      <c r="G124" s="29">
        <f>IFERROR(IF(G125&gt;0,(DATE(YEAR(G125),((INT((MONTH(G125)-1)/3)+1)*3)+1,1)-1),"-"),0)</f>
        <v>0</v>
      </c>
      <c r="H124" s="29">
        <f>IFERROR(IF(H125&gt;0,(DATE(YEAR(H125),((INT((MONTH(H125)-1)/3)+1)*3)+1,1)-1),"-"),0)</f>
        <v>0</v>
      </c>
      <c r="I124" s="29">
        <f>IFERROR(IF(I125&gt;0,(DATE(YEAR(I125),((INT((MONTH(I125)-1)/3)+1)*3)+1,1)-1),"-"),0)</f>
        <v>0</v>
      </c>
      <c r="J124" s="30">
        <f>IFERROR(IF(J125&gt;0,(DATE(YEAR(J125),((INT((MONTH(J125)-1)/3)+1)*3)+1,1)-1),"-"),0)</f>
        <v>0</v>
      </c>
      <c r="L124" s="31">
        <f>IFERROR(IF(L125&gt;0,(DATE(YEAR(L125),((INT((MONTH(L125)-1)/3)+1)*3)+1,1)-1),"-"),0)</f>
        <v>0</v>
      </c>
      <c r="O124" s="32" t="str">
        <f ca="1">IF(F125&lt;=TODAY(),C124,"0")</f>
        <v>0</v>
      </c>
      <c r="P124" s="33" t="str">
        <f ca="1">IF(F125&lt;=TODAY(),D124,"0")</f>
        <v>0</v>
      </c>
      <c r="Q124" s="56" t="str">
        <f ca="1">IF(F125&lt;=TODAY(),F125,"0")</f>
        <v>0</v>
      </c>
      <c r="R124" s="33">
        <f t="shared" ref="R124:V124" ca="1" si="135">IF(F125&lt;=TODAY(),F126,0)</f>
        <v>0</v>
      </c>
      <c r="S124" s="33">
        <f t="shared" ca="1" si="135"/>
        <v>0</v>
      </c>
      <c r="T124" s="33">
        <f t="shared" ca="1" si="135"/>
        <v>0</v>
      </c>
      <c r="U124" s="33">
        <f t="shared" ca="1" si="135"/>
        <v>0</v>
      </c>
      <c r="V124" s="33">
        <f t="shared" ca="1" si="135"/>
        <v>0</v>
      </c>
      <c r="W124" s="35">
        <f ca="1">IF(L125&lt;=TODAY(),L126,0)</f>
        <v>0</v>
      </c>
      <c r="X124" s="36" t="str">
        <f ca="1">IF(K125&lt;=TODAY(),K126,"-")</f>
        <v>0</v>
      </c>
      <c r="Z124" s="37">
        <f ca="1">IF(F125&gt;TODAY(),C124,"0")</f>
        <v>40</v>
      </c>
      <c r="AA124" s="33" t="str">
        <f ca="1">IF(F125&gt;TODAY(),D124,"0")</f>
        <v/>
      </c>
      <c r="AB124" s="56" t="str">
        <f ca="1">IF(F125&gt;TODAY(),F125,"0")</f>
        <v/>
      </c>
      <c r="AC124" s="33">
        <f t="shared" ref="AC124:AG124" ca="1" si="136">IF(F125&gt;TODAY(),F126,"0")</f>
        <v>0</v>
      </c>
      <c r="AD124" s="33">
        <f t="shared" ca="1" si="136"/>
        <v>0</v>
      </c>
      <c r="AE124" s="33">
        <f t="shared" ca="1" si="136"/>
        <v>0</v>
      </c>
      <c r="AF124" s="33">
        <f t="shared" ca="1" si="136"/>
        <v>0</v>
      </c>
      <c r="AG124" s="33">
        <f t="shared" ca="1" si="136"/>
        <v>0</v>
      </c>
      <c r="AH124" s="35">
        <f ca="1">IF(L125&gt;TODAY(),L126,"0")</f>
        <v>0</v>
      </c>
    </row>
    <row r="125" spans="2:34" ht="15.75" customHeight="1" x14ac:dyDescent="0.2">
      <c r="B125" s="38"/>
      <c r="C125" s="25"/>
      <c r="D125" s="39"/>
      <c r="E125" s="40" t="s">
        <v>20</v>
      </c>
      <c r="F125" s="80" t="str">
        <f>IF(C124&lt;=$H$3,IF((F122+('Summary and Assumptions'!$K$118*7))&gt;$D$3,(F122+('Summary and Assumptions'!$K$118*7)),($D$3+$H$4)),"")</f>
        <v/>
      </c>
      <c r="G125" s="81" t="str">
        <f>IF($C124&lt;=$H$3,IF((F125+('Summary and Assumptions'!$K$119*7))&gt;$D$3,(F125+('Summary and Assumptions'!$K$119*7)),($D$3+$H$4)),"")</f>
        <v/>
      </c>
      <c r="H125" s="41" t="str">
        <f>IF($C124&lt;=$H$3,IF((F125+('Summary and Assumptions'!$K$120*7))&gt;$D$3,(F125+('Summary and Assumptions'!$K$120*7)),($D$3+$H$4)),"")</f>
        <v/>
      </c>
      <c r="I125" s="81" t="str">
        <f>IF($C124&lt;=$H$3,IF((H125+('Summary and Assumptions'!$K$121*7))&gt;$D$3,(H125+('Summary and Assumptions'!$K$121*7)),($D$3+$H$4)),"")</f>
        <v/>
      </c>
      <c r="J125" s="84" t="str">
        <f>IF($C124&lt;=$H$3,IF((I125+('Summary and Assumptions'!$K$122*7))&gt;$D$3,(I125+('Summary and Assumptions'!$K$122*7)),($D$3+$H$4)),"")</f>
        <v/>
      </c>
      <c r="K125" s="5"/>
      <c r="L125" s="43" t="str">
        <f>IF($C124&lt;=$H$3,IF((J125+('Summary and Assumptions'!$K$123*7))&gt;$D$3,(J125+('Summary and Assumptions'!$K$123*7)),($D$3+$H$4)),"")</f>
        <v/>
      </c>
      <c r="O125" s="44"/>
      <c r="P125" s="45"/>
      <c r="Q125" s="46"/>
      <c r="R125" s="45"/>
      <c r="S125" s="45"/>
      <c r="T125" s="45"/>
      <c r="U125" s="45"/>
      <c r="V125" s="45"/>
      <c r="W125" s="47"/>
      <c r="X125" s="40"/>
      <c r="Z125" s="48"/>
      <c r="AA125" s="45"/>
      <c r="AB125" s="46"/>
      <c r="AC125" s="45"/>
      <c r="AD125" s="45"/>
      <c r="AE125" s="45"/>
      <c r="AF125" s="45"/>
      <c r="AG125" s="45"/>
      <c r="AH125" s="47"/>
    </row>
    <row r="126" spans="2:34" ht="15.75" customHeight="1" x14ac:dyDescent="0.2">
      <c r="B126" s="38"/>
      <c r="C126" s="49"/>
      <c r="D126" s="50"/>
      <c r="E126" s="51" t="s">
        <v>21</v>
      </c>
      <c r="F126" s="52">
        <f>IF(C124&lt;=$H$3,'Summary and Assumptions'!$D$101,0)</f>
        <v>0</v>
      </c>
      <c r="G126" s="52">
        <f>IF(C124&lt;=$H$3,F126*'Summary and Assumptions'!$K$111*'Summary and Assumptions'!$K$102,0)</f>
        <v>0</v>
      </c>
      <c r="H126" s="52">
        <f>IF(C124&lt;=$H$3,$F126*'Summary and Assumptions'!$K$112*'Summary and Assumptions'!$K$103,0)</f>
        <v>0</v>
      </c>
      <c r="I126" s="52">
        <f>IF(C124&lt;=$H$3,$F126*'Summary and Assumptions'!$K$113*'Summary and Assumptions'!$K$104,0)</f>
        <v>0</v>
      </c>
      <c r="J126" s="53">
        <f>IF(C124&lt;=$H$3,$F126*'Summary and Assumptions'!$K$114*'Summary and Assumptions'!$K$105,0)</f>
        <v>0</v>
      </c>
      <c r="K126" s="54" t="str">
        <f ca="1">IF(AND(J125&lt;=$D$3,J126&gt;0),$J$6,IF(AND(I125&lt;=$D$3,I126&gt;0),$I$6,IF(AND(H125&lt;=$D$3,H126&gt;0),$H$6,IF(AND(G125&lt;=$D$3,G126&gt;0),$G$6,IF(AND(F125&lt;=$D$3,F126&gt;0),$F$6,"0")))))</f>
        <v>0</v>
      </c>
      <c r="L126" s="55">
        <f>IF(C124&lt;=$H$3,SUM($F126:$I126)*(1+'Summary and Assumptions'!$D$103),0)</f>
        <v>0</v>
      </c>
      <c r="O126" s="44"/>
      <c r="P126" s="45"/>
      <c r="Q126" s="46"/>
      <c r="R126" s="45"/>
      <c r="S126" s="45"/>
      <c r="T126" s="45"/>
      <c r="U126" s="45"/>
      <c r="V126" s="45"/>
      <c r="W126" s="47"/>
      <c r="X126" s="40"/>
      <c r="Z126" s="48"/>
      <c r="AA126" s="45"/>
      <c r="AB126" s="46"/>
      <c r="AC126" s="45"/>
      <c r="AD126" s="45"/>
      <c r="AE126" s="45"/>
      <c r="AF126" s="45"/>
      <c r="AG126" s="45"/>
      <c r="AH126" s="47"/>
    </row>
    <row r="127" spans="2:34" ht="15.75" customHeight="1" x14ac:dyDescent="0.2">
      <c r="B127" s="26" t="s">
        <v>18</v>
      </c>
      <c r="C127" s="25">
        <f>C124+1</f>
        <v>41</v>
      </c>
      <c r="D127" s="27" t="str">
        <f>IF(C127&lt;=$H$3,"Company"&amp;" "&amp;C127,"")</f>
        <v/>
      </c>
      <c r="E127" s="28" t="s">
        <v>19</v>
      </c>
      <c r="F127" s="29">
        <f>IFERROR(IF(F128&gt;0,(DATE(YEAR(F128),((INT((MONTH(F128)-1)/3)+1)*3)+1,1)-1),""),0)</f>
        <v>0</v>
      </c>
      <c r="G127" s="29">
        <f>IFERROR(IF(G128&gt;0,(DATE(YEAR(G128),((INT((MONTH(G128)-1)/3)+1)*3)+1,1)-1),"-"),0)</f>
        <v>0</v>
      </c>
      <c r="H127" s="29">
        <f>IFERROR(IF(H128&gt;0,(DATE(YEAR(H128),((INT((MONTH(H128)-1)/3)+1)*3)+1,1)-1),"-"),0)</f>
        <v>0</v>
      </c>
      <c r="I127" s="29">
        <f>IFERROR(IF(I128&gt;0,(DATE(YEAR(I128),((INT((MONTH(I128)-1)/3)+1)*3)+1,1)-1),"-"),0)</f>
        <v>0</v>
      </c>
      <c r="J127" s="30">
        <f>IFERROR(IF(J128&gt;0,(DATE(YEAR(J128),((INT((MONTH(J128)-1)/3)+1)*3)+1,1)-1),"-"),0)</f>
        <v>0</v>
      </c>
      <c r="L127" s="31">
        <f>IFERROR(IF(L128&gt;0,(DATE(YEAR(L128),((INT((MONTH(L128)-1)/3)+1)*3)+1,1)-1),"-"),0)</f>
        <v>0</v>
      </c>
      <c r="O127" s="32" t="str">
        <f ca="1">IF(F128&lt;=TODAY(),C127,"0")</f>
        <v>0</v>
      </c>
      <c r="P127" s="33" t="str">
        <f ca="1">IF(F128&lt;=TODAY(),D127,"0")</f>
        <v>0</v>
      </c>
      <c r="Q127" s="56" t="str">
        <f ca="1">IF(F128&lt;=TODAY(),F128,"0")</f>
        <v>0</v>
      </c>
      <c r="R127" s="33">
        <f t="shared" ref="R127:V127" ca="1" si="137">IF(F128&lt;=TODAY(),F129,0)</f>
        <v>0</v>
      </c>
      <c r="S127" s="33">
        <f t="shared" ca="1" si="137"/>
        <v>0</v>
      </c>
      <c r="T127" s="33">
        <f t="shared" ca="1" si="137"/>
        <v>0</v>
      </c>
      <c r="U127" s="33">
        <f t="shared" ca="1" si="137"/>
        <v>0</v>
      </c>
      <c r="V127" s="33">
        <f t="shared" ca="1" si="137"/>
        <v>0</v>
      </c>
      <c r="W127" s="35">
        <f ca="1">IF(L128&lt;=TODAY(),L129,0)</f>
        <v>0</v>
      </c>
      <c r="X127" s="36" t="str">
        <f ca="1">IF(K128&lt;=TODAY(),K129,"-")</f>
        <v>0</v>
      </c>
      <c r="Z127" s="37">
        <f ca="1">IF(F128&gt;TODAY(),C127,"0")</f>
        <v>41</v>
      </c>
      <c r="AA127" s="33" t="str">
        <f ca="1">IF(F128&gt;TODAY(),D127,"0")</f>
        <v/>
      </c>
      <c r="AB127" s="56" t="str">
        <f ca="1">IF(F128&gt;TODAY(),F128,"0")</f>
        <v/>
      </c>
      <c r="AC127" s="33">
        <f t="shared" ref="AC127:AG127" ca="1" si="138">IF(F128&gt;TODAY(),F129,"0")</f>
        <v>0</v>
      </c>
      <c r="AD127" s="33">
        <f t="shared" ca="1" si="138"/>
        <v>0</v>
      </c>
      <c r="AE127" s="33">
        <f t="shared" ca="1" si="138"/>
        <v>0</v>
      </c>
      <c r="AF127" s="33">
        <f t="shared" ca="1" si="138"/>
        <v>0</v>
      </c>
      <c r="AG127" s="33">
        <f t="shared" ca="1" si="138"/>
        <v>0</v>
      </c>
      <c r="AH127" s="35">
        <f ca="1">IF(L128&gt;TODAY(),L129,"0")</f>
        <v>0</v>
      </c>
    </row>
    <row r="128" spans="2:34" ht="15.75" customHeight="1" x14ac:dyDescent="0.2">
      <c r="B128" s="38"/>
      <c r="C128" s="25"/>
      <c r="D128" s="39"/>
      <c r="E128" s="40" t="s">
        <v>20</v>
      </c>
      <c r="F128" s="80" t="str">
        <f>IF(C127&lt;=$H$3,IF((F125+('Summary and Assumptions'!$K$118*7))&gt;$D$3,(F125+('Summary and Assumptions'!$K$118*7)),($D$3+$H$4)),"")</f>
        <v/>
      </c>
      <c r="G128" s="81" t="str">
        <f>IF($C127&lt;=$H$3,IF((F128+('Summary and Assumptions'!$K$119*7))&gt;$D$3,(F128+('Summary and Assumptions'!$K$119*7)),($D$3+$H$4)),"")</f>
        <v/>
      </c>
      <c r="H128" s="41" t="str">
        <f>IF($C127&lt;=$H$3,IF((F128+('Summary and Assumptions'!$K$120*7))&gt;$D$3,(F128+('Summary and Assumptions'!$K$120*7)),($D$3+$H$4)),"")</f>
        <v/>
      </c>
      <c r="I128" s="81" t="str">
        <f>IF($C127&lt;=$H$3,IF((H128+('Summary and Assumptions'!$K$121*7))&gt;$D$3,(H128+('Summary and Assumptions'!$K$121*7)),($D$3+$H$4)),"")</f>
        <v/>
      </c>
      <c r="J128" s="84" t="str">
        <f>IF($C127&lt;=$H$3,IF((I128+('Summary and Assumptions'!$K$122*7))&gt;$D$3,(I128+('Summary and Assumptions'!$K$122*7)),($D$3+$H$4)),"")</f>
        <v/>
      </c>
      <c r="K128" s="5"/>
      <c r="L128" s="43" t="str">
        <f>IF($C127&lt;=$H$3,IF((J128+('Summary and Assumptions'!$K$123*7))&gt;$D$3,(J128+('Summary and Assumptions'!$K$123*7)),($D$3+$H$4)),"")</f>
        <v/>
      </c>
      <c r="O128" s="44"/>
      <c r="P128" s="45"/>
      <c r="Q128" s="46"/>
      <c r="R128" s="45"/>
      <c r="S128" s="45"/>
      <c r="T128" s="45"/>
      <c r="U128" s="45"/>
      <c r="V128" s="45"/>
      <c r="W128" s="47"/>
      <c r="X128" s="40"/>
      <c r="Z128" s="48"/>
      <c r="AA128" s="45"/>
      <c r="AB128" s="46"/>
      <c r="AC128" s="45"/>
      <c r="AD128" s="45"/>
      <c r="AE128" s="45"/>
      <c r="AF128" s="45"/>
      <c r="AG128" s="45"/>
      <c r="AH128" s="47"/>
    </row>
    <row r="129" spans="2:34" ht="15.75" customHeight="1" x14ac:dyDescent="0.2">
      <c r="B129" s="38"/>
      <c r="C129" s="49"/>
      <c r="D129" s="50"/>
      <c r="E129" s="51" t="s">
        <v>21</v>
      </c>
      <c r="F129" s="52">
        <f>IF(C127&lt;=$H$3,'Summary and Assumptions'!$D$101,0)</f>
        <v>0</v>
      </c>
      <c r="G129" s="52">
        <f>IF(C127&lt;=$H$3,F129*'Summary and Assumptions'!$K$111*'Summary and Assumptions'!$K$102,0)</f>
        <v>0</v>
      </c>
      <c r="H129" s="52">
        <f>IF(C127&lt;=$H$3,$F129*'Summary and Assumptions'!$K$112*'Summary and Assumptions'!$K$103,0)</f>
        <v>0</v>
      </c>
      <c r="I129" s="52">
        <f>IF(C127&lt;=$H$3,$F129*'Summary and Assumptions'!$K$113*'Summary and Assumptions'!$K$104,0)</f>
        <v>0</v>
      </c>
      <c r="J129" s="53">
        <f>IF(C127&lt;=$H$3,$F129*'Summary and Assumptions'!$K$114*'Summary and Assumptions'!$K$105,0)</f>
        <v>0</v>
      </c>
      <c r="K129" s="54" t="str">
        <f ca="1">IF(AND(J128&lt;=$D$3,J129&gt;0),$J$6,IF(AND(I128&lt;=$D$3,I129&gt;0),$I$6,IF(AND(H128&lt;=$D$3,H129&gt;0),$H$6,IF(AND(G128&lt;=$D$3,G129&gt;0),$G$6,IF(AND(F128&lt;=$D$3,F129&gt;0),$F$6,"0")))))</f>
        <v>0</v>
      </c>
      <c r="L129" s="55">
        <f>IF(C127&lt;=$H$3,SUM($F129:$I129)*(1+'Summary and Assumptions'!$D$103),0)</f>
        <v>0</v>
      </c>
      <c r="O129" s="44"/>
      <c r="P129" s="45"/>
      <c r="Q129" s="46"/>
      <c r="R129" s="45"/>
      <c r="S129" s="45"/>
      <c r="T129" s="45"/>
      <c r="U129" s="45"/>
      <c r="V129" s="45"/>
      <c r="W129" s="47"/>
      <c r="X129" s="40"/>
      <c r="Z129" s="48"/>
      <c r="AA129" s="45"/>
      <c r="AB129" s="46"/>
      <c r="AC129" s="45"/>
      <c r="AD129" s="45"/>
      <c r="AE129" s="45"/>
      <c r="AF129" s="45"/>
      <c r="AG129" s="45"/>
      <c r="AH129" s="47"/>
    </row>
    <row r="130" spans="2:34" ht="15.75" customHeight="1" x14ac:dyDescent="0.2">
      <c r="B130" s="26" t="s">
        <v>18</v>
      </c>
      <c r="C130" s="25">
        <f>C127+1</f>
        <v>42</v>
      </c>
      <c r="D130" s="27" t="str">
        <f>IF(C130&lt;=$H$3,"Company"&amp;" "&amp;C130,"")</f>
        <v/>
      </c>
      <c r="E130" s="28" t="s">
        <v>19</v>
      </c>
      <c r="F130" s="29">
        <f>IFERROR(IF(F131&gt;0,(DATE(YEAR(F131),((INT((MONTH(F131)-1)/3)+1)*3)+1,1)-1),""),0)</f>
        <v>0</v>
      </c>
      <c r="G130" s="29">
        <f>IFERROR(IF(G131&gt;0,(DATE(YEAR(G131),((INT((MONTH(G131)-1)/3)+1)*3)+1,1)-1),"-"),0)</f>
        <v>0</v>
      </c>
      <c r="H130" s="29">
        <f>IFERROR(IF(H131&gt;0,(DATE(YEAR(H131),((INT((MONTH(H131)-1)/3)+1)*3)+1,1)-1),"-"),0)</f>
        <v>0</v>
      </c>
      <c r="I130" s="29">
        <f>IFERROR(IF(I131&gt;0,(DATE(YEAR(I131),((INT((MONTH(I131)-1)/3)+1)*3)+1,1)-1),"-"),0)</f>
        <v>0</v>
      </c>
      <c r="J130" s="30">
        <f>IFERROR(IF(J131&gt;0,(DATE(YEAR(J131),((INT((MONTH(J131)-1)/3)+1)*3)+1,1)-1),"-"),0)</f>
        <v>0</v>
      </c>
      <c r="L130" s="31">
        <f>IFERROR(IF(L131&gt;0,(DATE(YEAR(L131),((INT((MONTH(L131)-1)/3)+1)*3)+1,1)-1),"-"),0)</f>
        <v>0</v>
      </c>
      <c r="O130" s="32" t="str">
        <f ca="1">IF(F131&lt;=TODAY(),C130,"0")</f>
        <v>0</v>
      </c>
      <c r="P130" s="33" t="str">
        <f ca="1">IF(F131&lt;=TODAY(),D130,"0")</f>
        <v>0</v>
      </c>
      <c r="Q130" s="56" t="str">
        <f ca="1">IF(F131&lt;=TODAY(),F131,"0")</f>
        <v>0</v>
      </c>
      <c r="R130" s="33">
        <f t="shared" ref="R130:V130" ca="1" si="139">IF(F131&lt;=TODAY(),F132,0)</f>
        <v>0</v>
      </c>
      <c r="S130" s="33">
        <f t="shared" ca="1" si="139"/>
        <v>0</v>
      </c>
      <c r="T130" s="33">
        <f t="shared" ca="1" si="139"/>
        <v>0</v>
      </c>
      <c r="U130" s="33">
        <f t="shared" ca="1" si="139"/>
        <v>0</v>
      </c>
      <c r="V130" s="33">
        <f t="shared" ca="1" si="139"/>
        <v>0</v>
      </c>
      <c r="W130" s="35">
        <f ca="1">IF(L131&lt;=TODAY(),L132,0)</f>
        <v>0</v>
      </c>
      <c r="X130" s="36" t="str">
        <f ca="1">IF(K131&lt;=TODAY(),K132,"-")</f>
        <v>0</v>
      </c>
      <c r="Z130" s="37">
        <f ca="1">IF(F131&gt;TODAY(),C130,"0")</f>
        <v>42</v>
      </c>
      <c r="AA130" s="33" t="str">
        <f ca="1">IF(F131&gt;TODAY(),D130,"0")</f>
        <v/>
      </c>
      <c r="AB130" s="56" t="str">
        <f ca="1">IF(F131&gt;TODAY(),F131,"0")</f>
        <v/>
      </c>
      <c r="AC130" s="33">
        <f t="shared" ref="AC130:AG130" ca="1" si="140">IF(F131&gt;TODAY(),F132,"0")</f>
        <v>0</v>
      </c>
      <c r="AD130" s="33">
        <f t="shared" ca="1" si="140"/>
        <v>0</v>
      </c>
      <c r="AE130" s="33">
        <f t="shared" ca="1" si="140"/>
        <v>0</v>
      </c>
      <c r="AF130" s="33">
        <f t="shared" ca="1" si="140"/>
        <v>0</v>
      </c>
      <c r="AG130" s="33">
        <f t="shared" ca="1" si="140"/>
        <v>0</v>
      </c>
      <c r="AH130" s="35">
        <f ca="1">IF(L131&gt;TODAY(),L132,"0")</f>
        <v>0</v>
      </c>
    </row>
    <row r="131" spans="2:34" ht="15.75" customHeight="1" x14ac:dyDescent="0.2">
      <c r="B131" s="38"/>
      <c r="C131" s="25"/>
      <c r="D131" s="39"/>
      <c r="E131" s="40" t="s">
        <v>20</v>
      </c>
      <c r="F131" s="80" t="str">
        <f>IF(C130&lt;=$H$3,IF((F128+('Summary and Assumptions'!$K$118*7))&gt;$D$3,(F128+('Summary and Assumptions'!$K$118*7)),($D$3+$H$4)),"")</f>
        <v/>
      </c>
      <c r="G131" s="81" t="str">
        <f>IF($C130&lt;=$H$3,IF((F131+('Summary and Assumptions'!$K$119*7))&gt;$D$3,(F131+('Summary and Assumptions'!$K$119*7)),($D$3+$H$4)),"")</f>
        <v/>
      </c>
      <c r="H131" s="41" t="str">
        <f>IF($C130&lt;=$H$3,IF((F131+('Summary and Assumptions'!$K$120*7))&gt;$D$3,(F131+('Summary and Assumptions'!$K$120*7)),($D$3+$H$4)),"")</f>
        <v/>
      </c>
      <c r="I131" s="81" t="str">
        <f>IF($C130&lt;=$H$3,IF((H131+('Summary and Assumptions'!$K$121*7))&gt;$D$3,(H131+('Summary and Assumptions'!$K$121*7)),($D$3+$H$4)),"")</f>
        <v/>
      </c>
      <c r="J131" s="84" t="str">
        <f>IF($C130&lt;=$H$3,IF((I131+('Summary and Assumptions'!$K$122*7))&gt;$D$3,(I131+('Summary and Assumptions'!$K$122*7)),($D$3+$H$4)),"")</f>
        <v/>
      </c>
      <c r="K131" s="5"/>
      <c r="L131" s="43" t="str">
        <f>IF($C130&lt;=$H$3,IF((J131+('Summary and Assumptions'!$K$123*7))&gt;$D$3,(J131+('Summary and Assumptions'!$K$123*7)),($D$3+$H$4)),"")</f>
        <v/>
      </c>
      <c r="O131" s="44"/>
      <c r="P131" s="45"/>
      <c r="Q131" s="46"/>
      <c r="R131" s="45"/>
      <c r="S131" s="45"/>
      <c r="T131" s="45"/>
      <c r="U131" s="45"/>
      <c r="V131" s="45"/>
      <c r="W131" s="47"/>
      <c r="X131" s="40"/>
      <c r="Z131" s="48"/>
      <c r="AA131" s="45"/>
      <c r="AB131" s="46"/>
      <c r="AC131" s="45"/>
      <c r="AD131" s="45"/>
      <c r="AE131" s="45"/>
      <c r="AF131" s="45"/>
      <c r="AG131" s="45"/>
      <c r="AH131" s="47"/>
    </row>
    <row r="132" spans="2:34" ht="15.75" customHeight="1" x14ac:dyDescent="0.2">
      <c r="B132" s="38"/>
      <c r="C132" s="49"/>
      <c r="D132" s="50"/>
      <c r="E132" s="51" t="s">
        <v>21</v>
      </c>
      <c r="F132" s="52">
        <f>IF(C130&lt;=$H$3,'Summary and Assumptions'!$D$101,0)</f>
        <v>0</v>
      </c>
      <c r="G132" s="52">
        <f>IF(C130&lt;=$H$3,F132*'Summary and Assumptions'!$K$111*'Summary and Assumptions'!$K$102,0)</f>
        <v>0</v>
      </c>
      <c r="H132" s="52">
        <f>IF(C130&lt;=$H$3,$F132*'Summary and Assumptions'!$K$112*'Summary and Assumptions'!$K$103,0)</f>
        <v>0</v>
      </c>
      <c r="I132" s="52">
        <f>IF(C130&lt;=$H$3,$F132*'Summary and Assumptions'!$K$113*'Summary and Assumptions'!$K$104,0)</f>
        <v>0</v>
      </c>
      <c r="J132" s="53">
        <f>IF(C130&lt;=$H$3,$F132*'Summary and Assumptions'!$K$114*'Summary and Assumptions'!$K$105,0)</f>
        <v>0</v>
      </c>
      <c r="K132" s="54" t="str">
        <f ca="1">IF(AND(J131&lt;=$D$3,J132&gt;0),$J$6,IF(AND(I131&lt;=$D$3,I132&gt;0),$I$6,IF(AND(H131&lt;=$D$3,H132&gt;0),$H$6,IF(AND(G131&lt;=$D$3,G132&gt;0),$G$6,IF(AND(F131&lt;=$D$3,F132&gt;0),$F$6,"0")))))</f>
        <v>0</v>
      </c>
      <c r="L132" s="55">
        <f>IF(C130&lt;=$H$3,SUM($F132:$I132)*(1+'Summary and Assumptions'!$D$103),0)</f>
        <v>0</v>
      </c>
      <c r="O132" s="44"/>
      <c r="P132" s="45"/>
      <c r="Q132" s="46"/>
      <c r="R132" s="45"/>
      <c r="S132" s="45"/>
      <c r="T132" s="45"/>
      <c r="U132" s="45"/>
      <c r="V132" s="45"/>
      <c r="W132" s="47"/>
      <c r="X132" s="40"/>
      <c r="Z132" s="48"/>
      <c r="AA132" s="45"/>
      <c r="AB132" s="46"/>
      <c r="AC132" s="45"/>
      <c r="AD132" s="45"/>
      <c r="AE132" s="45"/>
      <c r="AF132" s="45"/>
      <c r="AG132" s="45"/>
      <c r="AH132" s="47"/>
    </row>
    <row r="133" spans="2:34" ht="15.75" customHeight="1" x14ac:dyDescent="0.2">
      <c r="B133" s="26" t="s">
        <v>18</v>
      </c>
      <c r="C133" s="25">
        <f>C130+1</f>
        <v>43</v>
      </c>
      <c r="D133" s="27" t="str">
        <f>IF(C133&lt;=$H$3,"Company"&amp;" "&amp;C133,"")</f>
        <v/>
      </c>
      <c r="E133" s="28" t="s">
        <v>19</v>
      </c>
      <c r="F133" s="29">
        <f>IFERROR(IF(F134&gt;0,(DATE(YEAR(F134),((INT((MONTH(F134)-1)/3)+1)*3)+1,1)-1),""),0)</f>
        <v>0</v>
      </c>
      <c r="G133" s="29">
        <f>IFERROR(IF(G134&gt;0,(DATE(YEAR(G134),((INT((MONTH(G134)-1)/3)+1)*3)+1,1)-1),"-"),0)</f>
        <v>0</v>
      </c>
      <c r="H133" s="29">
        <f>IFERROR(IF(H134&gt;0,(DATE(YEAR(H134),((INT((MONTH(H134)-1)/3)+1)*3)+1,1)-1),"-"),0)</f>
        <v>0</v>
      </c>
      <c r="I133" s="29">
        <f>IFERROR(IF(I134&gt;0,(DATE(YEAR(I134),((INT((MONTH(I134)-1)/3)+1)*3)+1,1)-1),"-"),0)</f>
        <v>0</v>
      </c>
      <c r="J133" s="30">
        <f>IFERROR(IF(J134&gt;0,(DATE(YEAR(J134),((INT((MONTH(J134)-1)/3)+1)*3)+1,1)-1),"-"),0)</f>
        <v>0</v>
      </c>
      <c r="L133" s="31">
        <f>IFERROR(IF(L134&gt;0,(DATE(YEAR(L134),((INT((MONTH(L134)-1)/3)+1)*3)+1,1)-1),"-"),0)</f>
        <v>0</v>
      </c>
      <c r="O133" s="32" t="str">
        <f ca="1">IF(F134&lt;=TODAY(),C133,"0")</f>
        <v>0</v>
      </c>
      <c r="P133" s="33" t="str">
        <f ca="1">IF(F134&lt;=TODAY(),D133,"0")</f>
        <v>0</v>
      </c>
      <c r="Q133" s="56" t="str">
        <f ca="1">IF(F134&lt;=TODAY(),F134,"0")</f>
        <v>0</v>
      </c>
      <c r="R133" s="33">
        <f t="shared" ref="R133:V133" ca="1" si="141">IF(F134&lt;=TODAY(),F135,0)</f>
        <v>0</v>
      </c>
      <c r="S133" s="33">
        <f t="shared" ca="1" si="141"/>
        <v>0</v>
      </c>
      <c r="T133" s="33">
        <f t="shared" ca="1" si="141"/>
        <v>0</v>
      </c>
      <c r="U133" s="33">
        <f t="shared" ca="1" si="141"/>
        <v>0</v>
      </c>
      <c r="V133" s="33">
        <f t="shared" ca="1" si="141"/>
        <v>0</v>
      </c>
      <c r="W133" s="35">
        <f ca="1">IF(L134&lt;=TODAY(),L135,0)</f>
        <v>0</v>
      </c>
      <c r="X133" s="36" t="str">
        <f ca="1">IF(K134&lt;=TODAY(),K135,"-")</f>
        <v>0</v>
      </c>
      <c r="Z133" s="37">
        <f ca="1">IF(F134&gt;TODAY(),C133,"0")</f>
        <v>43</v>
      </c>
      <c r="AA133" s="33" t="str">
        <f ca="1">IF(F134&gt;TODAY(),D133,"0")</f>
        <v/>
      </c>
      <c r="AB133" s="56" t="str">
        <f ca="1">IF(F134&gt;TODAY(),F134,"0")</f>
        <v/>
      </c>
      <c r="AC133" s="33">
        <f t="shared" ref="AC133:AG133" ca="1" si="142">IF(F134&gt;TODAY(),F135,"0")</f>
        <v>0</v>
      </c>
      <c r="AD133" s="33">
        <f t="shared" ca="1" si="142"/>
        <v>0</v>
      </c>
      <c r="AE133" s="33">
        <f t="shared" ca="1" si="142"/>
        <v>0</v>
      </c>
      <c r="AF133" s="33">
        <f t="shared" ca="1" si="142"/>
        <v>0</v>
      </c>
      <c r="AG133" s="33">
        <f t="shared" ca="1" si="142"/>
        <v>0</v>
      </c>
      <c r="AH133" s="35">
        <f ca="1">IF(L134&gt;TODAY(),L135,"0")</f>
        <v>0</v>
      </c>
    </row>
    <row r="134" spans="2:34" ht="15.75" customHeight="1" x14ac:dyDescent="0.2">
      <c r="B134" s="38"/>
      <c r="C134" s="25"/>
      <c r="D134" s="39"/>
      <c r="E134" s="40" t="s">
        <v>20</v>
      </c>
      <c r="F134" s="80" t="str">
        <f>IF(C133&lt;=$H$3,IF((F131+('Summary and Assumptions'!$K$118*7))&gt;$D$3,(F131+('Summary and Assumptions'!$K$118*7)),($D$3+$H$4)),"")</f>
        <v/>
      </c>
      <c r="G134" s="81" t="str">
        <f>IF($C133&lt;=$H$3,IF((F134+('Summary and Assumptions'!$K$119*7))&gt;$D$3,(F134+('Summary and Assumptions'!$K$119*7)),($D$3+$H$4)),"")</f>
        <v/>
      </c>
      <c r="H134" s="41" t="str">
        <f>IF($C133&lt;=$H$3,IF((F134+('Summary and Assumptions'!$K$120*7))&gt;$D$3,(F134+('Summary and Assumptions'!$K$120*7)),($D$3+$H$4)),"")</f>
        <v/>
      </c>
      <c r="I134" s="81" t="str">
        <f>IF($C133&lt;=$H$3,IF((H134+('Summary and Assumptions'!$K$121*7))&gt;$D$3,(H134+('Summary and Assumptions'!$K$121*7)),($D$3+$H$4)),"")</f>
        <v/>
      </c>
      <c r="J134" s="84" t="str">
        <f>IF($C133&lt;=$H$3,IF((I134+('Summary and Assumptions'!$K$122*7))&gt;$D$3,(I134+('Summary and Assumptions'!$K$122*7)),($D$3+$H$4)),"")</f>
        <v/>
      </c>
      <c r="K134" s="5"/>
      <c r="L134" s="43" t="str">
        <f>IF($C133&lt;=$H$3,IF((J134+('Summary and Assumptions'!$K$123*7))&gt;$D$3,(J134+('Summary and Assumptions'!$K$123*7)),($D$3+$H$4)),"")</f>
        <v/>
      </c>
      <c r="O134" s="44"/>
      <c r="P134" s="45"/>
      <c r="Q134" s="46"/>
      <c r="R134" s="45"/>
      <c r="S134" s="45"/>
      <c r="T134" s="45"/>
      <c r="U134" s="45"/>
      <c r="V134" s="45"/>
      <c r="W134" s="47"/>
      <c r="X134" s="40"/>
      <c r="Z134" s="48"/>
      <c r="AA134" s="45"/>
      <c r="AB134" s="46"/>
      <c r="AC134" s="45"/>
      <c r="AD134" s="45"/>
      <c r="AE134" s="45"/>
      <c r="AF134" s="45"/>
      <c r="AG134" s="45"/>
      <c r="AH134" s="47"/>
    </row>
    <row r="135" spans="2:34" ht="15.75" customHeight="1" x14ac:dyDescent="0.2">
      <c r="B135" s="38"/>
      <c r="C135" s="49"/>
      <c r="D135" s="50"/>
      <c r="E135" s="51" t="s">
        <v>21</v>
      </c>
      <c r="F135" s="52">
        <f>IF(C133&lt;=$H$3,'Summary and Assumptions'!$D$101,0)</f>
        <v>0</v>
      </c>
      <c r="G135" s="52">
        <f>IF(C133&lt;=$H$3,F135*'Summary and Assumptions'!$K$111*'Summary and Assumptions'!$K$102,0)</f>
        <v>0</v>
      </c>
      <c r="H135" s="52">
        <f>IF(C133&lt;=$H$3,$F135*'Summary and Assumptions'!$K$112*'Summary and Assumptions'!$K$103,0)</f>
        <v>0</v>
      </c>
      <c r="I135" s="52">
        <f>IF(C133&lt;=$H$3,$F135*'Summary and Assumptions'!$K$113*'Summary and Assumptions'!$K$104,0)</f>
        <v>0</v>
      </c>
      <c r="J135" s="53">
        <f>IF(C133&lt;=$H$3,$F135*'Summary and Assumptions'!$K$114*'Summary and Assumptions'!$K$105,0)</f>
        <v>0</v>
      </c>
      <c r="K135" s="54" t="str">
        <f ca="1">IF(AND(J134&lt;=$D$3,J135&gt;0),$J$6,IF(AND(I134&lt;=$D$3,I135&gt;0),$I$6,IF(AND(H134&lt;=$D$3,H135&gt;0),$H$6,IF(AND(G134&lt;=$D$3,G135&gt;0),$G$6,IF(AND(F134&lt;=$D$3,F135&gt;0),$F$6,"0")))))</f>
        <v>0</v>
      </c>
      <c r="L135" s="55">
        <f>IF(C133&lt;=$H$3,SUM($F135:$I135)*(1+'Summary and Assumptions'!$D$103),0)</f>
        <v>0</v>
      </c>
      <c r="O135" s="44"/>
      <c r="P135" s="45"/>
      <c r="Q135" s="46"/>
      <c r="R135" s="45"/>
      <c r="S135" s="45"/>
      <c r="T135" s="45"/>
      <c r="U135" s="45"/>
      <c r="V135" s="45"/>
      <c r="W135" s="47"/>
      <c r="X135" s="40"/>
      <c r="Z135" s="48"/>
      <c r="AA135" s="45"/>
      <c r="AB135" s="46"/>
      <c r="AC135" s="45"/>
      <c r="AD135" s="45"/>
      <c r="AE135" s="45"/>
      <c r="AF135" s="45"/>
      <c r="AG135" s="45"/>
      <c r="AH135" s="47"/>
    </row>
    <row r="136" spans="2:34" ht="15.75" customHeight="1" x14ac:dyDescent="0.2">
      <c r="B136" s="26" t="s">
        <v>18</v>
      </c>
      <c r="C136" s="25">
        <f>C133+1</f>
        <v>44</v>
      </c>
      <c r="D136" s="27" t="str">
        <f>IF(C136&lt;=$H$3,"Company"&amp;" "&amp;C136,"")</f>
        <v/>
      </c>
      <c r="E136" s="28" t="s">
        <v>19</v>
      </c>
      <c r="F136" s="29">
        <f>IFERROR(IF(F137&gt;0,(DATE(YEAR(F137),((INT((MONTH(F137)-1)/3)+1)*3)+1,1)-1),""),0)</f>
        <v>0</v>
      </c>
      <c r="G136" s="29">
        <f>IFERROR(IF(G137&gt;0,(DATE(YEAR(G137),((INT((MONTH(G137)-1)/3)+1)*3)+1,1)-1),"-"),0)</f>
        <v>0</v>
      </c>
      <c r="H136" s="29">
        <f>IFERROR(IF(H137&gt;0,(DATE(YEAR(H137),((INT((MONTH(H137)-1)/3)+1)*3)+1,1)-1),"-"),0)</f>
        <v>0</v>
      </c>
      <c r="I136" s="29">
        <f>IFERROR(IF(I137&gt;0,(DATE(YEAR(I137),((INT((MONTH(I137)-1)/3)+1)*3)+1,1)-1),"-"),0)</f>
        <v>0</v>
      </c>
      <c r="J136" s="30">
        <f>IFERROR(IF(J137&gt;0,(DATE(YEAR(J137),((INT((MONTH(J137)-1)/3)+1)*3)+1,1)-1),"-"),0)</f>
        <v>0</v>
      </c>
      <c r="L136" s="31">
        <f>IFERROR(IF(L137&gt;0,(DATE(YEAR(L137),((INT((MONTH(L137)-1)/3)+1)*3)+1,1)-1),"-"),0)</f>
        <v>0</v>
      </c>
      <c r="O136" s="32" t="str">
        <f ca="1">IF(F137&lt;=TODAY(),C136,"0")</f>
        <v>0</v>
      </c>
      <c r="P136" s="33" t="str">
        <f ca="1">IF(F137&lt;=TODAY(),D136,"0")</f>
        <v>0</v>
      </c>
      <c r="Q136" s="56" t="str">
        <f ca="1">IF(F137&lt;=TODAY(),F137,"0")</f>
        <v>0</v>
      </c>
      <c r="R136" s="33">
        <f t="shared" ref="R136:V136" ca="1" si="143">IF(F137&lt;=TODAY(),F138,0)</f>
        <v>0</v>
      </c>
      <c r="S136" s="33">
        <f t="shared" ca="1" si="143"/>
        <v>0</v>
      </c>
      <c r="T136" s="33">
        <f t="shared" ca="1" si="143"/>
        <v>0</v>
      </c>
      <c r="U136" s="33">
        <f t="shared" ca="1" si="143"/>
        <v>0</v>
      </c>
      <c r="V136" s="33">
        <f t="shared" ca="1" si="143"/>
        <v>0</v>
      </c>
      <c r="W136" s="35">
        <f ca="1">IF(L137&lt;=TODAY(),L138,0)</f>
        <v>0</v>
      </c>
      <c r="X136" s="36" t="str">
        <f ca="1">IF(K137&lt;=TODAY(),K138,"-")</f>
        <v>0</v>
      </c>
      <c r="Z136" s="37">
        <f ca="1">IF(F137&gt;TODAY(),C136,"0")</f>
        <v>44</v>
      </c>
      <c r="AA136" s="33" t="str">
        <f ca="1">IF(F137&gt;TODAY(),D136,"0")</f>
        <v/>
      </c>
      <c r="AB136" s="56" t="str">
        <f ca="1">IF(F137&gt;TODAY(),F137,"0")</f>
        <v/>
      </c>
      <c r="AC136" s="33">
        <f t="shared" ref="AC136:AG136" ca="1" si="144">IF(F137&gt;TODAY(),F138,"0")</f>
        <v>0</v>
      </c>
      <c r="AD136" s="33">
        <f t="shared" ca="1" si="144"/>
        <v>0</v>
      </c>
      <c r="AE136" s="33">
        <f t="shared" ca="1" si="144"/>
        <v>0</v>
      </c>
      <c r="AF136" s="33">
        <f t="shared" ca="1" si="144"/>
        <v>0</v>
      </c>
      <c r="AG136" s="33">
        <f t="shared" ca="1" si="144"/>
        <v>0</v>
      </c>
      <c r="AH136" s="35">
        <f ca="1">IF(L137&gt;TODAY(),L138,"0")</f>
        <v>0</v>
      </c>
    </row>
    <row r="137" spans="2:34" ht="15.75" customHeight="1" x14ac:dyDescent="0.2">
      <c r="B137" s="38"/>
      <c r="C137" s="25"/>
      <c r="D137" s="39"/>
      <c r="E137" s="40" t="s">
        <v>20</v>
      </c>
      <c r="F137" s="80" t="str">
        <f>IF(C136&lt;=$H$3,IF((F134+('Summary and Assumptions'!$K$118*7))&gt;$D$3,(F134+('Summary and Assumptions'!$K$118*7)),($D$3+$H$4)),"")</f>
        <v/>
      </c>
      <c r="G137" s="81" t="str">
        <f>IF($C136&lt;=$H$3,IF((F137+('Summary and Assumptions'!$K$119*7))&gt;$D$3,(F137+('Summary and Assumptions'!$K$119*7)),($D$3+$H$4)),"")</f>
        <v/>
      </c>
      <c r="H137" s="41" t="str">
        <f>IF($C136&lt;=$H$3,IF((F137+('Summary and Assumptions'!$K$120*7))&gt;$D$3,(F137+('Summary and Assumptions'!$K$120*7)),($D$3+$H$4)),"")</f>
        <v/>
      </c>
      <c r="I137" s="81" t="str">
        <f>IF($C136&lt;=$H$3,IF((H137+('Summary and Assumptions'!$K$121*7))&gt;$D$3,(H137+('Summary and Assumptions'!$K$121*7)),($D$3+$H$4)),"")</f>
        <v/>
      </c>
      <c r="J137" s="84" t="str">
        <f>IF($C136&lt;=$H$3,IF((I137+('Summary and Assumptions'!$K$122*7))&gt;$D$3,(I137+('Summary and Assumptions'!$K$122*7)),($D$3+$H$4)),"")</f>
        <v/>
      </c>
      <c r="K137" s="5"/>
      <c r="L137" s="43" t="str">
        <f>IF($C136&lt;=$H$3,IF((J137+('Summary and Assumptions'!$K$123*7))&gt;$D$3,(J137+('Summary and Assumptions'!$K$123*7)),($D$3+$H$4)),"")</f>
        <v/>
      </c>
      <c r="O137" s="44"/>
      <c r="P137" s="45"/>
      <c r="Q137" s="46"/>
      <c r="R137" s="45"/>
      <c r="S137" s="45"/>
      <c r="T137" s="45"/>
      <c r="U137" s="45"/>
      <c r="V137" s="45"/>
      <c r="W137" s="47"/>
      <c r="X137" s="40"/>
      <c r="Z137" s="48"/>
      <c r="AA137" s="45"/>
      <c r="AB137" s="46"/>
      <c r="AC137" s="45"/>
      <c r="AD137" s="45"/>
      <c r="AE137" s="45"/>
      <c r="AF137" s="45"/>
      <c r="AG137" s="45"/>
      <c r="AH137" s="47"/>
    </row>
    <row r="138" spans="2:34" ht="15.75" customHeight="1" x14ac:dyDescent="0.2">
      <c r="B138" s="38"/>
      <c r="C138" s="49"/>
      <c r="D138" s="50"/>
      <c r="E138" s="51" t="s">
        <v>21</v>
      </c>
      <c r="F138" s="52">
        <f>IF(C136&lt;=$H$3,'Summary and Assumptions'!$D$101,0)</f>
        <v>0</v>
      </c>
      <c r="G138" s="52">
        <f>IF(C136&lt;=$H$3,F138*'Summary and Assumptions'!$K$111*'Summary and Assumptions'!$K$102,0)</f>
        <v>0</v>
      </c>
      <c r="H138" s="52">
        <f>IF(C136&lt;=$H$3,$F138*'Summary and Assumptions'!$K$112*'Summary and Assumptions'!$K$103,0)</f>
        <v>0</v>
      </c>
      <c r="I138" s="52">
        <f>IF(C136&lt;=$H$3,$F138*'Summary and Assumptions'!$K$113*'Summary and Assumptions'!$K$104,0)</f>
        <v>0</v>
      </c>
      <c r="J138" s="53">
        <f>IF(C136&lt;=$H$3,$F138*'Summary and Assumptions'!$K$114*'Summary and Assumptions'!$K$105,0)</f>
        <v>0</v>
      </c>
      <c r="K138" s="54" t="str">
        <f ca="1">IF(AND(J137&lt;=$D$3,J138&gt;0),$J$6,IF(AND(I137&lt;=$D$3,I138&gt;0),$I$6,IF(AND(H137&lt;=$D$3,H138&gt;0),$H$6,IF(AND(G137&lt;=$D$3,G138&gt;0),$G$6,IF(AND(F137&lt;=$D$3,F138&gt;0),$F$6,"0")))))</f>
        <v>0</v>
      </c>
      <c r="L138" s="55">
        <f>IF(C136&lt;=$H$3,SUM($F138:$I138)*(1+'Summary and Assumptions'!$D$103),0)</f>
        <v>0</v>
      </c>
      <c r="O138" s="44"/>
      <c r="P138" s="45"/>
      <c r="Q138" s="46"/>
      <c r="R138" s="45"/>
      <c r="S138" s="45"/>
      <c r="T138" s="45"/>
      <c r="U138" s="45"/>
      <c r="V138" s="45"/>
      <c r="W138" s="47"/>
      <c r="X138" s="40"/>
      <c r="Z138" s="48"/>
      <c r="AA138" s="45"/>
      <c r="AB138" s="46"/>
      <c r="AC138" s="45"/>
      <c r="AD138" s="45"/>
      <c r="AE138" s="45"/>
      <c r="AF138" s="45"/>
      <c r="AG138" s="45"/>
      <c r="AH138" s="47"/>
    </row>
    <row r="139" spans="2:34" ht="15.75" customHeight="1" x14ac:dyDescent="0.2">
      <c r="B139" s="26" t="s">
        <v>18</v>
      </c>
      <c r="C139" s="25">
        <f>C136+1</f>
        <v>45</v>
      </c>
      <c r="D139" s="27" t="str">
        <f>IF(C139&lt;=$H$3,"Company"&amp;" "&amp;C139,"")</f>
        <v/>
      </c>
      <c r="E139" s="28" t="s">
        <v>19</v>
      </c>
      <c r="F139" s="29">
        <f>IFERROR(IF(F140&gt;0,(DATE(YEAR(F140),((INT((MONTH(F140)-1)/3)+1)*3)+1,1)-1),""),0)</f>
        <v>0</v>
      </c>
      <c r="G139" s="29">
        <f>IFERROR(IF(G140&gt;0,(DATE(YEAR(G140),((INT((MONTH(G140)-1)/3)+1)*3)+1,1)-1),"-"),0)</f>
        <v>0</v>
      </c>
      <c r="H139" s="29">
        <f>IFERROR(IF(H140&gt;0,(DATE(YEAR(H140),((INT((MONTH(H140)-1)/3)+1)*3)+1,1)-1),"-"),0)</f>
        <v>0</v>
      </c>
      <c r="I139" s="29">
        <f>IFERROR(IF(I140&gt;0,(DATE(YEAR(I140),((INT((MONTH(I140)-1)/3)+1)*3)+1,1)-1),"-"),0)</f>
        <v>0</v>
      </c>
      <c r="J139" s="30">
        <f>IFERROR(IF(J140&gt;0,(DATE(YEAR(J140),((INT((MONTH(J140)-1)/3)+1)*3)+1,1)-1),"-"),0)</f>
        <v>0</v>
      </c>
      <c r="L139" s="31">
        <f>IFERROR(IF(L140&gt;0,(DATE(YEAR(L140),((INT((MONTH(L140)-1)/3)+1)*3)+1,1)-1),"-"),0)</f>
        <v>0</v>
      </c>
      <c r="O139" s="32" t="str">
        <f ca="1">IF(F140&lt;=TODAY(),C139,"0")</f>
        <v>0</v>
      </c>
      <c r="P139" s="33" t="str">
        <f ca="1">IF(F140&lt;=TODAY(),D139,"0")</f>
        <v>0</v>
      </c>
      <c r="Q139" s="56" t="str">
        <f ca="1">IF(F140&lt;=TODAY(),F140,"0")</f>
        <v>0</v>
      </c>
      <c r="R139" s="33">
        <f t="shared" ref="R139:V139" ca="1" si="145">IF(F140&lt;=TODAY(),F141,0)</f>
        <v>0</v>
      </c>
      <c r="S139" s="33">
        <f t="shared" ca="1" si="145"/>
        <v>0</v>
      </c>
      <c r="T139" s="33">
        <f t="shared" ca="1" si="145"/>
        <v>0</v>
      </c>
      <c r="U139" s="33">
        <f t="shared" ca="1" si="145"/>
        <v>0</v>
      </c>
      <c r="V139" s="33">
        <f t="shared" ca="1" si="145"/>
        <v>0</v>
      </c>
      <c r="W139" s="35">
        <f ca="1">IF(L140&lt;=TODAY(),L141,0)</f>
        <v>0</v>
      </c>
      <c r="X139" s="36" t="str">
        <f ca="1">IF(K140&lt;=TODAY(),K141,"-")</f>
        <v>0</v>
      </c>
      <c r="Z139" s="37">
        <f ca="1">IF(F140&gt;TODAY(),C139,"0")</f>
        <v>45</v>
      </c>
      <c r="AA139" s="33" t="str">
        <f ca="1">IF(F140&gt;TODAY(),D139,"0")</f>
        <v/>
      </c>
      <c r="AB139" s="56" t="str">
        <f ca="1">IF(F140&gt;TODAY(),F140,"0")</f>
        <v/>
      </c>
      <c r="AC139" s="33">
        <f t="shared" ref="AC139:AG139" ca="1" si="146">IF(F140&gt;TODAY(),F141,"0")</f>
        <v>0</v>
      </c>
      <c r="AD139" s="33">
        <f t="shared" ca="1" si="146"/>
        <v>0</v>
      </c>
      <c r="AE139" s="33">
        <f t="shared" ca="1" si="146"/>
        <v>0</v>
      </c>
      <c r="AF139" s="33">
        <f t="shared" ca="1" si="146"/>
        <v>0</v>
      </c>
      <c r="AG139" s="33">
        <f t="shared" ca="1" si="146"/>
        <v>0</v>
      </c>
      <c r="AH139" s="35">
        <f ca="1">IF(L140&gt;TODAY(),L141,"0")</f>
        <v>0</v>
      </c>
    </row>
    <row r="140" spans="2:34" ht="15.75" customHeight="1" x14ac:dyDescent="0.2">
      <c r="B140" s="38"/>
      <c r="C140" s="25"/>
      <c r="D140" s="39"/>
      <c r="E140" s="40" t="s">
        <v>20</v>
      </c>
      <c r="F140" s="80" t="str">
        <f>IF(C139&lt;=$H$3,IF((F137+('Summary and Assumptions'!$K$118*7))&gt;$D$3,(F137+('Summary and Assumptions'!$K$118*7)),($D$3+$H$4)),"")</f>
        <v/>
      </c>
      <c r="G140" s="81" t="str">
        <f>IF($C139&lt;=$H$3,IF((F140+('Summary and Assumptions'!$K$119*7))&gt;$D$3,(F140+('Summary and Assumptions'!$K$119*7)),($D$3+$H$4)),"")</f>
        <v/>
      </c>
      <c r="H140" s="41" t="str">
        <f>IF($C139&lt;=$H$3,IF((F140+('Summary and Assumptions'!$K$120*7))&gt;$D$3,(F140+('Summary and Assumptions'!$K$120*7)),($D$3+$H$4)),"")</f>
        <v/>
      </c>
      <c r="I140" s="81" t="str">
        <f>IF($C139&lt;=$H$3,IF((H140+('Summary and Assumptions'!$K$121*7))&gt;$D$3,(H140+('Summary and Assumptions'!$K$121*7)),($D$3+$H$4)),"")</f>
        <v/>
      </c>
      <c r="J140" s="84" t="str">
        <f>IF($C139&lt;=$H$3,IF((I140+('Summary and Assumptions'!$K$122*7))&gt;$D$3,(I140+('Summary and Assumptions'!$K$122*7)),($D$3+$H$4)),"")</f>
        <v/>
      </c>
      <c r="K140" s="5"/>
      <c r="L140" s="43" t="str">
        <f>IF($C139&lt;=$H$3,IF((J140+('Summary and Assumptions'!$K$123*7))&gt;$D$3,(J140+('Summary and Assumptions'!$K$123*7)),($D$3+$H$4)),"")</f>
        <v/>
      </c>
      <c r="O140" s="44"/>
      <c r="P140" s="45"/>
      <c r="Q140" s="46"/>
      <c r="R140" s="45"/>
      <c r="S140" s="45"/>
      <c r="T140" s="45"/>
      <c r="U140" s="45"/>
      <c r="V140" s="45"/>
      <c r="W140" s="47"/>
      <c r="X140" s="40"/>
      <c r="Z140" s="48"/>
      <c r="AA140" s="45"/>
      <c r="AB140" s="46"/>
      <c r="AC140" s="45"/>
      <c r="AD140" s="45"/>
      <c r="AE140" s="45"/>
      <c r="AF140" s="45"/>
      <c r="AG140" s="45"/>
      <c r="AH140" s="47"/>
    </row>
    <row r="141" spans="2:34" ht="15.75" customHeight="1" x14ac:dyDescent="0.2">
      <c r="B141" s="38"/>
      <c r="C141" s="49"/>
      <c r="D141" s="50"/>
      <c r="E141" s="51" t="s">
        <v>21</v>
      </c>
      <c r="F141" s="52">
        <f>IF(C139&lt;=$H$3,'Summary and Assumptions'!$D$101,0)</f>
        <v>0</v>
      </c>
      <c r="G141" s="52">
        <f>IF(C139&lt;=$H$3,F141*'Summary and Assumptions'!$K$111*'Summary and Assumptions'!$K$102,0)</f>
        <v>0</v>
      </c>
      <c r="H141" s="52">
        <f>IF(C139&lt;=$H$3,$F141*'Summary and Assumptions'!$K$112*'Summary and Assumptions'!$K$103,0)</f>
        <v>0</v>
      </c>
      <c r="I141" s="52">
        <f>IF(C139&lt;=$H$3,$F141*'Summary and Assumptions'!$K$113*'Summary and Assumptions'!$K$104,0)</f>
        <v>0</v>
      </c>
      <c r="J141" s="53">
        <f>IF(C139&lt;=$H$3,$F141*'Summary and Assumptions'!$K$114*'Summary and Assumptions'!$K$105,0)</f>
        <v>0</v>
      </c>
      <c r="K141" s="54" t="str">
        <f ca="1">IF(AND(J140&lt;=$D$3,J141&gt;0),$J$6,IF(AND(I140&lt;=$D$3,I141&gt;0),$I$6,IF(AND(H140&lt;=$D$3,H141&gt;0),$H$6,IF(AND(G140&lt;=$D$3,G141&gt;0),$G$6,IF(AND(F140&lt;=$D$3,F141&gt;0),$F$6,"0")))))</f>
        <v>0</v>
      </c>
      <c r="L141" s="55">
        <f>IF(C139&lt;=$H$3,SUM($F141:$I141)*(1+'Summary and Assumptions'!$D$103),0)</f>
        <v>0</v>
      </c>
      <c r="O141" s="44"/>
      <c r="P141" s="45"/>
      <c r="Q141" s="46"/>
      <c r="R141" s="45"/>
      <c r="S141" s="45"/>
      <c r="T141" s="45"/>
      <c r="U141" s="45"/>
      <c r="V141" s="45"/>
      <c r="W141" s="47"/>
      <c r="X141" s="40"/>
      <c r="Z141" s="48"/>
      <c r="AA141" s="45"/>
      <c r="AB141" s="46"/>
      <c r="AC141" s="45"/>
      <c r="AD141" s="45"/>
      <c r="AE141" s="45"/>
      <c r="AF141" s="45"/>
      <c r="AG141" s="45"/>
      <c r="AH141" s="47"/>
    </row>
    <row r="142" spans="2:34" ht="15.75" customHeight="1" x14ac:dyDescent="0.2">
      <c r="B142" s="26" t="s">
        <v>18</v>
      </c>
      <c r="C142" s="25">
        <f>C139+1</f>
        <v>46</v>
      </c>
      <c r="D142" s="27" t="str">
        <f>IF(C142&lt;=$H$3,"Company"&amp;" "&amp;C142,"")</f>
        <v/>
      </c>
      <c r="E142" s="28" t="s">
        <v>19</v>
      </c>
      <c r="F142" s="29">
        <f>IFERROR(IF(F143&gt;0,(DATE(YEAR(F143),((INT((MONTH(F143)-1)/3)+1)*3)+1,1)-1),""),0)</f>
        <v>0</v>
      </c>
      <c r="G142" s="29">
        <f>IFERROR(IF(G143&gt;0,(DATE(YEAR(G143),((INT((MONTH(G143)-1)/3)+1)*3)+1,1)-1),"-"),0)</f>
        <v>0</v>
      </c>
      <c r="H142" s="29">
        <f>IFERROR(IF(H143&gt;0,(DATE(YEAR(H143),((INT((MONTH(H143)-1)/3)+1)*3)+1,1)-1),"-"),0)</f>
        <v>0</v>
      </c>
      <c r="I142" s="29">
        <f>IFERROR(IF(I143&gt;0,(DATE(YEAR(I143),((INT((MONTH(I143)-1)/3)+1)*3)+1,1)-1),"-"),0)</f>
        <v>0</v>
      </c>
      <c r="J142" s="30">
        <f>IFERROR(IF(J143&gt;0,(DATE(YEAR(J143),((INT((MONTH(J143)-1)/3)+1)*3)+1,1)-1),"-"),0)</f>
        <v>0</v>
      </c>
      <c r="L142" s="31">
        <f>IFERROR(IF(L143&gt;0,(DATE(YEAR(L143),((INT((MONTH(L143)-1)/3)+1)*3)+1,1)-1),"-"),0)</f>
        <v>0</v>
      </c>
      <c r="O142" s="32" t="str">
        <f ca="1">IF(F143&lt;=TODAY(),C142,"0")</f>
        <v>0</v>
      </c>
      <c r="P142" s="33" t="str">
        <f ca="1">IF(F143&lt;=TODAY(),D142,"0")</f>
        <v>0</v>
      </c>
      <c r="Q142" s="56" t="str">
        <f ca="1">IF(F143&lt;=TODAY(),F143,"0")</f>
        <v>0</v>
      </c>
      <c r="R142" s="33">
        <f t="shared" ref="R142:V142" ca="1" si="147">IF(F143&lt;=TODAY(),F144,0)</f>
        <v>0</v>
      </c>
      <c r="S142" s="33">
        <f t="shared" ca="1" si="147"/>
        <v>0</v>
      </c>
      <c r="T142" s="33">
        <f t="shared" ca="1" si="147"/>
        <v>0</v>
      </c>
      <c r="U142" s="33">
        <f t="shared" ca="1" si="147"/>
        <v>0</v>
      </c>
      <c r="V142" s="33">
        <f t="shared" ca="1" si="147"/>
        <v>0</v>
      </c>
      <c r="W142" s="35">
        <f ca="1">IF(L143&lt;=TODAY(),L144,0)</f>
        <v>0</v>
      </c>
      <c r="X142" s="36" t="str">
        <f ca="1">IF(K143&lt;=TODAY(),K144,"-")</f>
        <v>0</v>
      </c>
      <c r="Z142" s="37">
        <f ca="1">IF(F143&gt;TODAY(),C142,"0")</f>
        <v>46</v>
      </c>
      <c r="AA142" s="33" t="str">
        <f ca="1">IF(F143&gt;TODAY(),D142,"0")</f>
        <v/>
      </c>
      <c r="AB142" s="56" t="str">
        <f ca="1">IF(F143&gt;TODAY(),F143,"0")</f>
        <v/>
      </c>
      <c r="AC142" s="33">
        <f t="shared" ref="AC142:AG142" ca="1" si="148">IF(F143&gt;TODAY(),F144,"0")</f>
        <v>0</v>
      </c>
      <c r="AD142" s="33">
        <f t="shared" ca="1" si="148"/>
        <v>0</v>
      </c>
      <c r="AE142" s="33">
        <f t="shared" ca="1" si="148"/>
        <v>0</v>
      </c>
      <c r="AF142" s="33">
        <f t="shared" ca="1" si="148"/>
        <v>0</v>
      </c>
      <c r="AG142" s="33">
        <f t="shared" ca="1" si="148"/>
        <v>0</v>
      </c>
      <c r="AH142" s="35">
        <f ca="1">IF(L143&gt;TODAY(),L144,"0")</f>
        <v>0</v>
      </c>
    </row>
    <row r="143" spans="2:34" ht="15.75" customHeight="1" x14ac:dyDescent="0.2">
      <c r="B143" s="38"/>
      <c r="C143" s="25"/>
      <c r="D143" s="39"/>
      <c r="E143" s="40" t="s">
        <v>20</v>
      </c>
      <c r="F143" s="80" t="str">
        <f>IF(C142&lt;=$H$3,IF((F140+('Summary and Assumptions'!$K$118*7))&gt;$D$3,(F140+('Summary and Assumptions'!$K$118*7)),($D$3+$H$4)),"")</f>
        <v/>
      </c>
      <c r="G143" s="81" t="str">
        <f>IF($C142&lt;=$H$3,IF((F143+('Summary and Assumptions'!$K$119*7))&gt;$D$3,(F143+('Summary and Assumptions'!$K$119*7)),($D$3+$H$4)),"")</f>
        <v/>
      </c>
      <c r="H143" s="41" t="str">
        <f>IF($C142&lt;=$H$3,IF((F143+('Summary and Assumptions'!$K$120*7))&gt;$D$3,(F143+('Summary and Assumptions'!$K$120*7)),($D$3+$H$4)),"")</f>
        <v/>
      </c>
      <c r="I143" s="81" t="str">
        <f>IF($C142&lt;=$H$3,IF((H143+('Summary and Assumptions'!$K$121*7))&gt;$D$3,(H143+('Summary and Assumptions'!$K$121*7)),($D$3+$H$4)),"")</f>
        <v/>
      </c>
      <c r="J143" s="84" t="str">
        <f>IF($C142&lt;=$H$3,IF((I143+('Summary and Assumptions'!$K$122*7))&gt;$D$3,(I143+('Summary and Assumptions'!$K$122*7)),($D$3+$H$4)),"")</f>
        <v/>
      </c>
      <c r="K143" s="5"/>
      <c r="L143" s="43" t="str">
        <f>IF($C142&lt;=$H$3,IF((J143+('Summary and Assumptions'!$K$123*7))&gt;$D$3,(J143+('Summary and Assumptions'!$K$123*7)),($D$3+$H$4)),"")</f>
        <v/>
      </c>
      <c r="O143" s="44"/>
      <c r="P143" s="45"/>
      <c r="Q143" s="46"/>
      <c r="R143" s="45"/>
      <c r="S143" s="45"/>
      <c r="T143" s="45"/>
      <c r="U143" s="45"/>
      <c r="V143" s="45"/>
      <c r="W143" s="47"/>
      <c r="X143" s="40"/>
      <c r="Z143" s="48"/>
      <c r="AA143" s="45"/>
      <c r="AB143" s="46"/>
      <c r="AC143" s="45"/>
      <c r="AD143" s="45"/>
      <c r="AE143" s="45"/>
      <c r="AF143" s="45"/>
      <c r="AG143" s="45"/>
      <c r="AH143" s="47"/>
    </row>
    <row r="144" spans="2:34" ht="15.75" customHeight="1" x14ac:dyDescent="0.2">
      <c r="B144" s="38"/>
      <c r="C144" s="49"/>
      <c r="D144" s="50"/>
      <c r="E144" s="51" t="s">
        <v>21</v>
      </c>
      <c r="F144" s="52">
        <f>IF(C142&lt;=$H$3,'Summary and Assumptions'!$D$101,0)</f>
        <v>0</v>
      </c>
      <c r="G144" s="52">
        <f>IF(C142&lt;=$H$3,F144*'Summary and Assumptions'!$K$111*'Summary and Assumptions'!$K$102,0)</f>
        <v>0</v>
      </c>
      <c r="H144" s="52">
        <f>IF(C142&lt;=$H$3,$F144*'Summary and Assumptions'!$K$112*'Summary and Assumptions'!$K$103,0)</f>
        <v>0</v>
      </c>
      <c r="I144" s="52">
        <f>IF(C142&lt;=$H$3,$F144*'Summary and Assumptions'!$K$113*'Summary and Assumptions'!$K$104,0)</f>
        <v>0</v>
      </c>
      <c r="J144" s="53">
        <f>IF(C142&lt;=$H$3,$F144*'Summary and Assumptions'!$K$114*'Summary and Assumptions'!$K$105,0)</f>
        <v>0</v>
      </c>
      <c r="K144" s="54" t="str">
        <f ca="1">IF(AND(J143&lt;=$D$3,J144&gt;0),$J$6,IF(AND(I143&lt;=$D$3,I144&gt;0),$I$6,IF(AND(H143&lt;=$D$3,H144&gt;0),$H$6,IF(AND(G143&lt;=$D$3,G144&gt;0),$G$6,IF(AND(F143&lt;=$D$3,F144&gt;0),$F$6,"0")))))</f>
        <v>0</v>
      </c>
      <c r="L144" s="55">
        <f>IF(C142&lt;=$H$3,SUM($F144:$I144)*(1+'Summary and Assumptions'!$D$103),0)</f>
        <v>0</v>
      </c>
      <c r="O144" s="44"/>
      <c r="P144" s="45"/>
      <c r="Q144" s="46"/>
      <c r="R144" s="45"/>
      <c r="S144" s="45"/>
      <c r="T144" s="45"/>
      <c r="U144" s="45"/>
      <c r="V144" s="45"/>
      <c r="W144" s="47"/>
      <c r="X144" s="40"/>
      <c r="Z144" s="48"/>
      <c r="AA144" s="45"/>
      <c r="AB144" s="46"/>
      <c r="AC144" s="45"/>
      <c r="AD144" s="45"/>
      <c r="AE144" s="45"/>
      <c r="AF144" s="45"/>
      <c r="AG144" s="45"/>
      <c r="AH144" s="47"/>
    </row>
    <row r="145" spans="2:34" ht="15.75" customHeight="1" x14ac:dyDescent="0.2">
      <c r="B145" s="26" t="s">
        <v>18</v>
      </c>
      <c r="C145" s="25">
        <f>C142+1</f>
        <v>47</v>
      </c>
      <c r="D145" s="27" t="str">
        <f>IF(C145&lt;=$H$3,"Company"&amp;" "&amp;C145,"")</f>
        <v/>
      </c>
      <c r="E145" s="28" t="s">
        <v>19</v>
      </c>
      <c r="F145" s="29">
        <f>IFERROR(IF(F146&gt;0,(DATE(YEAR(F146),((INT((MONTH(F146)-1)/3)+1)*3)+1,1)-1),""),0)</f>
        <v>0</v>
      </c>
      <c r="G145" s="29">
        <f>IFERROR(IF(G146&gt;0,(DATE(YEAR(G146),((INT((MONTH(G146)-1)/3)+1)*3)+1,1)-1),"-"),0)</f>
        <v>0</v>
      </c>
      <c r="H145" s="29">
        <f>IFERROR(IF(H146&gt;0,(DATE(YEAR(H146),((INT((MONTH(H146)-1)/3)+1)*3)+1,1)-1),"-"),0)</f>
        <v>0</v>
      </c>
      <c r="I145" s="29">
        <f>IFERROR(IF(I146&gt;0,(DATE(YEAR(I146),((INT((MONTH(I146)-1)/3)+1)*3)+1,1)-1),"-"),0)</f>
        <v>0</v>
      </c>
      <c r="J145" s="30">
        <f>IFERROR(IF(J146&gt;0,(DATE(YEAR(J146),((INT((MONTH(J146)-1)/3)+1)*3)+1,1)-1),"-"),0)</f>
        <v>0</v>
      </c>
      <c r="L145" s="31">
        <f>IFERROR(IF(L146&gt;0,(DATE(YEAR(L146),((INT((MONTH(L146)-1)/3)+1)*3)+1,1)-1),"-"),0)</f>
        <v>0</v>
      </c>
      <c r="O145" s="32" t="str">
        <f ca="1">IF(F146&lt;=TODAY(),C145,"0")</f>
        <v>0</v>
      </c>
      <c r="P145" s="33" t="str">
        <f ca="1">IF(F146&lt;=TODAY(),D145,"0")</f>
        <v>0</v>
      </c>
      <c r="Q145" s="56" t="str">
        <f ca="1">IF(F146&lt;=TODAY(),F146,"0")</f>
        <v>0</v>
      </c>
      <c r="R145" s="33">
        <f t="shared" ref="R145:V145" ca="1" si="149">IF(F146&lt;=TODAY(),F147,0)</f>
        <v>0</v>
      </c>
      <c r="S145" s="33">
        <f t="shared" ca="1" si="149"/>
        <v>0</v>
      </c>
      <c r="T145" s="33">
        <f t="shared" ca="1" si="149"/>
        <v>0</v>
      </c>
      <c r="U145" s="33">
        <f t="shared" ca="1" si="149"/>
        <v>0</v>
      </c>
      <c r="V145" s="33">
        <f t="shared" ca="1" si="149"/>
        <v>0</v>
      </c>
      <c r="W145" s="35">
        <f ca="1">IF(L146&lt;=TODAY(),L147,0)</f>
        <v>0</v>
      </c>
      <c r="X145" s="36" t="str">
        <f ca="1">IF(K146&lt;=TODAY(),K147,"-")</f>
        <v>0</v>
      </c>
      <c r="Z145" s="37">
        <f ca="1">IF(F146&gt;TODAY(),C145,"0")</f>
        <v>47</v>
      </c>
      <c r="AA145" s="33" t="str">
        <f ca="1">IF(F146&gt;TODAY(),D145,"0")</f>
        <v/>
      </c>
      <c r="AB145" s="56" t="str">
        <f ca="1">IF(F146&gt;TODAY(),F146,"0")</f>
        <v/>
      </c>
      <c r="AC145" s="33">
        <f t="shared" ref="AC145:AG145" ca="1" si="150">IF(F146&gt;TODAY(),F147,"0")</f>
        <v>0</v>
      </c>
      <c r="AD145" s="33">
        <f t="shared" ca="1" si="150"/>
        <v>0</v>
      </c>
      <c r="AE145" s="33">
        <f t="shared" ca="1" si="150"/>
        <v>0</v>
      </c>
      <c r="AF145" s="33">
        <f t="shared" ca="1" si="150"/>
        <v>0</v>
      </c>
      <c r="AG145" s="33">
        <f t="shared" ca="1" si="150"/>
        <v>0</v>
      </c>
      <c r="AH145" s="35">
        <f ca="1">IF(L146&gt;TODAY(),L147,"0")</f>
        <v>0</v>
      </c>
    </row>
    <row r="146" spans="2:34" ht="15.75" customHeight="1" x14ac:dyDescent="0.2">
      <c r="B146" s="38"/>
      <c r="C146" s="25"/>
      <c r="D146" s="39"/>
      <c r="E146" s="40" t="s">
        <v>20</v>
      </c>
      <c r="F146" s="80" t="str">
        <f>IF(C145&lt;=$H$3,IF((F143+('Summary and Assumptions'!$K$118*7))&gt;$D$3,(F143+('Summary and Assumptions'!$K$118*7)),($D$3+$H$4)),"")</f>
        <v/>
      </c>
      <c r="G146" s="81" t="str">
        <f>IF($C145&lt;=$H$3,IF((F146+('Summary and Assumptions'!$K$119*7))&gt;$D$3,(F146+('Summary and Assumptions'!$K$119*7)),($D$3+$H$4)),"")</f>
        <v/>
      </c>
      <c r="H146" s="41" t="str">
        <f>IF($C145&lt;=$H$3,IF((F146+('Summary and Assumptions'!$K$120*7))&gt;$D$3,(F146+('Summary and Assumptions'!$K$120*7)),($D$3+$H$4)),"")</f>
        <v/>
      </c>
      <c r="I146" s="81" t="str">
        <f>IF($C145&lt;=$H$3,IF((H146+('Summary and Assumptions'!$K$121*7))&gt;$D$3,(H146+('Summary and Assumptions'!$K$121*7)),($D$3+$H$4)),"")</f>
        <v/>
      </c>
      <c r="J146" s="84" t="str">
        <f>IF($C145&lt;=$H$3,IF((I146+('Summary and Assumptions'!$K$122*7))&gt;$D$3,(I146+('Summary and Assumptions'!$K$122*7)),($D$3+$H$4)),"")</f>
        <v/>
      </c>
      <c r="K146" s="5"/>
      <c r="L146" s="43" t="str">
        <f>IF($C145&lt;=$H$3,IF((J146+('Summary and Assumptions'!$K$123*7))&gt;$D$3,(J146+('Summary and Assumptions'!$K$123*7)),($D$3+$H$4)),"")</f>
        <v/>
      </c>
      <c r="O146" s="44"/>
      <c r="P146" s="45"/>
      <c r="Q146" s="46"/>
      <c r="R146" s="45"/>
      <c r="S146" s="45"/>
      <c r="T146" s="45"/>
      <c r="U146" s="45"/>
      <c r="V146" s="45"/>
      <c r="W146" s="47"/>
      <c r="X146" s="40"/>
      <c r="Z146" s="48"/>
      <c r="AA146" s="45"/>
      <c r="AB146" s="46"/>
      <c r="AC146" s="45"/>
      <c r="AD146" s="45"/>
      <c r="AE146" s="45"/>
      <c r="AF146" s="45"/>
      <c r="AG146" s="45"/>
      <c r="AH146" s="47"/>
    </row>
    <row r="147" spans="2:34" ht="15.75" customHeight="1" x14ac:dyDescent="0.2">
      <c r="B147" s="38"/>
      <c r="C147" s="49"/>
      <c r="D147" s="50"/>
      <c r="E147" s="51" t="s">
        <v>21</v>
      </c>
      <c r="F147" s="52">
        <f>IF(C145&lt;=$H$3,'Summary and Assumptions'!$D$101,0)</f>
        <v>0</v>
      </c>
      <c r="G147" s="52">
        <f>IF(C145&lt;=$H$3,F147*'Summary and Assumptions'!$K$111*'Summary and Assumptions'!$K$102,0)</f>
        <v>0</v>
      </c>
      <c r="H147" s="52">
        <f>IF(C145&lt;=$H$3,$F147*'Summary and Assumptions'!$K$112*'Summary and Assumptions'!$K$103,0)</f>
        <v>0</v>
      </c>
      <c r="I147" s="52">
        <f>IF(C145&lt;=$H$3,$F147*'Summary and Assumptions'!$K$113*'Summary and Assumptions'!$K$104,0)</f>
        <v>0</v>
      </c>
      <c r="J147" s="53">
        <f>IF(C145&lt;=$H$3,$F147*'Summary and Assumptions'!$K$114*'Summary and Assumptions'!$K$105,0)</f>
        <v>0</v>
      </c>
      <c r="K147" s="54" t="str">
        <f ca="1">IF(AND(J146&lt;=$D$3,J147&gt;0),$J$6,IF(AND(I146&lt;=$D$3,I147&gt;0),$I$6,IF(AND(H146&lt;=$D$3,H147&gt;0),$H$6,IF(AND(G146&lt;=$D$3,G147&gt;0),$G$6,IF(AND(F146&lt;=$D$3,F147&gt;0),$F$6,"0")))))</f>
        <v>0</v>
      </c>
      <c r="L147" s="55">
        <f>IF(C145&lt;=$H$3,SUM($F147:$I147)*(1+'Summary and Assumptions'!$D$103),0)</f>
        <v>0</v>
      </c>
      <c r="O147" s="44"/>
      <c r="P147" s="45"/>
      <c r="Q147" s="46"/>
      <c r="R147" s="45"/>
      <c r="S147" s="45"/>
      <c r="T147" s="45"/>
      <c r="U147" s="45"/>
      <c r="V147" s="45"/>
      <c r="W147" s="47"/>
      <c r="X147" s="40"/>
      <c r="Z147" s="48"/>
      <c r="AA147" s="45"/>
      <c r="AB147" s="46"/>
      <c r="AC147" s="45"/>
      <c r="AD147" s="45"/>
      <c r="AE147" s="45"/>
      <c r="AF147" s="45"/>
      <c r="AG147" s="45"/>
      <c r="AH147" s="47"/>
    </row>
    <row r="148" spans="2:34" ht="15.75" customHeight="1" x14ac:dyDescent="0.2">
      <c r="B148" s="26" t="s">
        <v>18</v>
      </c>
      <c r="C148" s="25">
        <f>C145+1</f>
        <v>48</v>
      </c>
      <c r="D148" s="27" t="str">
        <f>IF(C148&lt;=$H$3,"Company"&amp;" "&amp;C148,"")</f>
        <v/>
      </c>
      <c r="E148" s="28" t="s">
        <v>19</v>
      </c>
      <c r="F148" s="29">
        <f>IFERROR(IF(F149&gt;0,(DATE(YEAR(F149),((INT((MONTH(F149)-1)/3)+1)*3)+1,1)-1),""),0)</f>
        <v>0</v>
      </c>
      <c r="G148" s="29">
        <f>IFERROR(IF(G149&gt;0,(DATE(YEAR(G149),((INT((MONTH(G149)-1)/3)+1)*3)+1,1)-1),"-"),0)</f>
        <v>0</v>
      </c>
      <c r="H148" s="29">
        <f>IFERROR(IF(H149&gt;0,(DATE(YEAR(H149),((INT((MONTH(H149)-1)/3)+1)*3)+1,1)-1),"-"),0)</f>
        <v>0</v>
      </c>
      <c r="I148" s="29">
        <f>IFERROR(IF(I149&gt;0,(DATE(YEAR(I149),((INT((MONTH(I149)-1)/3)+1)*3)+1,1)-1),"-"),0)</f>
        <v>0</v>
      </c>
      <c r="J148" s="30">
        <f>IFERROR(IF(J149&gt;0,(DATE(YEAR(J149),((INT((MONTH(J149)-1)/3)+1)*3)+1,1)-1),"-"),0)</f>
        <v>0</v>
      </c>
      <c r="L148" s="31">
        <f>IFERROR(IF(L149&gt;0,(DATE(YEAR(L149),((INT((MONTH(L149)-1)/3)+1)*3)+1,1)-1),"-"),0)</f>
        <v>0</v>
      </c>
      <c r="O148" s="32" t="str">
        <f ca="1">IF(F149&lt;=TODAY(),C148,"0")</f>
        <v>0</v>
      </c>
      <c r="P148" s="33" t="str">
        <f ca="1">IF(F149&lt;=TODAY(),D148,"0")</f>
        <v>0</v>
      </c>
      <c r="Q148" s="56" t="str">
        <f ca="1">IF(F149&lt;=TODAY(),F149,"0")</f>
        <v>0</v>
      </c>
      <c r="R148" s="33">
        <f t="shared" ref="R148:V148" ca="1" si="151">IF(F149&lt;=TODAY(),F150,0)</f>
        <v>0</v>
      </c>
      <c r="S148" s="33">
        <f t="shared" ca="1" si="151"/>
        <v>0</v>
      </c>
      <c r="T148" s="33">
        <f t="shared" ca="1" si="151"/>
        <v>0</v>
      </c>
      <c r="U148" s="33">
        <f t="shared" ca="1" si="151"/>
        <v>0</v>
      </c>
      <c r="V148" s="33">
        <f t="shared" ca="1" si="151"/>
        <v>0</v>
      </c>
      <c r="W148" s="35">
        <f ca="1">IF(L149&lt;=TODAY(),L150,0)</f>
        <v>0</v>
      </c>
      <c r="X148" s="36" t="str">
        <f ca="1">IF(K149&lt;=TODAY(),K150,"-")</f>
        <v>0</v>
      </c>
      <c r="Z148" s="37">
        <f ca="1">IF(F149&gt;TODAY(),C148,"0")</f>
        <v>48</v>
      </c>
      <c r="AA148" s="33" t="str">
        <f ca="1">IF(F149&gt;TODAY(),D148,"0")</f>
        <v/>
      </c>
      <c r="AB148" s="56" t="str">
        <f ca="1">IF(F149&gt;TODAY(),F149,"0")</f>
        <v/>
      </c>
      <c r="AC148" s="33">
        <f t="shared" ref="AC148:AG148" ca="1" si="152">IF(F149&gt;TODAY(),F150,"0")</f>
        <v>0</v>
      </c>
      <c r="AD148" s="33">
        <f t="shared" ca="1" si="152"/>
        <v>0</v>
      </c>
      <c r="AE148" s="33">
        <f t="shared" ca="1" si="152"/>
        <v>0</v>
      </c>
      <c r="AF148" s="33">
        <f t="shared" ca="1" si="152"/>
        <v>0</v>
      </c>
      <c r="AG148" s="33">
        <f t="shared" ca="1" si="152"/>
        <v>0</v>
      </c>
      <c r="AH148" s="35">
        <f ca="1">IF(L149&gt;TODAY(),L150,"0")</f>
        <v>0</v>
      </c>
    </row>
    <row r="149" spans="2:34" ht="15.75" customHeight="1" x14ac:dyDescent="0.2">
      <c r="B149" s="38"/>
      <c r="C149" s="25"/>
      <c r="D149" s="39"/>
      <c r="E149" s="40" t="s">
        <v>20</v>
      </c>
      <c r="F149" s="80" t="str">
        <f>IF(C148&lt;=$H$3,IF((F146+('Summary and Assumptions'!$K$118*7))&gt;$D$3,(F146+('Summary and Assumptions'!$K$118*7)),($D$3+$H$4)),"")</f>
        <v/>
      </c>
      <c r="G149" s="81" t="str">
        <f>IF($C148&lt;=$H$3,IF((F149+('Summary and Assumptions'!$K$119*7))&gt;$D$3,(F149+('Summary and Assumptions'!$K$119*7)),($D$3+$H$4)),"")</f>
        <v/>
      </c>
      <c r="H149" s="41" t="str">
        <f>IF($C148&lt;=$H$3,IF((F149+('Summary and Assumptions'!$K$120*7))&gt;$D$3,(F149+('Summary and Assumptions'!$K$120*7)),($D$3+$H$4)),"")</f>
        <v/>
      </c>
      <c r="I149" s="81" t="str">
        <f>IF($C148&lt;=$H$3,IF((H149+('Summary and Assumptions'!$K$121*7))&gt;$D$3,(H149+('Summary and Assumptions'!$K$121*7)),($D$3+$H$4)),"")</f>
        <v/>
      </c>
      <c r="J149" s="84" t="str">
        <f>IF($C148&lt;=$H$3,IF((I149+('Summary and Assumptions'!$K$122*7))&gt;$D$3,(I149+('Summary and Assumptions'!$K$122*7)),($D$3+$H$4)),"")</f>
        <v/>
      </c>
      <c r="K149" s="5"/>
      <c r="L149" s="43" t="str">
        <f>IF($C148&lt;=$H$3,IF((J149+('Summary and Assumptions'!$K$123*7))&gt;$D$3,(J149+('Summary and Assumptions'!$K$123*7)),($D$3+$H$4)),"")</f>
        <v/>
      </c>
      <c r="O149" s="44"/>
      <c r="P149" s="45"/>
      <c r="Q149" s="46"/>
      <c r="R149" s="45"/>
      <c r="S149" s="45"/>
      <c r="T149" s="45"/>
      <c r="U149" s="45"/>
      <c r="V149" s="45"/>
      <c r="W149" s="47"/>
      <c r="X149" s="40"/>
      <c r="Z149" s="48"/>
      <c r="AA149" s="45"/>
      <c r="AB149" s="46"/>
      <c r="AC149" s="45"/>
      <c r="AD149" s="45"/>
      <c r="AE149" s="45"/>
      <c r="AF149" s="45"/>
      <c r="AG149" s="45"/>
      <c r="AH149" s="47"/>
    </row>
    <row r="150" spans="2:34" ht="15.75" customHeight="1" x14ac:dyDescent="0.2">
      <c r="B150" s="38"/>
      <c r="C150" s="49"/>
      <c r="D150" s="50"/>
      <c r="E150" s="51" t="s">
        <v>21</v>
      </c>
      <c r="F150" s="52">
        <f>IF(C148&lt;=$H$3,'Summary and Assumptions'!$D$101,0)</f>
        <v>0</v>
      </c>
      <c r="G150" s="52">
        <f>IF(C148&lt;=$H$3,F150*'Summary and Assumptions'!$K$111*'Summary and Assumptions'!$K$102,0)</f>
        <v>0</v>
      </c>
      <c r="H150" s="52">
        <f>IF(C148&lt;=$H$3,$F150*'Summary and Assumptions'!$K$112*'Summary and Assumptions'!$K$103,0)</f>
        <v>0</v>
      </c>
      <c r="I150" s="52">
        <f>IF(C148&lt;=$H$3,$F150*'Summary and Assumptions'!$K$113*'Summary and Assumptions'!$K$104,0)</f>
        <v>0</v>
      </c>
      <c r="J150" s="53">
        <f>IF(C148&lt;=$H$3,$F150*'Summary and Assumptions'!$K$114*'Summary and Assumptions'!$K$105,0)</f>
        <v>0</v>
      </c>
      <c r="K150" s="54" t="str">
        <f ca="1">IF(AND(J149&lt;=$D$3,J150&gt;0),$J$6,IF(AND(I149&lt;=$D$3,I150&gt;0),$I$6,IF(AND(H149&lt;=$D$3,H150&gt;0),$H$6,IF(AND(G149&lt;=$D$3,G150&gt;0),$G$6,IF(AND(F149&lt;=$D$3,F150&gt;0),$F$6,"0")))))</f>
        <v>0</v>
      </c>
      <c r="L150" s="55">
        <f>IF(C148&lt;=$H$3,SUM($F150:$I150)*(1+'Summary and Assumptions'!$D$103),0)</f>
        <v>0</v>
      </c>
      <c r="O150" s="44"/>
      <c r="P150" s="45"/>
      <c r="Q150" s="46"/>
      <c r="R150" s="45"/>
      <c r="S150" s="45"/>
      <c r="T150" s="45"/>
      <c r="U150" s="45"/>
      <c r="V150" s="45"/>
      <c r="W150" s="47"/>
      <c r="X150" s="40"/>
      <c r="Z150" s="48"/>
      <c r="AA150" s="45"/>
      <c r="AB150" s="46"/>
      <c r="AC150" s="45"/>
      <c r="AD150" s="45"/>
      <c r="AE150" s="45"/>
      <c r="AF150" s="45"/>
      <c r="AG150" s="45"/>
      <c r="AH150" s="47"/>
    </row>
    <row r="151" spans="2:34" ht="15.75" customHeight="1" x14ac:dyDescent="0.2">
      <c r="B151" s="26" t="s">
        <v>18</v>
      </c>
      <c r="C151" s="25">
        <f>C148+1</f>
        <v>49</v>
      </c>
      <c r="D151" s="27" t="str">
        <f>IF(C151&lt;=$H$3,"Company"&amp;" "&amp;C151,"")</f>
        <v/>
      </c>
      <c r="E151" s="28" t="s">
        <v>19</v>
      </c>
      <c r="F151" s="29">
        <f>IFERROR(IF(F152&gt;0,(DATE(YEAR(F152),((INT((MONTH(F152)-1)/3)+1)*3)+1,1)-1),""),0)</f>
        <v>0</v>
      </c>
      <c r="G151" s="29">
        <f>IFERROR(IF(G152&gt;0,(DATE(YEAR(G152),((INT((MONTH(G152)-1)/3)+1)*3)+1,1)-1),"-"),0)</f>
        <v>0</v>
      </c>
      <c r="H151" s="29">
        <f>IFERROR(IF(H152&gt;0,(DATE(YEAR(H152),((INT((MONTH(H152)-1)/3)+1)*3)+1,1)-1),"-"),0)</f>
        <v>0</v>
      </c>
      <c r="I151" s="29">
        <f>IFERROR(IF(I152&gt;0,(DATE(YEAR(I152),((INT((MONTH(I152)-1)/3)+1)*3)+1,1)-1),"-"),0)</f>
        <v>0</v>
      </c>
      <c r="J151" s="30">
        <f>IFERROR(IF(J152&gt;0,(DATE(YEAR(J152),((INT((MONTH(J152)-1)/3)+1)*3)+1,1)-1),"-"),0)</f>
        <v>0</v>
      </c>
      <c r="L151" s="31">
        <f>IFERROR(IF(L152&gt;0,(DATE(YEAR(L152),((INT((MONTH(L152)-1)/3)+1)*3)+1,1)-1),"-"),0)</f>
        <v>0</v>
      </c>
      <c r="O151" s="32" t="str">
        <f ca="1">IF(F152&lt;=TODAY(),C151,"0")</f>
        <v>0</v>
      </c>
      <c r="P151" s="33" t="str">
        <f ca="1">IF(F152&lt;=TODAY(),D151,"0")</f>
        <v>0</v>
      </c>
      <c r="Q151" s="56" t="str">
        <f ca="1">IF(F152&lt;=TODAY(),F152,"0")</f>
        <v>0</v>
      </c>
      <c r="R151" s="33">
        <f t="shared" ref="R151:V151" ca="1" si="153">IF(F152&lt;=TODAY(),F153,0)</f>
        <v>0</v>
      </c>
      <c r="S151" s="33">
        <f t="shared" ca="1" si="153"/>
        <v>0</v>
      </c>
      <c r="T151" s="33">
        <f t="shared" ca="1" si="153"/>
        <v>0</v>
      </c>
      <c r="U151" s="33">
        <f t="shared" ca="1" si="153"/>
        <v>0</v>
      </c>
      <c r="V151" s="33">
        <f t="shared" ca="1" si="153"/>
        <v>0</v>
      </c>
      <c r="W151" s="35">
        <f ca="1">IF(L152&lt;=TODAY(),L153,0)</f>
        <v>0</v>
      </c>
      <c r="X151" s="36" t="str">
        <f ca="1">IF(K152&lt;=TODAY(),K153,"-")</f>
        <v>0</v>
      </c>
      <c r="Z151" s="37">
        <f ca="1">IF(F152&gt;TODAY(),C151,"0")</f>
        <v>49</v>
      </c>
      <c r="AA151" s="33" t="str">
        <f ca="1">IF(F152&gt;TODAY(),D151,"0")</f>
        <v/>
      </c>
      <c r="AB151" s="56" t="str">
        <f ca="1">IF(F152&gt;TODAY(),F152,"0")</f>
        <v/>
      </c>
      <c r="AC151" s="33">
        <f t="shared" ref="AC151:AG151" ca="1" si="154">IF(F152&gt;TODAY(),F153,"0")</f>
        <v>0</v>
      </c>
      <c r="AD151" s="33">
        <f t="shared" ca="1" si="154"/>
        <v>0</v>
      </c>
      <c r="AE151" s="33">
        <f t="shared" ca="1" si="154"/>
        <v>0</v>
      </c>
      <c r="AF151" s="33">
        <f t="shared" ca="1" si="154"/>
        <v>0</v>
      </c>
      <c r="AG151" s="33">
        <f t="shared" ca="1" si="154"/>
        <v>0</v>
      </c>
      <c r="AH151" s="35">
        <f ca="1">IF(L152&gt;TODAY(),L153,"0")</f>
        <v>0</v>
      </c>
    </row>
    <row r="152" spans="2:34" ht="15.75" customHeight="1" x14ac:dyDescent="0.2">
      <c r="B152" s="38"/>
      <c r="C152" s="25"/>
      <c r="D152" s="39"/>
      <c r="E152" s="40" t="s">
        <v>20</v>
      </c>
      <c r="F152" s="80" t="str">
        <f>IF(C151&lt;=$H$3,IF((F149+('Summary and Assumptions'!$K$118*7))&gt;$D$3,(F149+('Summary and Assumptions'!$K$118*7)),($D$3+$H$4)),"")</f>
        <v/>
      </c>
      <c r="G152" s="81" t="str">
        <f>IF($C151&lt;=$H$3,IF((F152+('Summary and Assumptions'!$K$119*7))&gt;$D$3,(F152+('Summary and Assumptions'!$K$119*7)),($D$3+$H$4)),"")</f>
        <v/>
      </c>
      <c r="H152" s="41" t="str">
        <f>IF($C151&lt;=$H$3,IF((F152+('Summary and Assumptions'!$K$120*7))&gt;$D$3,(F152+('Summary and Assumptions'!$K$120*7)),($D$3+$H$4)),"")</f>
        <v/>
      </c>
      <c r="I152" s="81" t="str">
        <f>IF($C151&lt;=$H$3,IF((H152+('Summary and Assumptions'!$K$121*7))&gt;$D$3,(H152+('Summary and Assumptions'!$K$121*7)),($D$3+$H$4)),"")</f>
        <v/>
      </c>
      <c r="J152" s="84" t="str">
        <f>IF($C151&lt;=$H$3,IF((I152+('Summary and Assumptions'!$K$122*7))&gt;$D$3,(I152+('Summary and Assumptions'!$K$122*7)),($D$3+$H$4)),"")</f>
        <v/>
      </c>
      <c r="K152" s="5"/>
      <c r="L152" s="43" t="str">
        <f>IF($C151&lt;=$H$3,IF((J152+('Summary and Assumptions'!$K$123*7))&gt;$D$3,(J152+('Summary and Assumptions'!$K$123*7)),($D$3+$H$4)),"")</f>
        <v/>
      </c>
      <c r="O152" s="44"/>
      <c r="P152" s="45"/>
      <c r="Q152" s="46"/>
      <c r="R152" s="45"/>
      <c r="S152" s="45"/>
      <c r="T152" s="45"/>
      <c r="U152" s="45"/>
      <c r="V152" s="45"/>
      <c r="W152" s="47"/>
      <c r="X152" s="40"/>
      <c r="Z152" s="48"/>
      <c r="AA152" s="45"/>
      <c r="AB152" s="46"/>
      <c r="AC152" s="45"/>
      <c r="AD152" s="45"/>
      <c r="AE152" s="45"/>
      <c r="AF152" s="45"/>
      <c r="AG152" s="45"/>
      <c r="AH152" s="47"/>
    </row>
    <row r="153" spans="2:34" ht="15.75" customHeight="1" x14ac:dyDescent="0.2">
      <c r="B153" s="38"/>
      <c r="C153" s="49"/>
      <c r="D153" s="50"/>
      <c r="E153" s="51" t="s">
        <v>21</v>
      </c>
      <c r="F153" s="52">
        <f>IF(C151&lt;=$H$3,'Summary and Assumptions'!$D$101,0)</f>
        <v>0</v>
      </c>
      <c r="G153" s="52">
        <f>IF(C151&lt;=$H$3,F153*'Summary and Assumptions'!$K$111*'Summary and Assumptions'!$K$102,0)</f>
        <v>0</v>
      </c>
      <c r="H153" s="52">
        <f>IF(C151&lt;=$H$3,$F153*'Summary and Assumptions'!$K$112*'Summary and Assumptions'!$K$103,0)</f>
        <v>0</v>
      </c>
      <c r="I153" s="52">
        <f>IF(C151&lt;=$H$3,$F153*'Summary and Assumptions'!$K$113*'Summary and Assumptions'!$K$104,0)</f>
        <v>0</v>
      </c>
      <c r="J153" s="53">
        <f>IF(C151&lt;=$H$3,$F153*'Summary and Assumptions'!$K$114*'Summary and Assumptions'!$K$105,0)</f>
        <v>0</v>
      </c>
      <c r="K153" s="54" t="str">
        <f ca="1">IF(AND(J152&lt;=$D$3,J153&gt;0),$J$6,IF(AND(I152&lt;=$D$3,I153&gt;0),$I$6,IF(AND(H152&lt;=$D$3,H153&gt;0),$H$6,IF(AND(G152&lt;=$D$3,G153&gt;0),$G$6,IF(AND(F152&lt;=$D$3,F153&gt;0),$F$6,"0")))))</f>
        <v>0</v>
      </c>
      <c r="L153" s="55">
        <f>IF(C151&lt;=$H$3,SUM($F153:$I153)*(1+'Summary and Assumptions'!$D$103),0)</f>
        <v>0</v>
      </c>
      <c r="O153" s="44"/>
      <c r="P153" s="45"/>
      <c r="Q153" s="46"/>
      <c r="R153" s="45"/>
      <c r="S153" s="45"/>
      <c r="T153" s="45"/>
      <c r="U153" s="45"/>
      <c r="V153" s="45"/>
      <c r="W153" s="47"/>
      <c r="X153" s="40"/>
      <c r="Z153" s="48"/>
      <c r="AA153" s="45"/>
      <c r="AB153" s="46"/>
      <c r="AC153" s="45"/>
      <c r="AD153" s="45"/>
      <c r="AE153" s="45"/>
      <c r="AF153" s="45"/>
      <c r="AG153" s="45"/>
      <c r="AH153" s="47"/>
    </row>
    <row r="154" spans="2:34" ht="15.75" customHeight="1" x14ac:dyDescent="0.2">
      <c r="B154" s="26" t="s">
        <v>18</v>
      </c>
      <c r="C154" s="25">
        <f>C151+1</f>
        <v>50</v>
      </c>
      <c r="D154" s="27" t="str">
        <f>IF(C154&lt;=$H$3,"Company"&amp;" "&amp;C154,"")</f>
        <v/>
      </c>
      <c r="E154" s="28" t="s">
        <v>19</v>
      </c>
      <c r="F154" s="29">
        <f>IFERROR(IF(F155&gt;0,(DATE(YEAR(F155),((INT((MONTH(F155)-1)/3)+1)*3)+1,1)-1),""),0)</f>
        <v>0</v>
      </c>
      <c r="G154" s="29">
        <f>IFERROR(IF(G155&gt;0,(DATE(YEAR(G155),((INT((MONTH(G155)-1)/3)+1)*3)+1,1)-1),"-"),0)</f>
        <v>0</v>
      </c>
      <c r="H154" s="29">
        <f>IFERROR(IF(H155&gt;0,(DATE(YEAR(H155),((INT((MONTH(H155)-1)/3)+1)*3)+1,1)-1),"-"),0)</f>
        <v>0</v>
      </c>
      <c r="I154" s="29">
        <f>IFERROR(IF(I155&gt;0,(DATE(YEAR(I155),((INT((MONTH(I155)-1)/3)+1)*3)+1,1)-1),"-"),0)</f>
        <v>0</v>
      </c>
      <c r="J154" s="30">
        <f>IFERROR(IF(J155&gt;0,(DATE(YEAR(J155),((INT((MONTH(J155)-1)/3)+1)*3)+1,1)-1),"-"),0)</f>
        <v>0</v>
      </c>
      <c r="L154" s="31">
        <f>IFERROR(IF(L155&gt;0,(DATE(YEAR(L155),((INT((MONTH(L155)-1)/3)+1)*3)+1,1)-1),"-"),0)</f>
        <v>0</v>
      </c>
      <c r="O154" s="32" t="str">
        <f ca="1">IF(F155&lt;=TODAY(),C154,"0")</f>
        <v>0</v>
      </c>
      <c r="P154" s="33" t="str">
        <f ca="1">IF(F155&lt;=TODAY(),D154,"0")</f>
        <v>0</v>
      </c>
      <c r="Q154" s="56" t="str">
        <f ca="1">IF(F155&lt;=TODAY(),F155,"0")</f>
        <v>0</v>
      </c>
      <c r="R154" s="33">
        <f t="shared" ref="R154:V154" ca="1" si="155">IF(F155&lt;=TODAY(),F156,0)</f>
        <v>0</v>
      </c>
      <c r="S154" s="33">
        <f t="shared" ca="1" si="155"/>
        <v>0</v>
      </c>
      <c r="T154" s="33">
        <f t="shared" ca="1" si="155"/>
        <v>0</v>
      </c>
      <c r="U154" s="33">
        <f t="shared" ca="1" si="155"/>
        <v>0</v>
      </c>
      <c r="V154" s="33">
        <f t="shared" ca="1" si="155"/>
        <v>0</v>
      </c>
      <c r="W154" s="35">
        <f ca="1">IF(L155&lt;=TODAY(),L156,0)</f>
        <v>0</v>
      </c>
      <c r="X154" s="36" t="str">
        <f ca="1">IF(K155&lt;=TODAY(),K156,"-")</f>
        <v>0</v>
      </c>
      <c r="Z154" s="37">
        <f ca="1">IF(F155&gt;TODAY(),C154,"0")</f>
        <v>50</v>
      </c>
      <c r="AA154" s="33" t="str">
        <f ca="1">IF(F155&gt;TODAY(),D154,"0")</f>
        <v/>
      </c>
      <c r="AB154" s="56" t="str">
        <f ca="1">IF(F155&gt;TODAY(),F155,"0")</f>
        <v/>
      </c>
      <c r="AC154" s="33">
        <f t="shared" ref="AC154:AG154" ca="1" si="156">IF(F155&gt;TODAY(),F156,"0")</f>
        <v>0</v>
      </c>
      <c r="AD154" s="33">
        <f t="shared" ca="1" si="156"/>
        <v>0</v>
      </c>
      <c r="AE154" s="33">
        <f t="shared" ca="1" si="156"/>
        <v>0</v>
      </c>
      <c r="AF154" s="33">
        <f t="shared" ca="1" si="156"/>
        <v>0</v>
      </c>
      <c r="AG154" s="33">
        <f t="shared" ca="1" si="156"/>
        <v>0</v>
      </c>
      <c r="AH154" s="35">
        <f ca="1">IF(L155&gt;TODAY(),L156,"0")</f>
        <v>0</v>
      </c>
    </row>
    <row r="155" spans="2:34" ht="15.75" customHeight="1" x14ac:dyDescent="0.2">
      <c r="B155" s="38"/>
      <c r="C155" s="25"/>
      <c r="D155" s="39"/>
      <c r="E155" s="40" t="s">
        <v>20</v>
      </c>
      <c r="F155" s="80" t="str">
        <f>IF(C154&lt;=$H$3,IF((F152+('Summary and Assumptions'!$K$118*7))&gt;$D$3,(F152+('Summary and Assumptions'!$K$118*7)),($D$3+$H$4)),"")</f>
        <v/>
      </c>
      <c r="G155" s="81" t="str">
        <f>IF($C154&lt;=$H$3,IF((F155+('Summary and Assumptions'!$K$119*7))&gt;$D$3,(F155+('Summary and Assumptions'!$K$119*7)),($D$3+$H$4)),"")</f>
        <v/>
      </c>
      <c r="H155" s="41" t="str">
        <f>IF($C154&lt;=$H$3,IF((F155+('Summary and Assumptions'!$K$120*7))&gt;$D$3,(F155+('Summary and Assumptions'!$K$120*7)),($D$3+$H$4)),"")</f>
        <v/>
      </c>
      <c r="I155" s="81" t="str">
        <f>IF($C154&lt;=$H$3,IF((H155+('Summary and Assumptions'!$K$121*7))&gt;$D$3,(H155+('Summary and Assumptions'!$K$121*7)),($D$3+$H$4)),"")</f>
        <v/>
      </c>
      <c r="J155" s="84" t="str">
        <f>IF($C154&lt;=$H$3,IF((I155+('Summary and Assumptions'!$K$122*7))&gt;$D$3,(I155+('Summary and Assumptions'!$K$122*7)),($D$3+$H$4)),"")</f>
        <v/>
      </c>
      <c r="K155" s="5"/>
      <c r="L155" s="43" t="str">
        <f>IF($C154&lt;=$H$3,IF((J155+('Summary and Assumptions'!$K$123*7))&gt;$D$3,(J155+('Summary and Assumptions'!$K$123*7)),($D$3+$H$4)),"")</f>
        <v/>
      </c>
      <c r="O155" s="44"/>
      <c r="P155" s="45"/>
      <c r="Q155" s="46"/>
      <c r="R155" s="45"/>
      <c r="S155" s="45"/>
      <c r="T155" s="45"/>
      <c r="U155" s="45"/>
      <c r="V155" s="45"/>
      <c r="W155" s="47"/>
      <c r="X155" s="40"/>
      <c r="Z155" s="48"/>
      <c r="AA155" s="45"/>
      <c r="AB155" s="46"/>
      <c r="AC155" s="45"/>
      <c r="AD155" s="45"/>
      <c r="AE155" s="45"/>
      <c r="AF155" s="45"/>
      <c r="AG155" s="45"/>
      <c r="AH155" s="47"/>
    </row>
    <row r="156" spans="2:34" ht="15.75" customHeight="1" x14ac:dyDescent="0.2">
      <c r="B156" s="49"/>
      <c r="C156" s="49"/>
      <c r="D156" s="50"/>
      <c r="E156" s="51" t="s">
        <v>21</v>
      </c>
      <c r="F156" s="52">
        <f>IF(C154&lt;=$H$3,'Summary and Assumptions'!$D$101,0)</f>
        <v>0</v>
      </c>
      <c r="G156" s="52">
        <f>IF(C154&lt;=$H$3,F156*'Summary and Assumptions'!$K$111*'Summary and Assumptions'!$K$102,0)</f>
        <v>0</v>
      </c>
      <c r="H156" s="52">
        <f>IF(C154&lt;=$H$3,$F156*'Summary and Assumptions'!$K$112*'Summary and Assumptions'!$K$103,0)</f>
        <v>0</v>
      </c>
      <c r="I156" s="52">
        <f>IF(C154&lt;=$H$3,$F156*'Summary and Assumptions'!$K$113*'Summary and Assumptions'!$K$104,0)</f>
        <v>0</v>
      </c>
      <c r="J156" s="53">
        <f>IF(C154&lt;=$H$3,$F156*'Summary and Assumptions'!$K$114*'Summary and Assumptions'!$K$105,0)</f>
        <v>0</v>
      </c>
      <c r="K156" s="54" t="str">
        <f ca="1">IF(AND(J155&lt;=$D$3,J156&gt;0),$J$6,IF(AND(I155&lt;=$D$3,I156&gt;0),$I$6,IF(AND(H155&lt;=$D$3,H156&gt;0),$H$6,IF(AND(G155&lt;=$D$3,G156&gt;0),$G$6,IF(AND(F155&lt;=$D$3,F156&gt;0),$F$6,"0")))))</f>
        <v>0</v>
      </c>
      <c r="L156" s="55">
        <f>IF(C154&lt;=$H$3,SUM($F156:$I156)*(1+'Summary and Assumptions'!$D$103),0)</f>
        <v>0</v>
      </c>
      <c r="O156" s="44"/>
      <c r="P156" s="45"/>
      <c r="Q156" s="46"/>
      <c r="R156" s="45"/>
      <c r="S156" s="45"/>
      <c r="T156" s="45"/>
      <c r="U156" s="45"/>
      <c r="V156" s="45"/>
      <c r="W156" s="47"/>
      <c r="X156" s="40"/>
      <c r="Z156" s="48"/>
      <c r="AA156" s="45"/>
      <c r="AB156" s="46"/>
      <c r="AC156" s="45"/>
      <c r="AD156" s="45"/>
      <c r="AE156" s="45"/>
      <c r="AF156" s="45"/>
      <c r="AG156" s="45"/>
      <c r="AH156" s="47"/>
    </row>
    <row r="157" spans="2:34" ht="15.75" customHeight="1" x14ac:dyDescent="0.2">
      <c r="C157" s="2"/>
      <c r="L157" s="3"/>
      <c r="N157" s="254" t="s">
        <v>139</v>
      </c>
      <c r="O157" s="255"/>
      <c r="P157" s="256"/>
      <c r="Q157" s="258"/>
      <c r="R157" s="260" t="str">
        <f t="shared" ref="R157:W157" ca="1" si="157">IFERROR(AVERAGEIF(R7:R156,"&gt;0"),"NA")</f>
        <v>NA</v>
      </c>
      <c r="S157" s="260" t="str">
        <f t="shared" ca="1" si="157"/>
        <v>NA</v>
      </c>
      <c r="T157" s="260" t="str">
        <f t="shared" ca="1" si="157"/>
        <v>NA</v>
      </c>
      <c r="U157" s="260" t="str">
        <f t="shared" ca="1" si="157"/>
        <v>NA</v>
      </c>
      <c r="V157" s="260" t="str">
        <f t="shared" ca="1" si="157"/>
        <v>NA</v>
      </c>
      <c r="W157" s="261" t="str">
        <f t="shared" ca="1" si="157"/>
        <v>NA</v>
      </c>
      <c r="X157" s="8"/>
      <c r="Y157" s="254" t="s">
        <v>139</v>
      </c>
      <c r="Z157" s="262"/>
      <c r="AA157" s="256"/>
      <c r="AB157" s="258"/>
      <c r="AC157" s="260">
        <f t="shared" ref="AC157:AH157" ca="1" si="158">IFERROR(AVERAGEIF(AC7:AC156,"&gt;0"),"NA")</f>
        <v>1250000</v>
      </c>
      <c r="AD157" s="260">
        <f t="shared" ca="1" si="158"/>
        <v>112500</v>
      </c>
      <c r="AE157" s="260">
        <f t="shared" ca="1" si="158"/>
        <v>937500</v>
      </c>
      <c r="AF157" s="260">
        <f t="shared" ca="1" si="158"/>
        <v>750000</v>
      </c>
      <c r="AG157" s="260" t="str">
        <f t="shared" ca="1" si="158"/>
        <v>NA</v>
      </c>
      <c r="AH157" s="261" t="str">
        <f t="shared" ca="1" si="158"/>
        <v>NA</v>
      </c>
    </row>
    <row r="158" spans="2:34" ht="15.75" customHeight="1" x14ac:dyDescent="0.2">
      <c r="C158" s="2"/>
      <c r="N158" s="48" t="s">
        <v>140</v>
      </c>
      <c r="O158" s="44">
        <f ca="1">COUNTIF(O7:O156,"&gt;0")</f>
        <v>0</v>
      </c>
      <c r="P158" s="45"/>
      <c r="Q158" s="47"/>
      <c r="R158" s="45">
        <f t="shared" ref="R158:W158" ca="1" si="159">COUNTIF(R7:R156,"&gt;0")</f>
        <v>0</v>
      </c>
      <c r="S158" s="45">
        <f t="shared" ca="1" si="159"/>
        <v>0</v>
      </c>
      <c r="T158" s="45">
        <f t="shared" ca="1" si="159"/>
        <v>0</v>
      </c>
      <c r="U158" s="45">
        <f t="shared" ca="1" si="159"/>
        <v>0</v>
      </c>
      <c r="V158" s="45">
        <f t="shared" ca="1" si="159"/>
        <v>0</v>
      </c>
      <c r="W158" s="47">
        <f t="shared" ca="1" si="159"/>
        <v>0</v>
      </c>
      <c r="X158" s="48"/>
      <c r="Y158" s="40" t="s">
        <v>140</v>
      </c>
      <c r="Z158" s="264">
        <f ca="1">COUNTIF(Z7:Z156,"&gt;0")-O158</f>
        <v>50</v>
      </c>
      <c r="AA158" s="45"/>
      <c r="AB158" s="47"/>
      <c r="AC158" s="45">
        <f t="shared" ref="AC158:AH158" ca="1" si="160">COUNTIF(AC7:AC156,"&gt;0")</f>
        <v>35</v>
      </c>
      <c r="AD158" s="45">
        <f t="shared" ca="1" si="160"/>
        <v>35</v>
      </c>
      <c r="AE158" s="45">
        <f t="shared" ca="1" si="160"/>
        <v>35</v>
      </c>
      <c r="AF158" s="45">
        <f t="shared" ca="1" si="160"/>
        <v>35</v>
      </c>
      <c r="AG158" s="45">
        <f t="shared" ca="1" si="160"/>
        <v>0</v>
      </c>
      <c r="AH158" s="47">
        <f t="shared" ca="1" si="160"/>
        <v>0</v>
      </c>
    </row>
    <row r="159" spans="2:34" ht="15.75" customHeight="1" x14ac:dyDescent="0.2">
      <c r="C159" s="2"/>
      <c r="D159" s="5"/>
      <c r="N159" s="265" t="s">
        <v>141</v>
      </c>
      <c r="O159" s="266">
        <f ca="1">COUNTIF(O7:O156,"&gt;0")</f>
        <v>0</v>
      </c>
      <c r="P159" s="267"/>
      <c r="Q159" s="268"/>
      <c r="R159" s="269">
        <f t="shared" ref="R159:W159" ca="1" si="161">SUM(R7:R156)</f>
        <v>0</v>
      </c>
      <c r="S159" s="269">
        <f t="shared" ca="1" si="161"/>
        <v>0</v>
      </c>
      <c r="T159" s="269">
        <f t="shared" ca="1" si="161"/>
        <v>0</v>
      </c>
      <c r="U159" s="269">
        <f t="shared" ca="1" si="161"/>
        <v>0</v>
      </c>
      <c r="V159" s="269">
        <f t="shared" ca="1" si="161"/>
        <v>0</v>
      </c>
      <c r="W159" s="270">
        <f t="shared" ca="1" si="161"/>
        <v>0</v>
      </c>
      <c r="X159" s="265"/>
      <c r="Y159" s="271" t="s">
        <v>141</v>
      </c>
      <c r="Z159" s="272">
        <f ca="1">COUNTIF(Z7:Z156,"&gt;0")-O159</f>
        <v>50</v>
      </c>
      <c r="AA159" s="267"/>
      <c r="AB159" s="268"/>
      <c r="AC159" s="269">
        <f t="shared" ref="AC159:AH159" ca="1" si="162">SUM(AC7:AC156)</f>
        <v>43750000</v>
      </c>
      <c r="AD159" s="269">
        <f t="shared" ca="1" si="162"/>
        <v>3937500</v>
      </c>
      <c r="AE159" s="269">
        <f t="shared" ca="1" si="162"/>
        <v>32812500</v>
      </c>
      <c r="AF159" s="269">
        <f t="shared" ca="1" si="162"/>
        <v>26250000</v>
      </c>
      <c r="AG159" s="269">
        <f t="shared" ca="1" si="162"/>
        <v>0</v>
      </c>
      <c r="AH159" s="270">
        <f t="shared" ca="1" si="162"/>
        <v>0</v>
      </c>
    </row>
    <row r="160" spans="2:34" ht="15.75" customHeight="1" x14ac:dyDescent="0.2">
      <c r="C160" s="2"/>
      <c r="N160" s="12" t="s">
        <v>142</v>
      </c>
      <c r="O160" s="15"/>
      <c r="P160" s="15"/>
      <c r="Q160" s="51"/>
      <c r="R160" s="273">
        <f t="shared" ref="R160:V160" ca="1" si="163">SUMIF($X$7:$X$156,"*"&amp;R6&amp;"*",$W$7:$W$156)</f>
        <v>0</v>
      </c>
      <c r="S160" s="273">
        <f t="shared" ca="1" si="163"/>
        <v>0</v>
      </c>
      <c r="T160" s="273">
        <f t="shared" ca="1" si="163"/>
        <v>0</v>
      </c>
      <c r="U160" s="273">
        <f t="shared" ca="1" si="163"/>
        <v>0</v>
      </c>
      <c r="V160" s="273">
        <f t="shared" ca="1" si="163"/>
        <v>0</v>
      </c>
      <c r="W160" s="274" t="s">
        <v>143</v>
      </c>
      <c r="X160" s="207"/>
    </row>
    <row r="161" spans="1:51" ht="15.75" customHeight="1" x14ac:dyDescent="0.2">
      <c r="C161" s="2"/>
      <c r="L161" s="3"/>
      <c r="Y161" s="3"/>
      <c r="Z161" s="3"/>
      <c r="AA161" s="3"/>
      <c r="AB161" s="3"/>
      <c r="AC161" s="3"/>
      <c r="AD161" s="3"/>
      <c r="AE161" s="3"/>
      <c r="AF161" s="3"/>
      <c r="AG161" s="3"/>
      <c r="AH161" s="3"/>
    </row>
    <row r="162" spans="1:51" ht="15.75" customHeight="1" x14ac:dyDescent="0.2">
      <c r="C162" s="2"/>
      <c r="L162" s="3"/>
    </row>
    <row r="163" spans="1:51" ht="15.75" customHeight="1" x14ac:dyDescent="0.2">
      <c r="C163" s="2"/>
      <c r="L163" s="3"/>
      <c r="N163" s="117" t="s">
        <v>144</v>
      </c>
      <c r="O163" s="262"/>
      <c r="P163" s="262"/>
      <c r="Q163" s="262"/>
      <c r="R163" s="262"/>
      <c r="S163" s="262"/>
      <c r="T163" s="262"/>
      <c r="U163" s="262"/>
      <c r="V163" s="262"/>
      <c r="W163" s="262"/>
      <c r="X163" s="275"/>
    </row>
    <row r="164" spans="1:51" ht="15.75" customHeight="1" x14ac:dyDescent="0.2">
      <c r="C164" s="2"/>
      <c r="L164" s="3"/>
      <c r="M164" s="3"/>
      <c r="N164" s="20" t="s">
        <v>140</v>
      </c>
      <c r="O164" s="277">
        <f ca="1">COUNTIFS(O7:O156,"&gt;0",$Q$7:$Q$156,"&lt;"&amp;(D3-(365*2)))</f>
        <v>0</v>
      </c>
      <c r="P164" s="278"/>
      <c r="Q164" s="278"/>
      <c r="R164" s="277">
        <f t="shared" ref="R164:W164" ca="1" si="164">COUNTIFS(R7:R156,"&gt;0",$Q$7:$Q$156,"&lt;="&amp;($D$3-(365*2)))</f>
        <v>0</v>
      </c>
      <c r="S164" s="277">
        <f t="shared" ca="1" si="164"/>
        <v>0</v>
      </c>
      <c r="T164" s="277">
        <f t="shared" ca="1" si="164"/>
        <v>0</v>
      </c>
      <c r="U164" s="277">
        <f t="shared" ca="1" si="164"/>
        <v>0</v>
      </c>
      <c r="V164" s="277">
        <f t="shared" ca="1" si="164"/>
        <v>0</v>
      </c>
      <c r="W164" s="277">
        <f t="shared" ca="1" si="164"/>
        <v>0</v>
      </c>
      <c r="X164" s="281"/>
    </row>
    <row r="165" spans="1:51" ht="15.75" customHeight="1" x14ac:dyDescent="0.2">
      <c r="C165" s="2"/>
      <c r="L165" s="3"/>
      <c r="M165" s="3"/>
      <c r="N165" s="20" t="s">
        <v>146</v>
      </c>
      <c r="O165" s="19"/>
      <c r="P165" s="19"/>
      <c r="Q165" s="19"/>
      <c r="R165" s="283" t="str">
        <f t="shared" ref="R165:W165" ca="1" si="165">IFERROR(R164/$R$164,"NA")</f>
        <v>NA</v>
      </c>
      <c r="S165" s="283" t="str">
        <f t="shared" ca="1" si="165"/>
        <v>NA</v>
      </c>
      <c r="T165" s="283" t="str">
        <f t="shared" ca="1" si="165"/>
        <v>NA</v>
      </c>
      <c r="U165" s="283" t="str">
        <f t="shared" ca="1" si="165"/>
        <v>NA</v>
      </c>
      <c r="V165" s="283" t="str">
        <f t="shared" ca="1" si="165"/>
        <v>NA</v>
      </c>
      <c r="W165" s="283" t="str">
        <f t="shared" ca="1" si="165"/>
        <v>NA</v>
      </c>
      <c r="X165" s="105"/>
    </row>
    <row r="166" spans="1:51" ht="15.75" customHeight="1" x14ac:dyDescent="0.2">
      <c r="C166" s="2"/>
      <c r="L166" s="3"/>
    </row>
    <row r="167" spans="1:51" ht="15.75" customHeight="1" x14ac:dyDescent="0.2">
      <c r="C167" s="2"/>
      <c r="L167" s="3"/>
    </row>
    <row r="168" spans="1:51" ht="15.75" customHeight="1" x14ac:dyDescent="0.25">
      <c r="A168" s="72" t="s">
        <v>147</v>
      </c>
      <c r="C168" s="73"/>
      <c r="D168" s="74"/>
      <c r="E168" s="74"/>
      <c r="L168" s="3"/>
    </row>
    <row r="169" spans="1:51" ht="3" customHeight="1" x14ac:dyDescent="0.2">
      <c r="A169" s="78"/>
      <c r="B169" s="78"/>
      <c r="C169" s="79"/>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row>
    <row r="170" spans="1:51" ht="15.75" customHeight="1" x14ac:dyDescent="0.2">
      <c r="C170" s="2"/>
      <c r="L170" s="3"/>
    </row>
    <row r="171" spans="1:51" ht="15.75" customHeight="1" x14ac:dyDescent="0.2">
      <c r="A171" s="286" t="s">
        <v>30</v>
      </c>
      <c r="B171" s="7" t="s">
        <v>148</v>
      </c>
      <c r="C171" s="2"/>
      <c r="L171" s="3"/>
    </row>
    <row r="172" spans="1:51" ht="15.75" customHeight="1" x14ac:dyDescent="0.2">
      <c r="C172" s="501" t="s">
        <v>149</v>
      </c>
      <c r="D172" s="491"/>
      <c r="E172" s="491"/>
      <c r="F172" s="491"/>
      <c r="G172" s="491"/>
      <c r="H172" s="491"/>
      <c r="I172" s="491"/>
      <c r="J172" s="491"/>
      <c r="K172" s="491"/>
      <c r="L172" s="492"/>
      <c r="O172" s="503" t="s">
        <v>150</v>
      </c>
      <c r="P172" s="491"/>
      <c r="Q172" s="491"/>
      <c r="R172" s="491"/>
      <c r="S172" s="491"/>
      <c r="T172" s="491"/>
      <c r="U172" s="491"/>
      <c r="V172" s="491"/>
      <c r="W172" s="491"/>
      <c r="X172" s="492"/>
    </row>
    <row r="173" spans="1:51" ht="15.75" customHeight="1" x14ac:dyDescent="0.2">
      <c r="C173" s="502" t="str">
        <f t="shared" ref="C173:C174" si="166">O6</f>
        <v>Companies</v>
      </c>
      <c r="D173" s="492"/>
      <c r="E173" s="20" t="str">
        <f t="shared" ref="E173:J173" si="167">Q6</f>
        <v>Intl Inv Date</v>
      </c>
      <c r="F173" s="17" t="str">
        <f t="shared" si="167"/>
        <v>Seed</v>
      </c>
      <c r="G173" s="21" t="str">
        <f t="shared" si="167"/>
        <v xml:space="preserve">Ext. </v>
      </c>
      <c r="H173" s="21" t="str">
        <f t="shared" si="167"/>
        <v>A</v>
      </c>
      <c r="I173" s="21" t="str">
        <f t="shared" si="167"/>
        <v>B</v>
      </c>
      <c r="J173" s="21" t="str">
        <f t="shared" si="167"/>
        <v>C</v>
      </c>
      <c r="K173" s="23"/>
      <c r="L173" s="23" t="str">
        <f>L6</f>
        <v>Returns</v>
      </c>
      <c r="O173" s="24" t="str">
        <f>Z6</f>
        <v>Companies</v>
      </c>
      <c r="P173" s="290"/>
      <c r="Q173" s="20" t="str">
        <f>AB6</f>
        <v>Intl Inv Date</v>
      </c>
      <c r="R173" s="17" t="s">
        <v>151</v>
      </c>
      <c r="S173" s="21" t="s">
        <v>152</v>
      </c>
      <c r="T173" s="21" t="s">
        <v>153</v>
      </c>
      <c r="U173" s="21" t="s">
        <v>154</v>
      </c>
      <c r="V173" s="21" t="s">
        <v>155</v>
      </c>
      <c r="W173" s="23" t="s">
        <v>156</v>
      </c>
      <c r="X173" s="25"/>
    </row>
    <row r="174" spans="1:51" ht="15.75" customHeight="1" x14ac:dyDescent="0.2">
      <c r="C174" s="32" t="str">
        <f t="shared" ca="1" si="166"/>
        <v>0</v>
      </c>
      <c r="D174" s="33" t="str">
        <f t="shared" ref="D174:E174" ca="1" si="168">P7</f>
        <v>0</v>
      </c>
      <c r="E174" s="34" t="str">
        <f t="shared" ca="1" si="168"/>
        <v>0</v>
      </c>
      <c r="F174" s="291" t="str">
        <f t="shared" ref="F174:K174" ca="1" si="169">IF(R7&gt;0,F8,"")</f>
        <v/>
      </c>
      <c r="G174" s="291" t="str">
        <f t="shared" ca="1" si="169"/>
        <v/>
      </c>
      <c r="H174" s="291" t="str">
        <f t="shared" ca="1" si="169"/>
        <v/>
      </c>
      <c r="I174" s="291" t="str">
        <f t="shared" ca="1" si="169"/>
        <v/>
      </c>
      <c r="J174" s="291" t="str">
        <f t="shared" ca="1" si="169"/>
        <v/>
      </c>
      <c r="K174" s="34" t="str">
        <f t="shared" ca="1" si="169"/>
        <v/>
      </c>
      <c r="L174" s="34" t="str">
        <f ca="1">IF(W7&gt;0,L8,"")</f>
        <v/>
      </c>
      <c r="O174" s="32" t="str">
        <f t="shared" ref="O174:Q174" ca="1" si="170">C174</f>
        <v>0</v>
      </c>
      <c r="P174" s="33" t="str">
        <f t="shared" ca="1" si="170"/>
        <v>0</v>
      </c>
      <c r="Q174" s="34" t="str">
        <f t="shared" ca="1" si="170"/>
        <v>0</v>
      </c>
      <c r="R174" s="292" t="str">
        <f ca="1">IF(ISNUMBER(F174),DATEDIF('Summary and Assumptions'!D10,F174,"D")/7,"")</f>
        <v/>
      </c>
      <c r="S174" s="33" t="str">
        <f t="shared" ref="S174:V174" ca="1" si="171">IF(ISNUMBER(G174),DATEDIF($E174,G174,"D")/7,"")</f>
        <v/>
      </c>
      <c r="T174" s="33" t="str">
        <f t="shared" ca="1" si="171"/>
        <v/>
      </c>
      <c r="U174" s="33" t="str">
        <f t="shared" ca="1" si="171"/>
        <v/>
      </c>
      <c r="V174" s="293" t="str">
        <f t="shared" ca="1" si="171"/>
        <v/>
      </c>
      <c r="W174" s="33" t="str">
        <f ca="1">IF(ISNUMBER(L174),DATEDIF($E174,L174,"D")/7,"")</f>
        <v/>
      </c>
      <c r="X174" s="36"/>
    </row>
    <row r="175" spans="1:51" ht="15.75" customHeight="1" x14ac:dyDescent="0.2">
      <c r="C175" s="44"/>
      <c r="D175" s="45"/>
      <c r="E175" s="46"/>
      <c r="F175" s="294"/>
      <c r="G175" s="294"/>
      <c r="H175" s="294"/>
      <c r="I175" s="294"/>
      <c r="J175" s="294"/>
      <c r="K175" s="46"/>
      <c r="L175" s="40"/>
      <c r="O175" s="44"/>
      <c r="P175" s="45"/>
      <c r="Q175" s="46"/>
      <c r="R175" s="294"/>
      <c r="S175" s="294"/>
      <c r="T175" s="294"/>
      <c r="U175" s="294"/>
      <c r="V175" s="294"/>
      <c r="W175" s="46"/>
      <c r="X175" s="40"/>
    </row>
    <row r="176" spans="1:51" ht="15.75" customHeight="1" x14ac:dyDescent="0.2">
      <c r="C176" s="44"/>
      <c r="D176" s="45"/>
      <c r="E176" s="46"/>
      <c r="F176" s="294"/>
      <c r="G176" s="294"/>
      <c r="H176" s="294"/>
      <c r="I176" s="294"/>
      <c r="J176" s="294"/>
      <c r="K176" s="46"/>
      <c r="L176" s="40"/>
      <c r="O176" s="44"/>
      <c r="P176" s="45"/>
      <c r="Q176" s="46"/>
      <c r="R176" s="294"/>
      <c r="S176" s="294"/>
      <c r="T176" s="294"/>
      <c r="U176" s="294"/>
      <c r="V176" s="295"/>
      <c r="W176" s="295"/>
      <c r="X176" s="40"/>
    </row>
    <row r="177" spans="3:24" ht="15.75" customHeight="1" x14ac:dyDescent="0.2">
      <c r="C177" s="32" t="str">
        <f t="shared" ref="C177:E177" ca="1" si="172">O10</f>
        <v>0</v>
      </c>
      <c r="D177" s="33" t="str">
        <f t="shared" ca="1" si="172"/>
        <v>0</v>
      </c>
      <c r="E177" s="56" t="str">
        <f t="shared" ca="1" si="172"/>
        <v>0</v>
      </c>
      <c r="F177" s="291" t="str">
        <f t="shared" ref="F177:K177" ca="1" si="173">IF(R10&gt;0,F11,"")</f>
        <v/>
      </c>
      <c r="G177" s="291" t="str">
        <f t="shared" ca="1" si="173"/>
        <v/>
      </c>
      <c r="H177" s="291" t="str">
        <f t="shared" ca="1" si="173"/>
        <v/>
      </c>
      <c r="I177" s="291" t="str">
        <f t="shared" ca="1" si="173"/>
        <v/>
      </c>
      <c r="J177" s="291" t="str">
        <f t="shared" ca="1" si="173"/>
        <v/>
      </c>
      <c r="K177" s="56" t="str">
        <f t="shared" ca="1" si="173"/>
        <v/>
      </c>
      <c r="L177" s="296" t="str">
        <f ca="1">IF(W10&gt;0,L11,"")</f>
        <v/>
      </c>
      <c r="O177" s="32" t="str">
        <f t="shared" ref="O177:Q177" ca="1" si="174">C177</f>
        <v>0</v>
      </c>
      <c r="P177" s="33" t="str">
        <f t="shared" ca="1" si="174"/>
        <v>0</v>
      </c>
      <c r="Q177" s="56" t="str">
        <f t="shared" ca="1" si="174"/>
        <v>0</v>
      </c>
      <c r="R177" s="297" t="str">
        <f ca="1">IF(ISNUMBER(F177),DATEDIF($F174,F177,"D")/7,"")</f>
        <v/>
      </c>
      <c r="S177" s="33" t="str">
        <f t="shared" ref="S177:V177" ca="1" si="175">IF(ISNUMBER(G177),DATEDIF($E177,G177,"D")/7,"")</f>
        <v/>
      </c>
      <c r="T177" s="33" t="str">
        <f t="shared" ca="1" si="175"/>
        <v/>
      </c>
      <c r="U177" s="33" t="str">
        <f t="shared" ca="1" si="175"/>
        <v/>
      </c>
      <c r="V177" s="298" t="str">
        <f t="shared" ca="1" si="175"/>
        <v/>
      </c>
      <c r="W177" s="33" t="str">
        <f ca="1">IF(ISNUMBER(L177),DATEDIF($E177,L177,"D")/7,"")</f>
        <v/>
      </c>
      <c r="X177" s="36"/>
    </row>
    <row r="178" spans="3:24" ht="15.75" customHeight="1" x14ac:dyDescent="0.2">
      <c r="C178" s="44"/>
      <c r="D178" s="45"/>
      <c r="E178" s="46"/>
      <c r="F178" s="294"/>
      <c r="G178" s="294"/>
      <c r="H178" s="294"/>
      <c r="I178" s="294"/>
      <c r="J178" s="294"/>
      <c r="K178" s="46"/>
      <c r="L178" s="40"/>
      <c r="O178" s="44"/>
      <c r="P178" s="45"/>
      <c r="Q178" s="46"/>
      <c r="R178" s="294"/>
      <c r="S178" s="294"/>
      <c r="T178" s="294"/>
      <c r="U178" s="294"/>
      <c r="V178" s="295"/>
      <c r="W178" s="295"/>
      <c r="X178" s="40"/>
    </row>
    <row r="179" spans="3:24" ht="15.75" customHeight="1" x14ac:dyDescent="0.2">
      <c r="C179" s="44"/>
      <c r="D179" s="45"/>
      <c r="E179" s="46"/>
      <c r="F179" s="294"/>
      <c r="G179" s="294"/>
      <c r="H179" s="294"/>
      <c r="I179" s="294"/>
      <c r="J179" s="294"/>
      <c r="K179" s="46"/>
      <c r="L179" s="40"/>
      <c r="O179" s="44"/>
      <c r="P179" s="45"/>
      <c r="Q179" s="46"/>
      <c r="R179" s="294"/>
      <c r="S179" s="294"/>
      <c r="T179" s="294"/>
      <c r="U179" s="294"/>
      <c r="V179" s="295"/>
      <c r="W179" s="295"/>
      <c r="X179" s="40"/>
    </row>
    <row r="180" spans="3:24" ht="15.75" customHeight="1" x14ac:dyDescent="0.2">
      <c r="C180" s="32" t="str">
        <f t="shared" ref="C180:E180" ca="1" si="176">O13</f>
        <v>0</v>
      </c>
      <c r="D180" s="33" t="str">
        <f t="shared" ca="1" si="176"/>
        <v>0</v>
      </c>
      <c r="E180" s="56" t="str">
        <f t="shared" ca="1" si="176"/>
        <v>0</v>
      </c>
      <c r="F180" s="291" t="str">
        <f t="shared" ref="F180:K180" ca="1" si="177">IF(R13&gt;0,F14,"")</f>
        <v/>
      </c>
      <c r="G180" s="291" t="str">
        <f t="shared" ca="1" si="177"/>
        <v/>
      </c>
      <c r="H180" s="291" t="str">
        <f t="shared" ca="1" si="177"/>
        <v/>
      </c>
      <c r="I180" s="291" t="str">
        <f t="shared" ca="1" si="177"/>
        <v/>
      </c>
      <c r="J180" s="291" t="str">
        <f t="shared" ca="1" si="177"/>
        <v/>
      </c>
      <c r="K180" s="56" t="str">
        <f t="shared" ca="1" si="177"/>
        <v/>
      </c>
      <c r="L180" s="296" t="str">
        <f ca="1">IF(W13&gt;0,L14,"")</f>
        <v/>
      </c>
      <c r="O180" s="32" t="str">
        <f t="shared" ref="O180:Q180" ca="1" si="178">C180</f>
        <v>0</v>
      </c>
      <c r="P180" s="33" t="str">
        <f t="shared" ca="1" si="178"/>
        <v>0</v>
      </c>
      <c r="Q180" s="56" t="str">
        <f t="shared" ca="1" si="178"/>
        <v>0</v>
      </c>
      <c r="R180" s="297" t="str">
        <f ca="1">IF(ISNUMBER(F180),DATEDIF($F177,F180,"D")/7,"")</f>
        <v/>
      </c>
      <c r="S180" s="33" t="str">
        <f t="shared" ref="S180:V180" ca="1" si="179">IF(ISNUMBER(G180),DATEDIF($E180,G180,"D")/7,"")</f>
        <v/>
      </c>
      <c r="T180" s="33" t="str">
        <f t="shared" ca="1" si="179"/>
        <v/>
      </c>
      <c r="U180" s="33" t="str">
        <f t="shared" ca="1" si="179"/>
        <v/>
      </c>
      <c r="V180" s="298" t="str">
        <f t="shared" ca="1" si="179"/>
        <v/>
      </c>
      <c r="W180" s="33" t="str">
        <f ca="1">IF(ISNUMBER(L180),DATEDIF($E180,L180,"D")/7,"")</f>
        <v/>
      </c>
      <c r="X180" s="36"/>
    </row>
    <row r="181" spans="3:24" ht="15.75" customHeight="1" x14ac:dyDescent="0.2">
      <c r="C181" s="44"/>
      <c r="D181" s="45"/>
      <c r="E181" s="46"/>
      <c r="F181" s="294"/>
      <c r="G181" s="294"/>
      <c r="H181" s="294"/>
      <c r="I181" s="294"/>
      <c r="J181" s="294"/>
      <c r="K181" s="46"/>
      <c r="L181" s="40"/>
      <c r="O181" s="44"/>
      <c r="P181" s="45"/>
      <c r="Q181" s="46"/>
      <c r="R181" s="294"/>
      <c r="S181" s="294"/>
      <c r="T181" s="294"/>
      <c r="U181" s="294"/>
      <c r="V181" s="295"/>
      <c r="W181" s="295"/>
      <c r="X181" s="40"/>
    </row>
    <row r="182" spans="3:24" ht="15.75" customHeight="1" x14ac:dyDescent="0.2">
      <c r="C182" s="44"/>
      <c r="D182" s="45"/>
      <c r="E182" s="46"/>
      <c r="F182" s="294"/>
      <c r="G182" s="294"/>
      <c r="H182" s="294"/>
      <c r="I182" s="294"/>
      <c r="J182" s="294"/>
      <c r="K182" s="46"/>
      <c r="L182" s="40"/>
      <c r="O182" s="44"/>
      <c r="P182" s="45"/>
      <c r="Q182" s="46"/>
      <c r="R182" s="294"/>
      <c r="S182" s="294"/>
      <c r="T182" s="294"/>
      <c r="U182" s="294"/>
      <c r="V182" s="295"/>
      <c r="W182" s="295"/>
      <c r="X182" s="40"/>
    </row>
    <row r="183" spans="3:24" ht="15.75" customHeight="1" x14ac:dyDescent="0.2">
      <c r="C183" s="32" t="str">
        <f t="shared" ref="C183:E183" ca="1" si="180">O16</f>
        <v>0</v>
      </c>
      <c r="D183" s="33" t="str">
        <f t="shared" ca="1" si="180"/>
        <v>0</v>
      </c>
      <c r="E183" s="56" t="str">
        <f t="shared" ca="1" si="180"/>
        <v>0</v>
      </c>
      <c r="F183" s="291" t="str">
        <f t="shared" ref="F183:K183" ca="1" si="181">IF(R16&gt;0,F17,"")</f>
        <v/>
      </c>
      <c r="G183" s="291" t="str">
        <f t="shared" ca="1" si="181"/>
        <v/>
      </c>
      <c r="H183" s="291" t="str">
        <f t="shared" ca="1" si="181"/>
        <v/>
      </c>
      <c r="I183" s="291" t="str">
        <f t="shared" ca="1" si="181"/>
        <v/>
      </c>
      <c r="J183" s="291" t="str">
        <f t="shared" ca="1" si="181"/>
        <v/>
      </c>
      <c r="K183" s="56" t="str">
        <f t="shared" ca="1" si="181"/>
        <v/>
      </c>
      <c r="L183" s="296" t="str">
        <f ca="1">IF(W16&gt;0,L17,"")</f>
        <v/>
      </c>
      <c r="O183" s="32" t="str">
        <f t="shared" ref="O183:Q183" ca="1" si="182">C183</f>
        <v>0</v>
      </c>
      <c r="P183" s="33" t="str">
        <f t="shared" ca="1" si="182"/>
        <v>0</v>
      </c>
      <c r="Q183" s="56" t="str">
        <f t="shared" ca="1" si="182"/>
        <v>0</v>
      </c>
      <c r="R183" s="299" t="str">
        <f ca="1">IF(ISNUMBER(F183),DATEDIF($F180,F183,"D")/7,"")</f>
        <v/>
      </c>
      <c r="S183" s="300" t="str">
        <f t="shared" ref="S183:V183" ca="1" si="183">IF(ISNUMBER(G183),DATEDIF($E183,G183,"D")/7,"")</f>
        <v/>
      </c>
      <c r="T183" s="300" t="str">
        <f t="shared" ca="1" si="183"/>
        <v/>
      </c>
      <c r="U183" s="300" t="str">
        <f t="shared" ca="1" si="183"/>
        <v/>
      </c>
      <c r="V183" s="301" t="str">
        <f t="shared" ca="1" si="183"/>
        <v/>
      </c>
      <c r="W183" s="301" t="str">
        <f ca="1">IF(ISNUMBER(L183),DATEDIF($E183,L183,"D")/7,"")</f>
        <v/>
      </c>
      <c r="X183" s="36"/>
    </row>
    <row r="184" spans="3:24" ht="15.75" customHeight="1" x14ac:dyDescent="0.2">
      <c r="C184" s="44"/>
      <c r="D184" s="45"/>
      <c r="E184" s="46"/>
      <c r="F184" s="294"/>
      <c r="G184" s="294"/>
      <c r="H184" s="294"/>
      <c r="I184" s="294"/>
      <c r="J184" s="294"/>
      <c r="K184" s="46"/>
      <c r="L184" s="40"/>
      <c r="O184" s="44"/>
      <c r="P184" s="45"/>
      <c r="Q184" s="46"/>
      <c r="R184" s="294"/>
      <c r="S184" s="294"/>
      <c r="T184" s="294"/>
      <c r="U184" s="294"/>
      <c r="V184" s="295"/>
      <c r="W184" s="295"/>
      <c r="X184" s="40"/>
    </row>
    <row r="185" spans="3:24" ht="15.75" customHeight="1" x14ac:dyDescent="0.2">
      <c r="C185" s="44"/>
      <c r="D185" s="45"/>
      <c r="E185" s="46"/>
      <c r="F185" s="294"/>
      <c r="G185" s="294"/>
      <c r="H185" s="294"/>
      <c r="I185" s="294"/>
      <c r="J185" s="294"/>
      <c r="K185" s="46"/>
      <c r="L185" s="40"/>
      <c r="O185" s="44"/>
      <c r="P185" s="45"/>
      <c r="Q185" s="46"/>
      <c r="R185" s="294"/>
      <c r="S185" s="294"/>
      <c r="T185" s="294"/>
      <c r="U185" s="294"/>
      <c r="V185" s="295"/>
      <c r="W185" s="295"/>
      <c r="X185" s="40"/>
    </row>
    <row r="186" spans="3:24" ht="15.75" customHeight="1" x14ac:dyDescent="0.2">
      <c r="C186" s="32" t="str">
        <f t="shared" ref="C186:E186" ca="1" si="184">O19</f>
        <v>0</v>
      </c>
      <c r="D186" s="33" t="str">
        <f t="shared" ca="1" si="184"/>
        <v>0</v>
      </c>
      <c r="E186" s="56" t="str">
        <f t="shared" ca="1" si="184"/>
        <v>0</v>
      </c>
      <c r="F186" s="291" t="str">
        <f t="shared" ref="F186:K186" ca="1" si="185">IF(R19&gt;0,F20,"")</f>
        <v/>
      </c>
      <c r="G186" s="291" t="str">
        <f t="shared" ca="1" si="185"/>
        <v/>
      </c>
      <c r="H186" s="291" t="str">
        <f t="shared" ca="1" si="185"/>
        <v/>
      </c>
      <c r="I186" s="291" t="str">
        <f t="shared" ca="1" si="185"/>
        <v/>
      </c>
      <c r="J186" s="291" t="str">
        <f t="shared" ca="1" si="185"/>
        <v/>
      </c>
      <c r="K186" s="56" t="str">
        <f t="shared" ca="1" si="185"/>
        <v/>
      </c>
      <c r="L186" s="296" t="str">
        <f ca="1">IF(W19&gt;0,L20,"")</f>
        <v/>
      </c>
      <c r="O186" s="32" t="str">
        <f t="shared" ref="O186:Q186" ca="1" si="186">C186</f>
        <v>0</v>
      </c>
      <c r="P186" s="33" t="str">
        <f t="shared" ca="1" si="186"/>
        <v>0</v>
      </c>
      <c r="Q186" s="56" t="str">
        <f t="shared" ca="1" si="186"/>
        <v>0</v>
      </c>
      <c r="R186" s="299" t="str">
        <f ca="1">IF(ISNUMBER(F186),DATEDIF($F183,F186,"D")/7,"")</f>
        <v/>
      </c>
      <c r="S186" s="300" t="str">
        <f t="shared" ref="S186:V186" ca="1" si="187">IF(ISNUMBER(G186),DATEDIF($E186,G186,"D")/7,"")</f>
        <v/>
      </c>
      <c r="T186" s="300" t="str">
        <f t="shared" ca="1" si="187"/>
        <v/>
      </c>
      <c r="U186" s="300" t="str">
        <f t="shared" ca="1" si="187"/>
        <v/>
      </c>
      <c r="V186" s="301" t="str">
        <f t="shared" ca="1" si="187"/>
        <v/>
      </c>
      <c r="W186" s="301" t="str">
        <f ca="1">IF(ISNUMBER(L186),DATEDIF($E186,L186,"D")/7,"")</f>
        <v/>
      </c>
      <c r="X186" s="36"/>
    </row>
    <row r="187" spans="3:24" ht="15.75" customHeight="1" x14ac:dyDescent="0.2">
      <c r="C187" s="44"/>
      <c r="D187" s="45"/>
      <c r="E187" s="46"/>
      <c r="F187" s="294"/>
      <c r="G187" s="294"/>
      <c r="H187" s="294"/>
      <c r="I187" s="294"/>
      <c r="J187" s="294"/>
      <c r="K187" s="46"/>
      <c r="L187" s="40"/>
      <c r="O187" s="44"/>
      <c r="P187" s="45"/>
      <c r="Q187" s="46"/>
      <c r="R187" s="294"/>
      <c r="S187" s="294"/>
      <c r="T187" s="294"/>
      <c r="U187" s="294"/>
      <c r="V187" s="295"/>
      <c r="W187" s="295"/>
      <c r="X187" s="40"/>
    </row>
    <row r="188" spans="3:24" ht="15.75" customHeight="1" x14ac:dyDescent="0.2">
      <c r="C188" s="44"/>
      <c r="D188" s="45"/>
      <c r="E188" s="46"/>
      <c r="F188" s="294"/>
      <c r="G188" s="294"/>
      <c r="H188" s="294"/>
      <c r="I188" s="294"/>
      <c r="J188" s="294"/>
      <c r="K188" s="46"/>
      <c r="L188" s="40"/>
      <c r="O188" s="44"/>
      <c r="P188" s="45"/>
      <c r="Q188" s="46"/>
      <c r="R188" s="294"/>
      <c r="S188" s="294"/>
      <c r="T188" s="294"/>
      <c r="U188" s="294"/>
      <c r="V188" s="295"/>
      <c r="W188" s="295"/>
      <c r="X188" s="40"/>
    </row>
    <row r="189" spans="3:24" ht="15.75" customHeight="1" x14ac:dyDescent="0.2">
      <c r="C189" s="32" t="str">
        <f t="shared" ref="C189:E189" ca="1" si="188">O22</f>
        <v>0</v>
      </c>
      <c r="D189" s="33" t="str">
        <f t="shared" ca="1" si="188"/>
        <v>0</v>
      </c>
      <c r="E189" s="56" t="str">
        <f t="shared" ca="1" si="188"/>
        <v>0</v>
      </c>
      <c r="F189" s="291" t="str">
        <f t="shared" ref="F189:K189" ca="1" si="189">IF(R22&gt;0,F23,"")</f>
        <v/>
      </c>
      <c r="G189" s="291" t="str">
        <f t="shared" ca="1" si="189"/>
        <v/>
      </c>
      <c r="H189" s="291" t="str">
        <f t="shared" ca="1" si="189"/>
        <v/>
      </c>
      <c r="I189" s="291" t="str">
        <f t="shared" ca="1" si="189"/>
        <v/>
      </c>
      <c r="J189" s="291" t="str">
        <f t="shared" ca="1" si="189"/>
        <v/>
      </c>
      <c r="K189" s="56" t="str">
        <f t="shared" ca="1" si="189"/>
        <v/>
      </c>
      <c r="L189" s="296" t="str">
        <f ca="1">IF(W22&gt;0,L23,"")</f>
        <v/>
      </c>
      <c r="O189" s="32" t="str">
        <f t="shared" ref="O189:Q189" ca="1" si="190">C189</f>
        <v>0</v>
      </c>
      <c r="P189" s="33" t="str">
        <f t="shared" ca="1" si="190"/>
        <v>0</v>
      </c>
      <c r="Q189" s="56" t="str">
        <f t="shared" ca="1" si="190"/>
        <v>0</v>
      </c>
      <c r="R189" s="297" t="str">
        <f ca="1">IF(ISNUMBER(F189),DATEDIF($F186,F189,"D")/7,"")</f>
        <v/>
      </c>
      <c r="S189" s="33" t="str">
        <f t="shared" ref="S189:V189" ca="1" si="191">IF(ISNUMBER(G189),DATEDIF($E189,G189,"D")/7,"")</f>
        <v/>
      </c>
      <c r="T189" s="33" t="str">
        <f t="shared" ca="1" si="191"/>
        <v/>
      </c>
      <c r="U189" s="33" t="str">
        <f t="shared" ca="1" si="191"/>
        <v/>
      </c>
      <c r="V189" s="298" t="str">
        <f t="shared" ca="1" si="191"/>
        <v/>
      </c>
      <c r="W189" s="33" t="str">
        <f ca="1">IF(ISNUMBER(L189),DATEDIF($E189,L189,"D")/7,"")</f>
        <v/>
      </c>
      <c r="X189" s="36"/>
    </row>
    <row r="190" spans="3:24" ht="15.75" customHeight="1" x14ac:dyDescent="0.2">
      <c r="C190" s="44"/>
      <c r="D190" s="45"/>
      <c r="E190" s="46"/>
      <c r="F190" s="294"/>
      <c r="G190" s="294"/>
      <c r="H190" s="294"/>
      <c r="I190" s="294"/>
      <c r="J190" s="294"/>
      <c r="K190" s="46"/>
      <c r="L190" s="40"/>
      <c r="O190" s="44"/>
      <c r="P190" s="45"/>
      <c r="Q190" s="46"/>
      <c r="R190" s="294"/>
      <c r="S190" s="294"/>
      <c r="T190" s="294"/>
      <c r="U190" s="294"/>
      <c r="V190" s="295"/>
      <c r="W190" s="295"/>
      <c r="X190" s="40"/>
    </row>
    <row r="191" spans="3:24" ht="15.75" customHeight="1" x14ac:dyDescent="0.2">
      <c r="C191" s="44"/>
      <c r="D191" s="45"/>
      <c r="E191" s="46"/>
      <c r="F191" s="294"/>
      <c r="G191" s="294"/>
      <c r="H191" s="294"/>
      <c r="I191" s="294"/>
      <c r="J191" s="294"/>
      <c r="K191" s="46"/>
      <c r="L191" s="40"/>
      <c r="O191" s="44"/>
      <c r="P191" s="45"/>
      <c r="Q191" s="46"/>
      <c r="R191" s="294"/>
      <c r="S191" s="294"/>
      <c r="T191" s="294"/>
      <c r="U191" s="294"/>
      <c r="V191" s="295"/>
      <c r="W191" s="295"/>
      <c r="X191" s="40"/>
    </row>
    <row r="192" spans="3:24" ht="15.75" customHeight="1" x14ac:dyDescent="0.2">
      <c r="C192" s="32" t="str">
        <f t="shared" ref="C192:E192" ca="1" si="192">O25</f>
        <v>0</v>
      </c>
      <c r="D192" s="33" t="str">
        <f t="shared" ca="1" si="192"/>
        <v>0</v>
      </c>
      <c r="E192" s="56" t="str">
        <f t="shared" ca="1" si="192"/>
        <v>0</v>
      </c>
      <c r="F192" s="291" t="str">
        <f t="shared" ref="F192:K192" ca="1" si="193">IF(R25&gt;0,F26,"")</f>
        <v/>
      </c>
      <c r="G192" s="291" t="str">
        <f t="shared" ca="1" si="193"/>
        <v/>
      </c>
      <c r="H192" s="291" t="str">
        <f t="shared" ca="1" si="193"/>
        <v/>
      </c>
      <c r="I192" s="291" t="str">
        <f t="shared" ca="1" si="193"/>
        <v/>
      </c>
      <c r="J192" s="291" t="str">
        <f t="shared" ca="1" si="193"/>
        <v/>
      </c>
      <c r="K192" s="56" t="str">
        <f t="shared" ca="1" si="193"/>
        <v/>
      </c>
      <c r="L192" s="296" t="str">
        <f ca="1">IF(W25&gt;0,L26,"")</f>
        <v/>
      </c>
      <c r="O192" s="32" t="str">
        <f t="shared" ref="O192:Q192" ca="1" si="194">C192</f>
        <v>0</v>
      </c>
      <c r="P192" s="33" t="str">
        <f t="shared" ca="1" si="194"/>
        <v>0</v>
      </c>
      <c r="Q192" s="56" t="str">
        <f t="shared" ca="1" si="194"/>
        <v>0</v>
      </c>
      <c r="R192" s="297" t="str">
        <f ca="1">IF(ISNUMBER(F192),DATEDIF($F189,F192,"D")/7,"")</f>
        <v/>
      </c>
      <c r="S192" s="33" t="str">
        <f t="shared" ref="S192:V192" ca="1" si="195">IF(ISNUMBER(G192),DATEDIF($E192,G192,"D")/7,"")</f>
        <v/>
      </c>
      <c r="T192" s="33" t="str">
        <f t="shared" ca="1" si="195"/>
        <v/>
      </c>
      <c r="U192" s="33" t="str">
        <f t="shared" ca="1" si="195"/>
        <v/>
      </c>
      <c r="V192" s="298" t="str">
        <f t="shared" ca="1" si="195"/>
        <v/>
      </c>
      <c r="W192" s="33" t="str">
        <f ca="1">IF(ISNUMBER(L192),DATEDIF($E192,L192,"D")/7,"")</f>
        <v/>
      </c>
      <c r="X192" s="36"/>
    </row>
    <row r="193" spans="3:24" ht="15.75" customHeight="1" x14ac:dyDescent="0.2">
      <c r="C193" s="44"/>
      <c r="D193" s="45"/>
      <c r="E193" s="46"/>
      <c r="F193" s="294"/>
      <c r="G193" s="294"/>
      <c r="H193" s="294"/>
      <c r="I193" s="294"/>
      <c r="J193" s="294"/>
      <c r="K193" s="46"/>
      <c r="L193" s="40"/>
      <c r="O193" s="44"/>
      <c r="P193" s="45"/>
      <c r="Q193" s="46"/>
      <c r="R193" s="294"/>
      <c r="S193" s="294"/>
      <c r="T193" s="294"/>
      <c r="U193" s="294"/>
      <c r="V193" s="295"/>
      <c r="W193" s="295"/>
      <c r="X193" s="40"/>
    </row>
    <row r="194" spans="3:24" ht="15.75" customHeight="1" x14ac:dyDescent="0.2">
      <c r="C194" s="44"/>
      <c r="D194" s="45"/>
      <c r="E194" s="46"/>
      <c r="F194" s="294"/>
      <c r="G194" s="294"/>
      <c r="H194" s="294"/>
      <c r="I194" s="294"/>
      <c r="J194" s="294"/>
      <c r="K194" s="46"/>
      <c r="L194" s="40"/>
      <c r="O194" s="44"/>
      <c r="P194" s="45"/>
      <c r="Q194" s="46"/>
      <c r="R194" s="294"/>
      <c r="S194" s="294"/>
      <c r="T194" s="294"/>
      <c r="U194" s="294"/>
      <c r="V194" s="295"/>
      <c r="W194" s="295"/>
      <c r="X194" s="40"/>
    </row>
    <row r="195" spans="3:24" ht="15.75" customHeight="1" x14ac:dyDescent="0.2">
      <c r="C195" s="32" t="str">
        <f t="shared" ref="C195:E195" ca="1" si="196">O28</f>
        <v>0</v>
      </c>
      <c r="D195" s="33" t="str">
        <f t="shared" ca="1" si="196"/>
        <v>0</v>
      </c>
      <c r="E195" s="56" t="str">
        <f t="shared" ca="1" si="196"/>
        <v>0</v>
      </c>
      <c r="F195" s="291" t="str">
        <f t="shared" ref="F195:K195" ca="1" si="197">IF(R28&gt;0,F29,"")</f>
        <v/>
      </c>
      <c r="G195" s="291" t="str">
        <f t="shared" ca="1" si="197"/>
        <v/>
      </c>
      <c r="H195" s="291" t="str">
        <f t="shared" ca="1" si="197"/>
        <v/>
      </c>
      <c r="I195" s="291" t="str">
        <f t="shared" ca="1" si="197"/>
        <v/>
      </c>
      <c r="J195" s="291" t="str">
        <f t="shared" ca="1" si="197"/>
        <v/>
      </c>
      <c r="K195" s="56" t="str">
        <f t="shared" ca="1" si="197"/>
        <v/>
      </c>
      <c r="L195" s="296" t="str">
        <f ca="1">IF(W28&gt;0,L29,"")</f>
        <v/>
      </c>
      <c r="O195" s="32" t="str">
        <f t="shared" ref="O195:Q195" ca="1" si="198">C195</f>
        <v>0</v>
      </c>
      <c r="P195" s="33" t="str">
        <f t="shared" ca="1" si="198"/>
        <v>0</v>
      </c>
      <c r="Q195" s="56" t="str">
        <f t="shared" ca="1" si="198"/>
        <v>0</v>
      </c>
      <c r="R195" s="299" t="str">
        <f ca="1">IF(ISNUMBER(F195),DATEDIF($F192,F195,"D")/7,"")</f>
        <v/>
      </c>
      <c r="S195" s="300" t="str">
        <f t="shared" ref="S195:V195" ca="1" si="199">IF(ISNUMBER(G195),DATEDIF($E195,G195,"D")/7,"")</f>
        <v/>
      </c>
      <c r="T195" s="300" t="str">
        <f t="shared" ca="1" si="199"/>
        <v/>
      </c>
      <c r="U195" s="300" t="str">
        <f t="shared" ca="1" si="199"/>
        <v/>
      </c>
      <c r="V195" s="301" t="str">
        <f t="shared" ca="1" si="199"/>
        <v/>
      </c>
      <c r="W195" s="301" t="str">
        <f ca="1">IF(ISNUMBER(L195),DATEDIF($E195,L195,"D")/7,"")</f>
        <v/>
      </c>
      <c r="X195" s="36"/>
    </row>
    <row r="196" spans="3:24" ht="15.75" customHeight="1" x14ac:dyDescent="0.2">
      <c r="C196" s="44"/>
      <c r="D196" s="45"/>
      <c r="E196" s="46"/>
      <c r="F196" s="294"/>
      <c r="G196" s="294"/>
      <c r="H196" s="294"/>
      <c r="I196" s="294"/>
      <c r="J196" s="294"/>
      <c r="K196" s="46"/>
      <c r="L196" s="40"/>
      <c r="O196" s="44"/>
      <c r="P196" s="45"/>
      <c r="Q196" s="46"/>
      <c r="R196" s="294"/>
      <c r="S196" s="294"/>
      <c r="T196" s="294"/>
      <c r="U196" s="294"/>
      <c r="V196" s="295"/>
      <c r="W196" s="295"/>
      <c r="X196" s="40"/>
    </row>
    <row r="197" spans="3:24" ht="15.75" customHeight="1" x14ac:dyDescent="0.2">
      <c r="C197" s="44"/>
      <c r="D197" s="45"/>
      <c r="E197" s="46"/>
      <c r="F197" s="294"/>
      <c r="G197" s="294"/>
      <c r="H197" s="294"/>
      <c r="I197" s="294"/>
      <c r="J197" s="294"/>
      <c r="K197" s="46"/>
      <c r="L197" s="40"/>
      <c r="O197" s="44"/>
      <c r="P197" s="45"/>
      <c r="Q197" s="46"/>
      <c r="R197" s="294"/>
      <c r="S197" s="294"/>
      <c r="T197" s="294"/>
      <c r="U197" s="294"/>
      <c r="V197" s="295"/>
      <c r="W197" s="295"/>
      <c r="X197" s="40"/>
    </row>
    <row r="198" spans="3:24" ht="15.75" customHeight="1" x14ac:dyDescent="0.2">
      <c r="C198" s="32" t="str">
        <f t="shared" ref="C198:E198" ca="1" si="200">O31</f>
        <v>0</v>
      </c>
      <c r="D198" s="33" t="str">
        <f t="shared" ca="1" si="200"/>
        <v>0</v>
      </c>
      <c r="E198" s="56" t="str">
        <f t="shared" ca="1" si="200"/>
        <v>0</v>
      </c>
      <c r="F198" s="291" t="str">
        <f t="shared" ref="F198:K198" ca="1" si="201">IF(R31&gt;0,F32,"")</f>
        <v/>
      </c>
      <c r="G198" s="291" t="str">
        <f t="shared" ca="1" si="201"/>
        <v/>
      </c>
      <c r="H198" s="291" t="str">
        <f t="shared" ca="1" si="201"/>
        <v/>
      </c>
      <c r="I198" s="291" t="str">
        <f t="shared" ca="1" si="201"/>
        <v/>
      </c>
      <c r="J198" s="291" t="str">
        <f t="shared" ca="1" si="201"/>
        <v/>
      </c>
      <c r="K198" s="56" t="str">
        <f t="shared" ca="1" si="201"/>
        <v/>
      </c>
      <c r="L198" s="296" t="str">
        <f ca="1">IF(W31&gt;0,L32,"")</f>
        <v/>
      </c>
      <c r="O198" s="32" t="str">
        <f t="shared" ref="O198:Q198" ca="1" si="202">C198</f>
        <v>0</v>
      </c>
      <c r="P198" s="33" t="str">
        <f t="shared" ca="1" si="202"/>
        <v>0</v>
      </c>
      <c r="Q198" s="56" t="str">
        <f t="shared" ca="1" si="202"/>
        <v>0</v>
      </c>
      <c r="R198" s="299" t="str">
        <f ca="1">IF(ISNUMBER(F198),DATEDIF($F195,F198,"D")/7,"")</f>
        <v/>
      </c>
      <c r="S198" s="300" t="str">
        <f t="shared" ref="S198:V198" ca="1" si="203">IF(ISNUMBER(G198),DATEDIF($E198,G198,"D")/7,"")</f>
        <v/>
      </c>
      <c r="T198" s="300" t="str">
        <f t="shared" ca="1" si="203"/>
        <v/>
      </c>
      <c r="U198" s="300" t="str">
        <f t="shared" ca="1" si="203"/>
        <v/>
      </c>
      <c r="V198" s="301" t="str">
        <f t="shared" ca="1" si="203"/>
        <v/>
      </c>
      <c r="W198" s="301" t="str">
        <f ca="1">IF(ISNUMBER(L198),DATEDIF($E198,L198,"D")/7,"")</f>
        <v/>
      </c>
      <c r="X198" s="36"/>
    </row>
    <row r="199" spans="3:24" ht="15.75" customHeight="1" x14ac:dyDescent="0.2">
      <c r="C199" s="44"/>
      <c r="D199" s="45"/>
      <c r="E199" s="46"/>
      <c r="F199" s="294"/>
      <c r="G199" s="294"/>
      <c r="H199" s="294"/>
      <c r="I199" s="294"/>
      <c r="J199" s="294"/>
      <c r="K199" s="46"/>
      <c r="L199" s="40"/>
      <c r="O199" s="44"/>
      <c r="P199" s="45"/>
      <c r="Q199" s="46"/>
      <c r="R199" s="302"/>
      <c r="S199" s="303"/>
      <c r="T199" s="303"/>
      <c r="U199" s="303"/>
      <c r="V199" s="304"/>
      <c r="W199" s="304"/>
      <c r="X199" s="40"/>
    </row>
    <row r="200" spans="3:24" ht="15.75" customHeight="1" x14ac:dyDescent="0.2">
      <c r="C200" s="44"/>
      <c r="D200" s="45"/>
      <c r="E200" s="46"/>
      <c r="F200" s="294"/>
      <c r="G200" s="294"/>
      <c r="H200" s="294"/>
      <c r="I200" s="294"/>
      <c r="J200" s="294"/>
      <c r="K200" s="46"/>
      <c r="L200" s="40"/>
      <c r="O200" s="44"/>
      <c r="P200" s="45"/>
      <c r="Q200" s="46"/>
      <c r="R200" s="305"/>
      <c r="S200" s="306"/>
      <c r="T200" s="306"/>
      <c r="U200" s="306"/>
      <c r="V200" s="307"/>
      <c r="W200" s="307"/>
      <c r="X200" s="40"/>
    </row>
    <row r="201" spans="3:24" ht="15.75" customHeight="1" x14ac:dyDescent="0.2">
      <c r="C201" s="32" t="str">
        <f t="shared" ref="C201:E201" ca="1" si="204">O34</f>
        <v>0</v>
      </c>
      <c r="D201" s="33" t="str">
        <f t="shared" ca="1" si="204"/>
        <v>0</v>
      </c>
      <c r="E201" s="56" t="str">
        <f t="shared" ca="1" si="204"/>
        <v>0</v>
      </c>
      <c r="F201" s="291" t="str">
        <f t="shared" ref="F201:K201" ca="1" si="205">IF(R34&gt;0,F35,"")</f>
        <v/>
      </c>
      <c r="G201" s="291" t="str">
        <f t="shared" ca="1" si="205"/>
        <v/>
      </c>
      <c r="H201" s="291" t="str">
        <f t="shared" ca="1" si="205"/>
        <v/>
      </c>
      <c r="I201" s="291" t="str">
        <f t="shared" ca="1" si="205"/>
        <v/>
      </c>
      <c r="J201" s="291" t="str">
        <f t="shared" ca="1" si="205"/>
        <v/>
      </c>
      <c r="K201" s="56" t="str">
        <f t="shared" ca="1" si="205"/>
        <v/>
      </c>
      <c r="L201" s="296" t="str">
        <f ca="1">IF(W34&gt;0,L35,"")</f>
        <v/>
      </c>
      <c r="O201" s="32" t="str">
        <f t="shared" ref="O201:Q201" ca="1" si="206">C201</f>
        <v>0</v>
      </c>
      <c r="P201" s="33" t="str">
        <f t="shared" ca="1" si="206"/>
        <v>0</v>
      </c>
      <c r="Q201" s="56" t="str">
        <f t="shared" ca="1" si="206"/>
        <v>0</v>
      </c>
      <c r="R201" s="308" t="str">
        <f ca="1">IF(ISNUMBER(F201),DATEDIF($F198,F201,"D")/7,"")</f>
        <v/>
      </c>
      <c r="S201" s="309" t="str">
        <f t="shared" ref="S201:V201" ca="1" si="207">IF(ISNUMBER(G201),DATEDIF($E201,G201,"D")/7,"")</f>
        <v/>
      </c>
      <c r="T201" s="309" t="str">
        <f t="shared" ca="1" si="207"/>
        <v/>
      </c>
      <c r="U201" s="309" t="str">
        <f t="shared" ca="1" si="207"/>
        <v/>
      </c>
      <c r="V201" s="310" t="str">
        <f t="shared" ca="1" si="207"/>
        <v/>
      </c>
      <c r="W201" s="310" t="str">
        <f ca="1">IF(ISNUMBER(L201),DATEDIF($E201,L201,"D")/7,"")</f>
        <v/>
      </c>
      <c r="X201" s="36"/>
    </row>
    <row r="202" spans="3:24" ht="15.75" customHeight="1" x14ac:dyDescent="0.2">
      <c r="C202" s="44"/>
      <c r="D202" s="45"/>
      <c r="E202" s="46"/>
      <c r="F202" s="294"/>
      <c r="G202" s="294"/>
      <c r="H202" s="294"/>
      <c r="I202" s="294"/>
      <c r="J202" s="294"/>
      <c r="K202" s="46"/>
      <c r="L202" s="40"/>
      <c r="O202" s="44"/>
      <c r="P202" s="45"/>
      <c r="Q202" s="46"/>
      <c r="R202" s="302"/>
      <c r="S202" s="303"/>
      <c r="T202" s="303"/>
      <c r="U202" s="303"/>
      <c r="V202" s="304"/>
      <c r="W202" s="304"/>
      <c r="X202" s="40"/>
    </row>
    <row r="203" spans="3:24" ht="15.75" customHeight="1" x14ac:dyDescent="0.2">
      <c r="C203" s="44"/>
      <c r="D203" s="45"/>
      <c r="E203" s="46"/>
      <c r="F203" s="294"/>
      <c r="G203" s="294"/>
      <c r="H203" s="294"/>
      <c r="I203" s="294"/>
      <c r="J203" s="294"/>
      <c r="K203" s="46"/>
      <c r="L203" s="40"/>
      <c r="O203" s="44"/>
      <c r="P203" s="45"/>
      <c r="Q203" s="46"/>
      <c r="R203" s="305"/>
      <c r="S203" s="306"/>
      <c r="T203" s="306"/>
      <c r="U203" s="306"/>
      <c r="V203" s="307"/>
      <c r="W203" s="307"/>
      <c r="X203" s="40"/>
    </row>
    <row r="204" spans="3:24" ht="15.75" customHeight="1" x14ac:dyDescent="0.2">
      <c r="C204" s="32" t="str">
        <f t="shared" ref="C204:E204" ca="1" si="208">O37</f>
        <v>0</v>
      </c>
      <c r="D204" s="33" t="str">
        <f t="shared" ca="1" si="208"/>
        <v>0</v>
      </c>
      <c r="E204" s="56" t="str">
        <f t="shared" ca="1" si="208"/>
        <v>0</v>
      </c>
      <c r="F204" s="291" t="str">
        <f t="shared" ref="F204:K204" ca="1" si="209">IF(R37&gt;0,F38,"")</f>
        <v/>
      </c>
      <c r="G204" s="291" t="str">
        <f t="shared" ca="1" si="209"/>
        <v/>
      </c>
      <c r="H204" s="291" t="str">
        <f t="shared" ca="1" si="209"/>
        <v/>
      </c>
      <c r="I204" s="291" t="str">
        <f t="shared" ca="1" si="209"/>
        <v/>
      </c>
      <c r="J204" s="291" t="str">
        <f t="shared" ca="1" si="209"/>
        <v/>
      </c>
      <c r="K204" s="56" t="str">
        <f t="shared" ca="1" si="209"/>
        <v/>
      </c>
      <c r="L204" s="296" t="str">
        <f ca="1">IF(W37&gt;0,L38,"")</f>
        <v/>
      </c>
      <c r="O204" s="32" t="str">
        <f t="shared" ref="O204:Q204" ca="1" si="210">C204</f>
        <v>0</v>
      </c>
      <c r="P204" s="33" t="str">
        <f t="shared" ca="1" si="210"/>
        <v>0</v>
      </c>
      <c r="Q204" s="56" t="str">
        <f t="shared" ca="1" si="210"/>
        <v>0</v>
      </c>
      <c r="R204" s="308" t="str">
        <f ca="1">IF(ISNUMBER(F204),DATEDIF($F201,F204,"D")/7,"")</f>
        <v/>
      </c>
      <c r="S204" s="309" t="str">
        <f t="shared" ref="S204:V204" ca="1" si="211">IF(ISNUMBER(G204),DATEDIF($E204,G204,"D")/7,"")</f>
        <v/>
      </c>
      <c r="T204" s="309" t="str">
        <f t="shared" ca="1" si="211"/>
        <v/>
      </c>
      <c r="U204" s="309" t="str">
        <f t="shared" ca="1" si="211"/>
        <v/>
      </c>
      <c r="V204" s="310" t="str">
        <f t="shared" ca="1" si="211"/>
        <v/>
      </c>
      <c r="W204" s="310" t="str">
        <f ca="1">IF(ISNUMBER(L204),DATEDIF($E204,L204,"D")/7,"")</f>
        <v/>
      </c>
      <c r="X204" s="36"/>
    </row>
    <row r="205" spans="3:24" ht="15.75" customHeight="1" x14ac:dyDescent="0.2">
      <c r="C205" s="44"/>
      <c r="D205" s="45"/>
      <c r="E205" s="46"/>
      <c r="F205" s="294"/>
      <c r="G205" s="294"/>
      <c r="H205" s="294"/>
      <c r="I205" s="294"/>
      <c r="J205" s="294"/>
      <c r="K205" s="46"/>
      <c r="L205" s="40"/>
      <c r="O205" s="44"/>
      <c r="P205" s="45"/>
      <c r="Q205" s="46"/>
      <c r="R205" s="302"/>
      <c r="S205" s="303"/>
      <c r="T205" s="303"/>
      <c r="U205" s="303"/>
      <c r="V205" s="304"/>
      <c r="W205" s="304"/>
      <c r="X205" s="40"/>
    </row>
    <row r="206" spans="3:24" ht="15.75" customHeight="1" x14ac:dyDescent="0.2">
      <c r="C206" s="44"/>
      <c r="D206" s="45"/>
      <c r="E206" s="46"/>
      <c r="F206" s="294"/>
      <c r="G206" s="294"/>
      <c r="H206" s="294"/>
      <c r="I206" s="294"/>
      <c r="J206" s="294"/>
      <c r="K206" s="46"/>
      <c r="L206" s="40"/>
      <c r="O206" s="44"/>
      <c r="P206" s="45"/>
      <c r="Q206" s="46"/>
      <c r="R206" s="305"/>
      <c r="S206" s="306"/>
      <c r="T206" s="306"/>
      <c r="U206" s="306"/>
      <c r="V206" s="307"/>
      <c r="W206" s="307"/>
      <c r="X206" s="40"/>
    </row>
    <row r="207" spans="3:24" ht="15.75" customHeight="1" x14ac:dyDescent="0.2">
      <c r="C207" s="32" t="str">
        <f t="shared" ref="C207:E207" ca="1" si="212">O40</f>
        <v>0</v>
      </c>
      <c r="D207" s="33" t="str">
        <f t="shared" ca="1" si="212"/>
        <v>0</v>
      </c>
      <c r="E207" s="56" t="str">
        <f t="shared" ca="1" si="212"/>
        <v>0</v>
      </c>
      <c r="F207" s="291" t="str">
        <f t="shared" ref="F207:K207" ca="1" si="213">IF(R40&gt;0,F41,"")</f>
        <v/>
      </c>
      <c r="G207" s="291" t="str">
        <f t="shared" ca="1" si="213"/>
        <v/>
      </c>
      <c r="H207" s="291" t="str">
        <f t="shared" ca="1" si="213"/>
        <v/>
      </c>
      <c r="I207" s="291" t="str">
        <f t="shared" ca="1" si="213"/>
        <v/>
      </c>
      <c r="J207" s="291" t="str">
        <f t="shared" ca="1" si="213"/>
        <v/>
      </c>
      <c r="K207" s="56" t="str">
        <f t="shared" ca="1" si="213"/>
        <v/>
      </c>
      <c r="L207" s="296" t="str">
        <f ca="1">IF(W40&gt;0,L41,"")</f>
        <v/>
      </c>
      <c r="O207" s="32" t="str">
        <f t="shared" ref="O207:Q207" ca="1" si="214">C207</f>
        <v>0</v>
      </c>
      <c r="P207" s="33" t="str">
        <f t="shared" ca="1" si="214"/>
        <v>0</v>
      </c>
      <c r="Q207" s="56" t="str">
        <f t="shared" ca="1" si="214"/>
        <v>0</v>
      </c>
      <c r="R207" s="299" t="str">
        <f ca="1">IF(ISNUMBER(F207),DATEDIF($F204,F207,"D")/7,"")</f>
        <v/>
      </c>
      <c r="S207" s="300" t="str">
        <f t="shared" ref="S207:V207" ca="1" si="215">IF(ISNUMBER(G207),DATEDIF($E207,G207,"D")/7,"")</f>
        <v/>
      </c>
      <c r="T207" s="300" t="str">
        <f t="shared" ca="1" si="215"/>
        <v/>
      </c>
      <c r="U207" s="300" t="str">
        <f t="shared" ca="1" si="215"/>
        <v/>
      </c>
      <c r="V207" s="301" t="str">
        <f t="shared" ca="1" si="215"/>
        <v/>
      </c>
      <c r="W207" s="301" t="str">
        <f ca="1">IF(ISNUMBER(L207),DATEDIF($E207,L207,"D")/7,"")</f>
        <v/>
      </c>
      <c r="X207" s="36"/>
    </row>
    <row r="208" spans="3:24" ht="15.75" customHeight="1" x14ac:dyDescent="0.2">
      <c r="C208" s="44"/>
      <c r="D208" s="45"/>
      <c r="E208" s="46"/>
      <c r="F208" s="294"/>
      <c r="G208" s="294"/>
      <c r="H208" s="294"/>
      <c r="I208" s="294"/>
      <c r="J208" s="294"/>
      <c r="K208" s="46"/>
      <c r="L208" s="40"/>
      <c r="O208" s="44"/>
      <c r="P208" s="45"/>
      <c r="Q208" s="46"/>
      <c r="R208" s="302"/>
      <c r="S208" s="303"/>
      <c r="T208" s="303"/>
      <c r="U208" s="303"/>
      <c r="V208" s="304"/>
      <c r="W208" s="304"/>
      <c r="X208" s="40"/>
    </row>
    <row r="209" spans="3:24" ht="15.75" customHeight="1" x14ac:dyDescent="0.2">
      <c r="C209" s="44"/>
      <c r="D209" s="45"/>
      <c r="E209" s="46"/>
      <c r="F209" s="294"/>
      <c r="G209" s="294"/>
      <c r="H209" s="294"/>
      <c r="I209" s="294"/>
      <c r="J209" s="294"/>
      <c r="K209" s="46"/>
      <c r="L209" s="40"/>
      <c r="O209" s="44"/>
      <c r="P209" s="45"/>
      <c r="Q209" s="46"/>
      <c r="R209" s="305"/>
      <c r="S209" s="306"/>
      <c r="T209" s="306"/>
      <c r="U209" s="306"/>
      <c r="V209" s="307"/>
      <c r="W209" s="307"/>
      <c r="X209" s="40"/>
    </row>
    <row r="210" spans="3:24" ht="15.75" customHeight="1" x14ac:dyDescent="0.2">
      <c r="C210" s="32" t="str">
        <f t="shared" ref="C210:E210" ca="1" si="216">O43</f>
        <v>0</v>
      </c>
      <c r="D210" s="33" t="str">
        <f t="shared" ca="1" si="216"/>
        <v>0</v>
      </c>
      <c r="E210" s="56" t="str">
        <f t="shared" ca="1" si="216"/>
        <v>0</v>
      </c>
      <c r="F210" s="291" t="str">
        <f t="shared" ref="F210:K210" ca="1" si="217">IF(R43&gt;0,F44,"")</f>
        <v/>
      </c>
      <c r="G210" s="291" t="str">
        <f t="shared" ca="1" si="217"/>
        <v/>
      </c>
      <c r="H210" s="291" t="str">
        <f t="shared" ca="1" si="217"/>
        <v/>
      </c>
      <c r="I210" s="291" t="str">
        <f t="shared" ca="1" si="217"/>
        <v/>
      </c>
      <c r="J210" s="291" t="str">
        <f t="shared" ca="1" si="217"/>
        <v/>
      </c>
      <c r="K210" s="56" t="str">
        <f t="shared" ca="1" si="217"/>
        <v/>
      </c>
      <c r="L210" s="296" t="str">
        <f ca="1">IF(W43&gt;0,L44,"")</f>
        <v/>
      </c>
      <c r="O210" s="32" t="str">
        <f t="shared" ref="O210:Q210" ca="1" si="218">C210</f>
        <v>0</v>
      </c>
      <c r="P210" s="33" t="str">
        <f t="shared" ca="1" si="218"/>
        <v>0</v>
      </c>
      <c r="Q210" s="56" t="str">
        <f t="shared" ca="1" si="218"/>
        <v>0</v>
      </c>
      <c r="R210" s="308" t="str">
        <f ca="1">IF(ISNUMBER(F210),DATEDIF($F207,F210,"D")/7,"")</f>
        <v/>
      </c>
      <c r="S210" s="309" t="str">
        <f t="shared" ref="S210:V210" ca="1" si="219">IF(ISNUMBER(G210),DATEDIF($E210,G210,"D")/7,"")</f>
        <v/>
      </c>
      <c r="T210" s="309" t="str">
        <f t="shared" ca="1" si="219"/>
        <v/>
      </c>
      <c r="U210" s="309" t="str">
        <f t="shared" ca="1" si="219"/>
        <v/>
      </c>
      <c r="V210" s="310" t="str">
        <f t="shared" ca="1" si="219"/>
        <v/>
      </c>
      <c r="W210" s="310" t="str">
        <f ca="1">IF(ISNUMBER(L210),DATEDIF($E210,L210,"D")/7,"")</f>
        <v/>
      </c>
      <c r="X210" s="36"/>
    </row>
    <row r="211" spans="3:24" ht="15.75" customHeight="1" x14ac:dyDescent="0.2">
      <c r="C211" s="44"/>
      <c r="D211" s="45"/>
      <c r="E211" s="46"/>
      <c r="F211" s="294"/>
      <c r="G211" s="294"/>
      <c r="H211" s="294"/>
      <c r="I211" s="294"/>
      <c r="J211" s="294"/>
      <c r="K211" s="46"/>
      <c r="L211" s="40"/>
      <c r="O211" s="44"/>
      <c r="P211" s="45"/>
      <c r="Q211" s="46"/>
      <c r="R211" s="302"/>
      <c r="S211" s="303"/>
      <c r="T211" s="303"/>
      <c r="U211" s="303"/>
      <c r="V211" s="304"/>
      <c r="W211" s="304"/>
      <c r="X211" s="40"/>
    </row>
    <row r="212" spans="3:24" ht="15.75" customHeight="1" x14ac:dyDescent="0.2">
      <c r="C212" s="44"/>
      <c r="D212" s="45"/>
      <c r="E212" s="46"/>
      <c r="F212" s="294"/>
      <c r="G212" s="294"/>
      <c r="H212" s="294"/>
      <c r="I212" s="294"/>
      <c r="J212" s="294"/>
      <c r="K212" s="46"/>
      <c r="L212" s="40"/>
      <c r="O212" s="44"/>
      <c r="P212" s="45"/>
      <c r="Q212" s="46"/>
      <c r="R212" s="305"/>
      <c r="S212" s="306"/>
      <c r="T212" s="306"/>
      <c r="U212" s="306"/>
      <c r="V212" s="307"/>
      <c r="W212" s="307"/>
      <c r="X212" s="40"/>
    </row>
    <row r="213" spans="3:24" ht="15.75" customHeight="1" x14ac:dyDescent="0.2">
      <c r="C213" s="32" t="str">
        <f t="shared" ref="C213:E213" ca="1" si="220">O46</f>
        <v>0</v>
      </c>
      <c r="D213" s="33" t="str">
        <f t="shared" ca="1" si="220"/>
        <v>0</v>
      </c>
      <c r="E213" s="56" t="str">
        <f t="shared" ca="1" si="220"/>
        <v>0</v>
      </c>
      <c r="F213" s="291" t="str">
        <f t="shared" ref="F213:K213" ca="1" si="221">IF(R46&gt;0,F47,"")</f>
        <v/>
      </c>
      <c r="G213" s="291" t="str">
        <f t="shared" ca="1" si="221"/>
        <v/>
      </c>
      <c r="H213" s="291" t="str">
        <f t="shared" ca="1" si="221"/>
        <v/>
      </c>
      <c r="I213" s="291" t="str">
        <f t="shared" ca="1" si="221"/>
        <v/>
      </c>
      <c r="J213" s="291" t="str">
        <f t="shared" ca="1" si="221"/>
        <v/>
      </c>
      <c r="K213" s="56" t="str">
        <f t="shared" ca="1" si="221"/>
        <v/>
      </c>
      <c r="L213" s="296" t="str">
        <f ca="1">IF(W46&gt;0,L47,"")</f>
        <v/>
      </c>
      <c r="O213" s="32" t="str">
        <f t="shared" ref="O213:Q213" ca="1" si="222">C213</f>
        <v>0</v>
      </c>
      <c r="P213" s="33" t="str">
        <f t="shared" ca="1" si="222"/>
        <v>0</v>
      </c>
      <c r="Q213" s="56" t="str">
        <f t="shared" ca="1" si="222"/>
        <v>0</v>
      </c>
      <c r="R213" s="308" t="str">
        <f ca="1">IF(ISNUMBER(F213),DATEDIF($F210,F213,"D")/7,"")</f>
        <v/>
      </c>
      <c r="S213" s="309" t="str">
        <f t="shared" ref="S213:V213" ca="1" si="223">IF(ISNUMBER(G213),DATEDIF($E213,G213,"D")/7,"")</f>
        <v/>
      </c>
      <c r="T213" s="309" t="str">
        <f t="shared" ca="1" si="223"/>
        <v/>
      </c>
      <c r="U213" s="309" t="str">
        <f t="shared" ca="1" si="223"/>
        <v/>
      </c>
      <c r="V213" s="310" t="str">
        <f t="shared" ca="1" si="223"/>
        <v/>
      </c>
      <c r="W213" s="310" t="str">
        <f ca="1">IF(ISNUMBER(L213),DATEDIF($E213,L213,"D")/7,"")</f>
        <v/>
      </c>
      <c r="X213" s="36"/>
    </row>
    <row r="214" spans="3:24" ht="15.75" customHeight="1" x14ac:dyDescent="0.2">
      <c r="C214" s="44"/>
      <c r="D214" s="45"/>
      <c r="E214" s="46"/>
      <c r="F214" s="294"/>
      <c r="G214" s="294"/>
      <c r="H214" s="294"/>
      <c r="I214" s="294"/>
      <c r="J214" s="294"/>
      <c r="K214" s="46"/>
      <c r="L214" s="40"/>
      <c r="O214" s="44"/>
      <c r="P214" s="45"/>
      <c r="Q214" s="46"/>
      <c r="R214" s="302"/>
      <c r="S214" s="303"/>
      <c r="T214" s="303"/>
      <c r="U214" s="303"/>
      <c r="V214" s="304"/>
      <c r="W214" s="304"/>
      <c r="X214" s="40"/>
    </row>
    <row r="215" spans="3:24" ht="15.75" customHeight="1" x14ac:dyDescent="0.2">
      <c r="C215" s="44"/>
      <c r="D215" s="45"/>
      <c r="E215" s="46"/>
      <c r="F215" s="294"/>
      <c r="G215" s="294"/>
      <c r="H215" s="294"/>
      <c r="I215" s="294"/>
      <c r="J215" s="294"/>
      <c r="K215" s="46"/>
      <c r="L215" s="40"/>
      <c r="O215" s="44"/>
      <c r="P215" s="45"/>
      <c r="Q215" s="46"/>
      <c r="R215" s="305"/>
      <c r="S215" s="306"/>
      <c r="T215" s="306"/>
      <c r="U215" s="306"/>
      <c r="V215" s="307"/>
      <c r="W215" s="307"/>
      <c r="X215" s="40"/>
    </row>
    <row r="216" spans="3:24" ht="15.75" customHeight="1" x14ac:dyDescent="0.2">
      <c r="C216" s="32" t="str">
        <f t="shared" ref="C216:E216" ca="1" si="224">O49</f>
        <v>0</v>
      </c>
      <c r="D216" s="33" t="str">
        <f t="shared" ca="1" si="224"/>
        <v>0</v>
      </c>
      <c r="E216" s="56" t="str">
        <f t="shared" ca="1" si="224"/>
        <v>0</v>
      </c>
      <c r="F216" s="291" t="str">
        <f t="shared" ref="F216:K216" ca="1" si="225">IF(R49&gt;0,F50,"")</f>
        <v/>
      </c>
      <c r="G216" s="291" t="str">
        <f t="shared" ca="1" si="225"/>
        <v/>
      </c>
      <c r="H216" s="291" t="str">
        <f t="shared" ca="1" si="225"/>
        <v/>
      </c>
      <c r="I216" s="291" t="str">
        <f t="shared" ca="1" si="225"/>
        <v/>
      </c>
      <c r="J216" s="291" t="str">
        <f t="shared" ca="1" si="225"/>
        <v/>
      </c>
      <c r="K216" s="56" t="str">
        <f t="shared" ca="1" si="225"/>
        <v/>
      </c>
      <c r="L216" s="296" t="str">
        <f ca="1">IF(W49&gt;0,L50,"")</f>
        <v/>
      </c>
      <c r="O216" s="32" t="str">
        <f t="shared" ref="O216:Q216" ca="1" si="226">C216</f>
        <v>0</v>
      </c>
      <c r="P216" s="33" t="str">
        <f t="shared" ca="1" si="226"/>
        <v>0</v>
      </c>
      <c r="Q216" s="56" t="str">
        <f t="shared" ca="1" si="226"/>
        <v>0</v>
      </c>
      <c r="R216" s="308" t="str">
        <f ca="1">IF(ISNUMBER(F216),DATEDIF($F213,F216,"D")/7,"")</f>
        <v/>
      </c>
      <c r="S216" s="309" t="str">
        <f t="shared" ref="S216:V216" ca="1" si="227">IF(ISNUMBER(G216),DATEDIF($E216,G216,"D")/7,"")</f>
        <v/>
      </c>
      <c r="T216" s="309" t="str">
        <f t="shared" ca="1" si="227"/>
        <v/>
      </c>
      <c r="U216" s="309" t="str">
        <f t="shared" ca="1" si="227"/>
        <v/>
      </c>
      <c r="V216" s="310" t="str">
        <f t="shared" ca="1" si="227"/>
        <v/>
      </c>
      <c r="W216" s="310" t="str">
        <f ca="1">IF(ISNUMBER(L216),DATEDIF($E216,L216,"D")/7,"")</f>
        <v/>
      </c>
      <c r="X216" s="36"/>
    </row>
    <row r="217" spans="3:24" ht="15.75" customHeight="1" x14ac:dyDescent="0.2">
      <c r="C217" s="44"/>
      <c r="D217" s="45"/>
      <c r="E217" s="46"/>
      <c r="F217" s="294"/>
      <c r="G217" s="294"/>
      <c r="H217" s="294"/>
      <c r="I217" s="294"/>
      <c r="J217" s="294"/>
      <c r="K217" s="46"/>
      <c r="L217" s="40"/>
      <c r="O217" s="44"/>
      <c r="P217" s="45"/>
      <c r="Q217" s="46"/>
      <c r="R217" s="294"/>
      <c r="S217" s="294"/>
      <c r="T217" s="294"/>
      <c r="U217" s="294"/>
      <c r="V217" s="295"/>
      <c r="W217" s="295"/>
      <c r="X217" s="40"/>
    </row>
    <row r="218" spans="3:24" ht="15.75" customHeight="1" x14ac:dyDescent="0.2">
      <c r="C218" s="44"/>
      <c r="D218" s="45"/>
      <c r="E218" s="46"/>
      <c r="F218" s="294"/>
      <c r="G218" s="294"/>
      <c r="H218" s="294"/>
      <c r="I218" s="294"/>
      <c r="J218" s="294"/>
      <c r="K218" s="46"/>
      <c r="L218" s="40"/>
      <c r="O218" s="44"/>
      <c r="P218" s="45"/>
      <c r="Q218" s="46"/>
      <c r="R218" s="294"/>
      <c r="S218" s="294"/>
      <c r="T218" s="294"/>
      <c r="U218" s="294"/>
      <c r="V218" s="295"/>
      <c r="W218" s="295"/>
      <c r="X218" s="40"/>
    </row>
    <row r="219" spans="3:24" ht="15.75" customHeight="1" x14ac:dyDescent="0.2">
      <c r="C219" s="32" t="str">
        <f t="shared" ref="C219:E219" ca="1" si="228">O52</f>
        <v>0</v>
      </c>
      <c r="D219" s="33" t="str">
        <f t="shared" ca="1" si="228"/>
        <v>0</v>
      </c>
      <c r="E219" s="56" t="str">
        <f t="shared" ca="1" si="228"/>
        <v>0</v>
      </c>
      <c r="F219" s="291" t="str">
        <f t="shared" ref="F219:K219" ca="1" si="229">IF(R52&gt;0,F53,"")</f>
        <v/>
      </c>
      <c r="G219" s="291" t="str">
        <f t="shared" ca="1" si="229"/>
        <v/>
      </c>
      <c r="H219" s="291" t="str">
        <f t="shared" ca="1" si="229"/>
        <v/>
      </c>
      <c r="I219" s="291" t="str">
        <f t="shared" ca="1" si="229"/>
        <v/>
      </c>
      <c r="J219" s="291" t="str">
        <f t="shared" ca="1" si="229"/>
        <v/>
      </c>
      <c r="K219" s="56" t="str">
        <f t="shared" ca="1" si="229"/>
        <v/>
      </c>
      <c r="L219" s="296" t="str">
        <f ca="1">IF(W52&gt;0,L53,"")</f>
        <v/>
      </c>
      <c r="O219" s="32" t="str">
        <f t="shared" ref="O219:Q219" ca="1" si="230">C219</f>
        <v>0</v>
      </c>
      <c r="P219" s="33" t="str">
        <f t="shared" ca="1" si="230"/>
        <v>0</v>
      </c>
      <c r="Q219" s="56" t="str">
        <f t="shared" ca="1" si="230"/>
        <v>0</v>
      </c>
      <c r="R219" s="299" t="str">
        <f ca="1">IF(ISNUMBER(F219),DATEDIF($F216,F219,"D")/7,"")</f>
        <v/>
      </c>
      <c r="S219" s="300" t="str">
        <f t="shared" ref="S219:V219" ca="1" si="231">IF(ISNUMBER(G219),DATEDIF($E219,G219,"D")/7,"")</f>
        <v/>
      </c>
      <c r="T219" s="300" t="str">
        <f t="shared" ca="1" si="231"/>
        <v/>
      </c>
      <c r="U219" s="300" t="str">
        <f t="shared" ca="1" si="231"/>
        <v/>
      </c>
      <c r="V219" s="301" t="str">
        <f t="shared" ca="1" si="231"/>
        <v/>
      </c>
      <c r="W219" s="301" t="str">
        <f ca="1">IF(ISNUMBER(L219),DATEDIF($E219,L219,"D")/7,"")</f>
        <v/>
      </c>
      <c r="X219" s="36"/>
    </row>
    <row r="220" spans="3:24" ht="15.75" customHeight="1" x14ac:dyDescent="0.2">
      <c r="C220" s="44"/>
      <c r="D220" s="45"/>
      <c r="E220" s="46"/>
      <c r="F220" s="294"/>
      <c r="G220" s="294"/>
      <c r="H220" s="294"/>
      <c r="I220" s="294"/>
      <c r="J220" s="294"/>
      <c r="K220" s="46"/>
      <c r="L220" s="40"/>
      <c r="O220" s="44"/>
      <c r="P220" s="45"/>
      <c r="Q220" s="46"/>
      <c r="R220" s="302"/>
      <c r="S220" s="303"/>
      <c r="T220" s="303"/>
      <c r="U220" s="303"/>
      <c r="V220" s="304"/>
      <c r="W220" s="304"/>
      <c r="X220" s="40"/>
    </row>
    <row r="221" spans="3:24" ht="15.75" customHeight="1" x14ac:dyDescent="0.2">
      <c r="C221" s="44"/>
      <c r="D221" s="45"/>
      <c r="E221" s="46"/>
      <c r="F221" s="294"/>
      <c r="G221" s="294"/>
      <c r="H221" s="294"/>
      <c r="I221" s="294"/>
      <c r="J221" s="294"/>
      <c r="K221" s="46"/>
      <c r="L221" s="40"/>
      <c r="O221" s="44"/>
      <c r="P221" s="45"/>
      <c r="Q221" s="46"/>
      <c r="R221" s="305"/>
      <c r="S221" s="306"/>
      <c r="T221" s="306"/>
      <c r="U221" s="306"/>
      <c r="V221" s="307"/>
      <c r="W221" s="307"/>
      <c r="X221" s="40"/>
    </row>
    <row r="222" spans="3:24" ht="15.75" customHeight="1" x14ac:dyDescent="0.2">
      <c r="C222" s="32" t="str">
        <f t="shared" ref="C222:E222" ca="1" si="232">O55</f>
        <v>0</v>
      </c>
      <c r="D222" s="33" t="str">
        <f t="shared" ca="1" si="232"/>
        <v>0</v>
      </c>
      <c r="E222" s="56" t="str">
        <f t="shared" ca="1" si="232"/>
        <v>0</v>
      </c>
      <c r="F222" s="291" t="str">
        <f t="shared" ref="F222:K222" ca="1" si="233">IF(R55&gt;0,F56,"")</f>
        <v/>
      </c>
      <c r="G222" s="291" t="str">
        <f t="shared" ca="1" si="233"/>
        <v/>
      </c>
      <c r="H222" s="291" t="str">
        <f t="shared" ca="1" si="233"/>
        <v/>
      </c>
      <c r="I222" s="291" t="str">
        <f t="shared" ca="1" si="233"/>
        <v/>
      </c>
      <c r="J222" s="291" t="str">
        <f t="shared" ca="1" si="233"/>
        <v/>
      </c>
      <c r="K222" s="56" t="str">
        <f t="shared" ca="1" si="233"/>
        <v/>
      </c>
      <c r="L222" s="296" t="str">
        <f ca="1">IF(W55&gt;0,L56,"")</f>
        <v/>
      </c>
      <c r="O222" s="32" t="str">
        <f t="shared" ref="O222:Q222" ca="1" si="234">C222</f>
        <v>0</v>
      </c>
      <c r="P222" s="33" t="str">
        <f t="shared" ca="1" si="234"/>
        <v>0</v>
      </c>
      <c r="Q222" s="56" t="str">
        <f t="shared" ca="1" si="234"/>
        <v>0</v>
      </c>
      <c r="R222" s="308" t="str">
        <f ca="1">IF(ISNUMBER(F222),DATEDIF($F219,F222,"D")/7,"")</f>
        <v/>
      </c>
      <c r="S222" s="309" t="str">
        <f t="shared" ref="S222:V222" ca="1" si="235">IF(ISNUMBER(G222),DATEDIF($E222,G222,"D")/7,"")</f>
        <v/>
      </c>
      <c r="T222" s="309" t="str">
        <f t="shared" ca="1" si="235"/>
        <v/>
      </c>
      <c r="U222" s="309" t="str">
        <f t="shared" ca="1" si="235"/>
        <v/>
      </c>
      <c r="V222" s="310" t="str">
        <f t="shared" ca="1" si="235"/>
        <v/>
      </c>
      <c r="W222" s="310" t="str">
        <f ca="1">IF(ISNUMBER(L222),DATEDIF($E222,L222,"D")/7,"")</f>
        <v/>
      </c>
      <c r="X222" s="36"/>
    </row>
    <row r="223" spans="3:24" ht="15.75" customHeight="1" x14ac:dyDescent="0.2">
      <c r="C223" s="44"/>
      <c r="D223" s="45"/>
      <c r="E223" s="46"/>
      <c r="F223" s="294"/>
      <c r="G223" s="294"/>
      <c r="H223" s="294"/>
      <c r="I223" s="294"/>
      <c r="J223" s="294"/>
      <c r="K223" s="46"/>
      <c r="L223" s="40"/>
      <c r="O223" s="44"/>
      <c r="P223" s="45"/>
      <c r="Q223" s="46"/>
      <c r="R223" s="302"/>
      <c r="S223" s="303"/>
      <c r="T223" s="303"/>
      <c r="U223" s="303"/>
      <c r="V223" s="304"/>
      <c r="W223" s="304"/>
      <c r="X223" s="40"/>
    </row>
    <row r="224" spans="3:24" ht="15.75" customHeight="1" x14ac:dyDescent="0.2">
      <c r="C224" s="44"/>
      <c r="D224" s="45"/>
      <c r="E224" s="46"/>
      <c r="F224" s="294"/>
      <c r="G224" s="294"/>
      <c r="H224" s="294"/>
      <c r="I224" s="294"/>
      <c r="J224" s="294"/>
      <c r="K224" s="46"/>
      <c r="L224" s="40"/>
      <c r="O224" s="44"/>
      <c r="P224" s="45"/>
      <c r="Q224" s="46"/>
      <c r="R224" s="305"/>
      <c r="S224" s="306"/>
      <c r="T224" s="306"/>
      <c r="U224" s="306"/>
      <c r="V224" s="307"/>
      <c r="W224" s="307"/>
      <c r="X224" s="40"/>
    </row>
    <row r="225" spans="3:24" ht="15.75" customHeight="1" x14ac:dyDescent="0.2">
      <c r="C225" s="32" t="str">
        <f t="shared" ref="C225:E225" ca="1" si="236">O58</f>
        <v>0</v>
      </c>
      <c r="D225" s="33" t="str">
        <f t="shared" ca="1" si="236"/>
        <v>0</v>
      </c>
      <c r="E225" s="56" t="str">
        <f t="shared" ca="1" si="236"/>
        <v>0</v>
      </c>
      <c r="F225" s="291" t="str">
        <f t="shared" ref="F225:K225" ca="1" si="237">IF(R58&gt;0,F59,"")</f>
        <v/>
      </c>
      <c r="G225" s="291" t="str">
        <f t="shared" ca="1" si="237"/>
        <v/>
      </c>
      <c r="H225" s="291" t="str">
        <f t="shared" ca="1" si="237"/>
        <v/>
      </c>
      <c r="I225" s="291" t="str">
        <f t="shared" ca="1" si="237"/>
        <v/>
      </c>
      <c r="J225" s="291" t="str">
        <f t="shared" ca="1" si="237"/>
        <v/>
      </c>
      <c r="K225" s="56" t="str">
        <f t="shared" ca="1" si="237"/>
        <v/>
      </c>
      <c r="L225" s="296" t="str">
        <f ca="1">IF(W58&gt;0,L59,"")</f>
        <v/>
      </c>
      <c r="O225" s="32" t="str">
        <f t="shared" ref="O225:Q225" ca="1" si="238">C225</f>
        <v>0</v>
      </c>
      <c r="P225" s="33" t="str">
        <f t="shared" ca="1" si="238"/>
        <v>0</v>
      </c>
      <c r="Q225" s="56" t="str">
        <f t="shared" ca="1" si="238"/>
        <v>0</v>
      </c>
      <c r="R225" s="308" t="str">
        <f ca="1">IF(ISNUMBER(F225),DATEDIF($F222,F225,"D")/7,"")</f>
        <v/>
      </c>
      <c r="S225" s="309" t="str">
        <f t="shared" ref="S225:V225" ca="1" si="239">IF(ISNUMBER(G225),DATEDIF($E225,G225,"D")/7,"")</f>
        <v/>
      </c>
      <c r="T225" s="309" t="str">
        <f t="shared" ca="1" si="239"/>
        <v/>
      </c>
      <c r="U225" s="309" t="str">
        <f t="shared" ca="1" si="239"/>
        <v/>
      </c>
      <c r="V225" s="310" t="str">
        <f t="shared" ca="1" si="239"/>
        <v/>
      </c>
      <c r="W225" s="310" t="str">
        <f ca="1">IF(ISNUMBER(L225),DATEDIF($E225,L225,"D")/7,"")</f>
        <v/>
      </c>
      <c r="X225" s="36"/>
    </row>
    <row r="226" spans="3:24" ht="15.75" customHeight="1" x14ac:dyDescent="0.2">
      <c r="C226" s="44"/>
      <c r="D226" s="45"/>
      <c r="E226" s="46"/>
      <c r="F226" s="294"/>
      <c r="G226" s="294"/>
      <c r="H226" s="294"/>
      <c r="I226" s="294"/>
      <c r="J226" s="294"/>
      <c r="K226" s="46"/>
      <c r="L226" s="40"/>
      <c r="O226" s="44"/>
      <c r="P226" s="45"/>
      <c r="Q226" s="46"/>
      <c r="R226" s="302"/>
      <c r="S226" s="303"/>
      <c r="T226" s="303"/>
      <c r="U226" s="303"/>
      <c r="V226" s="304"/>
      <c r="W226" s="304"/>
      <c r="X226" s="40"/>
    </row>
    <row r="227" spans="3:24" ht="15.75" customHeight="1" x14ac:dyDescent="0.2">
      <c r="C227" s="44"/>
      <c r="D227" s="45"/>
      <c r="E227" s="46"/>
      <c r="F227" s="294"/>
      <c r="G227" s="294"/>
      <c r="H227" s="294"/>
      <c r="I227" s="294"/>
      <c r="J227" s="294"/>
      <c r="K227" s="46"/>
      <c r="L227" s="40"/>
      <c r="O227" s="44"/>
      <c r="P227" s="45"/>
      <c r="Q227" s="46"/>
      <c r="R227" s="305"/>
      <c r="S227" s="306"/>
      <c r="T227" s="306"/>
      <c r="U227" s="306"/>
      <c r="V227" s="307"/>
      <c r="W227" s="307"/>
      <c r="X227" s="40"/>
    </row>
    <row r="228" spans="3:24" ht="15.75" customHeight="1" x14ac:dyDescent="0.2">
      <c r="C228" s="32" t="str">
        <f t="shared" ref="C228:E228" ca="1" si="240">O61</f>
        <v>0</v>
      </c>
      <c r="D228" s="33" t="str">
        <f t="shared" ca="1" si="240"/>
        <v>0</v>
      </c>
      <c r="E228" s="56" t="str">
        <f t="shared" ca="1" si="240"/>
        <v>0</v>
      </c>
      <c r="F228" s="291" t="str">
        <f t="shared" ref="F228:K228" ca="1" si="241">IF(R61&gt;0,F62,"")</f>
        <v/>
      </c>
      <c r="G228" s="291" t="str">
        <f t="shared" ca="1" si="241"/>
        <v/>
      </c>
      <c r="H228" s="291" t="str">
        <f t="shared" ca="1" si="241"/>
        <v/>
      </c>
      <c r="I228" s="291" t="str">
        <f t="shared" ca="1" si="241"/>
        <v/>
      </c>
      <c r="J228" s="291" t="str">
        <f t="shared" ca="1" si="241"/>
        <v/>
      </c>
      <c r="K228" s="56" t="str">
        <f t="shared" ca="1" si="241"/>
        <v/>
      </c>
      <c r="L228" s="296" t="str">
        <f ca="1">IF(W61&gt;0,L62,"")</f>
        <v/>
      </c>
      <c r="O228" s="32" t="str">
        <f t="shared" ref="O228:Q228" ca="1" si="242">C228</f>
        <v>0</v>
      </c>
      <c r="P228" s="33" t="str">
        <f t="shared" ca="1" si="242"/>
        <v>0</v>
      </c>
      <c r="Q228" s="56" t="str">
        <f t="shared" ca="1" si="242"/>
        <v>0</v>
      </c>
      <c r="R228" s="308" t="str">
        <f ca="1">IF(ISNUMBER(F228),DATEDIF($F225,F228,"D")/7,"")</f>
        <v/>
      </c>
      <c r="S228" s="309" t="str">
        <f t="shared" ref="S228:V228" ca="1" si="243">IF(ISNUMBER(G228),DATEDIF($E228,G228,"D")/7,"")</f>
        <v/>
      </c>
      <c r="T228" s="309" t="str">
        <f t="shared" ca="1" si="243"/>
        <v/>
      </c>
      <c r="U228" s="309" t="str">
        <f t="shared" ca="1" si="243"/>
        <v/>
      </c>
      <c r="V228" s="310" t="str">
        <f t="shared" ca="1" si="243"/>
        <v/>
      </c>
      <c r="W228" s="310" t="str">
        <f ca="1">IF(ISNUMBER(L228),DATEDIF($E228,L228,"D")/7,"")</f>
        <v/>
      </c>
      <c r="X228" s="36"/>
    </row>
    <row r="229" spans="3:24" ht="15.75" customHeight="1" x14ac:dyDescent="0.2">
      <c r="C229" s="44"/>
      <c r="D229" s="45"/>
      <c r="E229" s="46"/>
      <c r="F229" s="294"/>
      <c r="G229" s="294"/>
      <c r="H229" s="294"/>
      <c r="I229" s="294"/>
      <c r="J229" s="294"/>
      <c r="K229" s="46"/>
      <c r="L229" s="40"/>
      <c r="O229" s="44"/>
      <c r="P229" s="45"/>
      <c r="Q229" s="46"/>
      <c r="R229" s="294"/>
      <c r="S229" s="294"/>
      <c r="T229" s="294"/>
      <c r="U229" s="294"/>
      <c r="V229" s="295"/>
      <c r="W229" s="295"/>
      <c r="X229" s="40"/>
    </row>
    <row r="230" spans="3:24" ht="15.75" customHeight="1" x14ac:dyDescent="0.2">
      <c r="C230" s="44"/>
      <c r="D230" s="45"/>
      <c r="E230" s="46"/>
      <c r="F230" s="294"/>
      <c r="G230" s="294"/>
      <c r="H230" s="294"/>
      <c r="I230" s="294"/>
      <c r="J230" s="294"/>
      <c r="K230" s="46"/>
      <c r="L230" s="40"/>
      <c r="O230" s="44"/>
      <c r="P230" s="45"/>
      <c r="Q230" s="46"/>
      <c r="R230" s="294"/>
      <c r="S230" s="294"/>
      <c r="T230" s="294"/>
      <c r="U230" s="294"/>
      <c r="V230" s="295"/>
      <c r="W230" s="295"/>
      <c r="X230" s="40"/>
    </row>
    <row r="231" spans="3:24" ht="15.75" customHeight="1" x14ac:dyDescent="0.2">
      <c r="C231" s="32" t="str">
        <f t="shared" ref="C231:E231" ca="1" si="244">O64</f>
        <v>0</v>
      </c>
      <c r="D231" s="33" t="str">
        <f t="shared" ca="1" si="244"/>
        <v>0</v>
      </c>
      <c r="E231" s="56" t="str">
        <f t="shared" ca="1" si="244"/>
        <v>0</v>
      </c>
      <c r="F231" s="291" t="str">
        <f t="shared" ref="F231:K231" ca="1" si="245">IF(R64&gt;0,F65,"")</f>
        <v/>
      </c>
      <c r="G231" s="291" t="str">
        <f t="shared" ca="1" si="245"/>
        <v/>
      </c>
      <c r="H231" s="291" t="str">
        <f t="shared" ca="1" si="245"/>
        <v/>
      </c>
      <c r="I231" s="291" t="str">
        <f t="shared" ca="1" si="245"/>
        <v/>
      </c>
      <c r="J231" s="291" t="str">
        <f t="shared" ca="1" si="245"/>
        <v/>
      </c>
      <c r="K231" s="56" t="str">
        <f t="shared" ca="1" si="245"/>
        <v/>
      </c>
      <c r="L231" s="296" t="str">
        <f ca="1">IF(W64&gt;0,L65,"")</f>
        <v/>
      </c>
      <c r="O231" s="32" t="str">
        <f t="shared" ref="O231:Q231" ca="1" si="246">C231</f>
        <v>0</v>
      </c>
      <c r="P231" s="33" t="str">
        <f t="shared" ca="1" si="246"/>
        <v>0</v>
      </c>
      <c r="Q231" s="56" t="str">
        <f t="shared" ca="1" si="246"/>
        <v>0</v>
      </c>
      <c r="R231" s="299" t="str">
        <f ca="1">IF(ISNUMBER(F231),DATEDIF($F228,F231,"D")/7,"")</f>
        <v/>
      </c>
      <c r="S231" s="300" t="str">
        <f t="shared" ref="S231:V231" ca="1" si="247">IF(ISNUMBER(G231),DATEDIF($E231,G231,"D")/7,"")</f>
        <v/>
      </c>
      <c r="T231" s="300" t="str">
        <f t="shared" ca="1" si="247"/>
        <v/>
      </c>
      <c r="U231" s="300" t="str">
        <f t="shared" ca="1" si="247"/>
        <v/>
      </c>
      <c r="V231" s="301" t="str">
        <f t="shared" ca="1" si="247"/>
        <v/>
      </c>
      <c r="W231" s="301" t="str">
        <f ca="1">IF(ISNUMBER(L231),DATEDIF($E231,L231,"D")/7,"")</f>
        <v/>
      </c>
      <c r="X231" s="36"/>
    </row>
    <row r="232" spans="3:24" ht="15.75" customHeight="1" x14ac:dyDescent="0.2">
      <c r="C232" s="44"/>
      <c r="D232" s="45"/>
      <c r="E232" s="46"/>
      <c r="F232" s="294"/>
      <c r="G232" s="294"/>
      <c r="H232" s="294"/>
      <c r="I232" s="294"/>
      <c r="J232" s="294"/>
      <c r="K232" s="46"/>
      <c r="L232" s="40"/>
      <c r="O232" s="44"/>
      <c r="P232" s="45"/>
      <c r="Q232" s="46"/>
      <c r="R232" s="302"/>
      <c r="S232" s="303"/>
      <c r="T232" s="303"/>
      <c r="U232" s="303"/>
      <c r="V232" s="304"/>
      <c r="W232" s="304"/>
      <c r="X232" s="40"/>
    </row>
    <row r="233" spans="3:24" ht="15.75" customHeight="1" x14ac:dyDescent="0.2">
      <c r="C233" s="44"/>
      <c r="D233" s="45"/>
      <c r="E233" s="46"/>
      <c r="F233" s="294"/>
      <c r="G233" s="294"/>
      <c r="H233" s="294"/>
      <c r="I233" s="294"/>
      <c r="J233" s="294"/>
      <c r="K233" s="46"/>
      <c r="L233" s="40"/>
      <c r="O233" s="44"/>
      <c r="P233" s="45"/>
      <c r="Q233" s="46"/>
      <c r="R233" s="305"/>
      <c r="S233" s="306"/>
      <c r="T233" s="306"/>
      <c r="U233" s="306"/>
      <c r="V233" s="307"/>
      <c r="W233" s="307"/>
      <c r="X233" s="40"/>
    </row>
    <row r="234" spans="3:24" ht="15.75" customHeight="1" x14ac:dyDescent="0.2">
      <c r="C234" s="32" t="str">
        <f t="shared" ref="C234:E234" ca="1" si="248">O67</f>
        <v>0</v>
      </c>
      <c r="D234" s="33" t="str">
        <f t="shared" ca="1" si="248"/>
        <v>0</v>
      </c>
      <c r="E234" s="56" t="str">
        <f t="shared" ca="1" si="248"/>
        <v>0</v>
      </c>
      <c r="F234" s="291" t="str">
        <f t="shared" ref="F234:K234" ca="1" si="249">IF(R67&gt;0,F68,"")</f>
        <v/>
      </c>
      <c r="G234" s="291" t="str">
        <f t="shared" ca="1" si="249"/>
        <v/>
      </c>
      <c r="H234" s="291" t="str">
        <f t="shared" ca="1" si="249"/>
        <v/>
      </c>
      <c r="I234" s="291" t="str">
        <f t="shared" ca="1" si="249"/>
        <v/>
      </c>
      <c r="J234" s="291" t="str">
        <f t="shared" ca="1" si="249"/>
        <v/>
      </c>
      <c r="K234" s="56" t="str">
        <f t="shared" ca="1" si="249"/>
        <v/>
      </c>
      <c r="L234" s="296" t="str">
        <f ca="1">IF(W67&gt;0,L68,"")</f>
        <v/>
      </c>
      <c r="O234" s="32" t="str">
        <f t="shared" ref="O234:Q234" ca="1" si="250">C234</f>
        <v>0</v>
      </c>
      <c r="P234" s="33" t="str">
        <f t="shared" ca="1" si="250"/>
        <v>0</v>
      </c>
      <c r="Q234" s="56" t="str">
        <f t="shared" ca="1" si="250"/>
        <v>0</v>
      </c>
      <c r="R234" s="308" t="str">
        <f ca="1">IF(ISNUMBER(F234),DATEDIF($F231,F234,"D")/7,"")</f>
        <v/>
      </c>
      <c r="S234" s="309" t="str">
        <f t="shared" ref="S234:V234" ca="1" si="251">IF(ISNUMBER(G234),DATEDIF($E234,G234,"D")/7,"")</f>
        <v/>
      </c>
      <c r="T234" s="309" t="str">
        <f t="shared" ca="1" si="251"/>
        <v/>
      </c>
      <c r="U234" s="309" t="str">
        <f t="shared" ca="1" si="251"/>
        <v/>
      </c>
      <c r="V234" s="310" t="str">
        <f t="shared" ca="1" si="251"/>
        <v/>
      </c>
      <c r="W234" s="310" t="str">
        <f ca="1">IF(ISNUMBER(L234),DATEDIF($E234,L234,"D")/7,"")</f>
        <v/>
      </c>
      <c r="X234" s="36"/>
    </row>
    <row r="235" spans="3:24" ht="15.75" customHeight="1" x14ac:dyDescent="0.2">
      <c r="C235" s="44"/>
      <c r="D235" s="45"/>
      <c r="E235" s="46"/>
      <c r="F235" s="294"/>
      <c r="G235" s="294"/>
      <c r="H235" s="294"/>
      <c r="I235" s="294"/>
      <c r="J235" s="294"/>
      <c r="K235" s="46"/>
      <c r="L235" s="40"/>
      <c r="O235" s="44"/>
      <c r="P235" s="45"/>
      <c r="Q235" s="46"/>
      <c r="R235" s="302"/>
      <c r="S235" s="303"/>
      <c r="T235" s="303"/>
      <c r="U235" s="303"/>
      <c r="V235" s="304"/>
      <c r="W235" s="304"/>
      <c r="X235" s="40"/>
    </row>
    <row r="236" spans="3:24" ht="15.75" customHeight="1" x14ac:dyDescent="0.2">
      <c r="C236" s="44"/>
      <c r="D236" s="45"/>
      <c r="E236" s="46"/>
      <c r="F236" s="294"/>
      <c r="G236" s="294"/>
      <c r="H236" s="294"/>
      <c r="I236" s="294"/>
      <c r="J236" s="294"/>
      <c r="K236" s="46"/>
      <c r="L236" s="40"/>
      <c r="O236" s="44"/>
      <c r="P236" s="45"/>
      <c r="Q236" s="46"/>
      <c r="R236" s="305"/>
      <c r="S236" s="306"/>
      <c r="T236" s="306"/>
      <c r="U236" s="306"/>
      <c r="V236" s="307"/>
      <c r="W236" s="307"/>
      <c r="X236" s="40"/>
    </row>
    <row r="237" spans="3:24" ht="15.75" customHeight="1" x14ac:dyDescent="0.2">
      <c r="C237" s="32" t="str">
        <f t="shared" ref="C237:E237" ca="1" si="252">O70</f>
        <v>0</v>
      </c>
      <c r="D237" s="33" t="str">
        <f t="shared" ca="1" si="252"/>
        <v>0</v>
      </c>
      <c r="E237" s="56" t="str">
        <f t="shared" ca="1" si="252"/>
        <v>0</v>
      </c>
      <c r="F237" s="291" t="str">
        <f t="shared" ref="F237:K237" ca="1" si="253">IF(R70&gt;0,F71,"")</f>
        <v/>
      </c>
      <c r="G237" s="291" t="str">
        <f t="shared" ca="1" si="253"/>
        <v/>
      </c>
      <c r="H237" s="291" t="str">
        <f t="shared" ca="1" si="253"/>
        <v/>
      </c>
      <c r="I237" s="291" t="str">
        <f t="shared" ca="1" si="253"/>
        <v/>
      </c>
      <c r="J237" s="291" t="str">
        <f t="shared" ca="1" si="253"/>
        <v/>
      </c>
      <c r="K237" s="56" t="str">
        <f t="shared" ca="1" si="253"/>
        <v/>
      </c>
      <c r="L237" s="296" t="str">
        <f ca="1">IF(W70&gt;0,L71,"")</f>
        <v/>
      </c>
      <c r="O237" s="32" t="str">
        <f t="shared" ref="O237:Q237" ca="1" si="254">C237</f>
        <v>0</v>
      </c>
      <c r="P237" s="33" t="str">
        <f t="shared" ca="1" si="254"/>
        <v>0</v>
      </c>
      <c r="Q237" s="56" t="str">
        <f t="shared" ca="1" si="254"/>
        <v>0</v>
      </c>
      <c r="R237" s="308" t="str">
        <f ca="1">IF(ISNUMBER(F237),DATEDIF($F234,F237,"D")/7,"")</f>
        <v/>
      </c>
      <c r="S237" s="309" t="str">
        <f t="shared" ref="S237:V237" ca="1" si="255">IF(ISNUMBER(G237),DATEDIF($E237,G237,"D")/7,"")</f>
        <v/>
      </c>
      <c r="T237" s="309" t="str">
        <f t="shared" ca="1" si="255"/>
        <v/>
      </c>
      <c r="U237" s="309" t="str">
        <f t="shared" ca="1" si="255"/>
        <v/>
      </c>
      <c r="V237" s="310" t="str">
        <f t="shared" ca="1" si="255"/>
        <v/>
      </c>
      <c r="W237" s="310" t="str">
        <f ca="1">IF(ISNUMBER(L237),DATEDIF($E237,L237,"D")/7,"")</f>
        <v/>
      </c>
      <c r="X237" s="36"/>
    </row>
    <row r="238" spans="3:24" ht="15.75" customHeight="1" x14ac:dyDescent="0.2">
      <c r="C238" s="44"/>
      <c r="D238" s="45"/>
      <c r="E238" s="46"/>
      <c r="F238" s="294"/>
      <c r="G238" s="294"/>
      <c r="H238" s="294"/>
      <c r="I238" s="294"/>
      <c r="J238" s="294"/>
      <c r="K238" s="46"/>
      <c r="L238" s="40"/>
      <c r="O238" s="44"/>
      <c r="P238" s="45"/>
      <c r="Q238" s="46"/>
      <c r="R238" s="302"/>
      <c r="S238" s="303"/>
      <c r="T238" s="303"/>
      <c r="U238" s="303"/>
      <c r="V238" s="304"/>
      <c r="W238" s="304"/>
      <c r="X238" s="40"/>
    </row>
    <row r="239" spans="3:24" ht="15.75" customHeight="1" x14ac:dyDescent="0.2">
      <c r="C239" s="44"/>
      <c r="D239" s="45"/>
      <c r="E239" s="46"/>
      <c r="F239" s="294"/>
      <c r="G239" s="294"/>
      <c r="H239" s="294"/>
      <c r="I239" s="294"/>
      <c r="J239" s="294"/>
      <c r="K239" s="46"/>
      <c r="L239" s="40"/>
      <c r="O239" s="44"/>
      <c r="P239" s="45"/>
      <c r="Q239" s="46"/>
      <c r="R239" s="305"/>
      <c r="S239" s="306"/>
      <c r="T239" s="306"/>
      <c r="U239" s="306"/>
      <c r="V239" s="307"/>
      <c r="W239" s="307"/>
      <c r="X239" s="40"/>
    </row>
    <row r="240" spans="3:24" ht="15.75" customHeight="1" x14ac:dyDescent="0.2">
      <c r="C240" s="32" t="str">
        <f t="shared" ref="C240:E240" ca="1" si="256">O73</f>
        <v>0</v>
      </c>
      <c r="D240" s="33" t="str">
        <f t="shared" ca="1" si="256"/>
        <v>0</v>
      </c>
      <c r="E240" s="56" t="str">
        <f t="shared" ca="1" si="256"/>
        <v>0</v>
      </c>
      <c r="F240" s="291" t="str">
        <f t="shared" ref="F240:K240" ca="1" si="257">IF(R73&gt;0,F74,"")</f>
        <v/>
      </c>
      <c r="G240" s="291" t="str">
        <f t="shared" ca="1" si="257"/>
        <v/>
      </c>
      <c r="H240" s="291" t="str">
        <f t="shared" ca="1" si="257"/>
        <v/>
      </c>
      <c r="I240" s="291" t="str">
        <f t="shared" ca="1" si="257"/>
        <v/>
      </c>
      <c r="J240" s="291" t="str">
        <f t="shared" ca="1" si="257"/>
        <v/>
      </c>
      <c r="K240" s="56" t="str">
        <f t="shared" ca="1" si="257"/>
        <v/>
      </c>
      <c r="L240" s="296" t="str">
        <f ca="1">IF(W73&gt;0,L74,"")</f>
        <v/>
      </c>
      <c r="O240" s="32" t="str">
        <f t="shared" ref="O240:Q240" ca="1" si="258">C240</f>
        <v>0</v>
      </c>
      <c r="P240" s="33" t="str">
        <f t="shared" ca="1" si="258"/>
        <v>0</v>
      </c>
      <c r="Q240" s="56" t="str">
        <f t="shared" ca="1" si="258"/>
        <v>0</v>
      </c>
      <c r="R240" s="308" t="str">
        <f ca="1">IF(ISNUMBER(F240),DATEDIF($F237,F240,"D")/7,"")</f>
        <v/>
      </c>
      <c r="S240" s="309" t="str">
        <f t="shared" ref="S240:V240" ca="1" si="259">IF(ISNUMBER(G240),DATEDIF($E240,G240,"D")/7,"")</f>
        <v/>
      </c>
      <c r="T240" s="309" t="str">
        <f t="shared" ca="1" si="259"/>
        <v/>
      </c>
      <c r="U240" s="309" t="str">
        <f t="shared" ca="1" si="259"/>
        <v/>
      </c>
      <c r="V240" s="310" t="str">
        <f t="shared" ca="1" si="259"/>
        <v/>
      </c>
      <c r="W240" s="310" t="str">
        <f ca="1">IF(ISNUMBER(L240),DATEDIF($E240,L240,"D")/7,"")</f>
        <v/>
      </c>
      <c r="X240" s="36"/>
    </row>
    <row r="241" spans="3:24" ht="15.75" customHeight="1" x14ac:dyDescent="0.2">
      <c r="C241" s="44"/>
      <c r="D241" s="45"/>
      <c r="E241" s="46"/>
      <c r="F241" s="294"/>
      <c r="G241" s="294"/>
      <c r="H241" s="294"/>
      <c r="I241" s="294"/>
      <c r="J241" s="294"/>
      <c r="K241" s="46"/>
      <c r="L241" s="40"/>
      <c r="O241" s="44"/>
      <c r="P241" s="45"/>
      <c r="Q241" s="46"/>
      <c r="R241" s="294"/>
      <c r="S241" s="294"/>
      <c r="T241" s="294"/>
      <c r="U241" s="294"/>
      <c r="V241" s="295"/>
      <c r="W241" s="295"/>
      <c r="X241" s="40"/>
    </row>
    <row r="242" spans="3:24" ht="15.75" customHeight="1" x14ac:dyDescent="0.2">
      <c r="C242" s="44"/>
      <c r="D242" s="45"/>
      <c r="E242" s="46"/>
      <c r="F242" s="294"/>
      <c r="G242" s="294"/>
      <c r="H242" s="294"/>
      <c r="I242" s="294"/>
      <c r="J242" s="294"/>
      <c r="K242" s="46"/>
      <c r="L242" s="40"/>
      <c r="O242" s="44"/>
      <c r="P242" s="45"/>
      <c r="Q242" s="46"/>
      <c r="R242" s="294"/>
      <c r="S242" s="294"/>
      <c r="T242" s="294"/>
      <c r="U242" s="294"/>
      <c r="V242" s="295"/>
      <c r="W242" s="295"/>
      <c r="X242" s="40"/>
    </row>
    <row r="243" spans="3:24" ht="15.75" customHeight="1" x14ac:dyDescent="0.2">
      <c r="C243" s="32" t="str">
        <f t="shared" ref="C243:E243" ca="1" si="260">O76</f>
        <v>0</v>
      </c>
      <c r="D243" s="33" t="str">
        <f t="shared" ca="1" si="260"/>
        <v>0</v>
      </c>
      <c r="E243" s="56" t="str">
        <f t="shared" ca="1" si="260"/>
        <v>0</v>
      </c>
      <c r="F243" s="291" t="str">
        <f t="shared" ref="F243:K243" ca="1" si="261">IF(R76&gt;0,F77,"")</f>
        <v/>
      </c>
      <c r="G243" s="291" t="str">
        <f t="shared" ca="1" si="261"/>
        <v/>
      </c>
      <c r="H243" s="291" t="str">
        <f t="shared" ca="1" si="261"/>
        <v/>
      </c>
      <c r="I243" s="291" t="str">
        <f t="shared" ca="1" si="261"/>
        <v/>
      </c>
      <c r="J243" s="291" t="str">
        <f t="shared" ca="1" si="261"/>
        <v/>
      </c>
      <c r="K243" s="56" t="str">
        <f t="shared" ca="1" si="261"/>
        <v/>
      </c>
      <c r="L243" s="296" t="str">
        <f ca="1">IF(W76&gt;0,L77,"")</f>
        <v/>
      </c>
      <c r="O243" s="32" t="str">
        <f t="shared" ref="O243:Q243" ca="1" si="262">C243</f>
        <v>0</v>
      </c>
      <c r="P243" s="33" t="str">
        <f t="shared" ca="1" si="262"/>
        <v>0</v>
      </c>
      <c r="Q243" s="56" t="str">
        <f t="shared" ca="1" si="262"/>
        <v>0</v>
      </c>
      <c r="R243" s="299" t="str">
        <f ca="1">IF(ISNUMBER(F243),DATEDIF($F240,F243,"D")/7,"")</f>
        <v/>
      </c>
      <c r="S243" s="300" t="str">
        <f t="shared" ref="S243:V243" ca="1" si="263">IF(ISNUMBER(G243),DATEDIF($E243,G243,"D")/7,"")</f>
        <v/>
      </c>
      <c r="T243" s="300" t="str">
        <f t="shared" ca="1" si="263"/>
        <v/>
      </c>
      <c r="U243" s="300" t="str">
        <f t="shared" ca="1" si="263"/>
        <v/>
      </c>
      <c r="V243" s="301" t="str">
        <f t="shared" ca="1" si="263"/>
        <v/>
      </c>
      <c r="W243" s="301" t="str">
        <f ca="1">IF(ISNUMBER(L243),DATEDIF($E243,L243,"D")/7,"")</f>
        <v/>
      </c>
      <c r="X243" s="36"/>
    </row>
    <row r="244" spans="3:24" ht="15.75" customHeight="1" x14ac:dyDescent="0.2">
      <c r="C244" s="44"/>
      <c r="D244" s="45"/>
      <c r="E244" s="46"/>
      <c r="F244" s="294"/>
      <c r="G244" s="294"/>
      <c r="H244" s="294"/>
      <c r="I244" s="294"/>
      <c r="J244" s="294"/>
      <c r="K244" s="46"/>
      <c r="L244" s="40"/>
      <c r="O244" s="44"/>
      <c r="P244" s="45"/>
      <c r="Q244" s="46"/>
      <c r="R244" s="302"/>
      <c r="S244" s="303"/>
      <c r="T244" s="303"/>
      <c r="U244" s="303"/>
      <c r="V244" s="304"/>
      <c r="W244" s="304"/>
      <c r="X244" s="40"/>
    </row>
    <row r="245" spans="3:24" ht="15.75" customHeight="1" x14ac:dyDescent="0.2">
      <c r="C245" s="44"/>
      <c r="D245" s="45"/>
      <c r="E245" s="46"/>
      <c r="F245" s="294"/>
      <c r="G245" s="294"/>
      <c r="H245" s="294"/>
      <c r="I245" s="294"/>
      <c r="J245" s="294"/>
      <c r="K245" s="46"/>
      <c r="L245" s="40"/>
      <c r="O245" s="44"/>
      <c r="P245" s="45"/>
      <c r="Q245" s="46"/>
      <c r="R245" s="305"/>
      <c r="S245" s="306"/>
      <c r="T245" s="306"/>
      <c r="U245" s="306"/>
      <c r="V245" s="307"/>
      <c r="W245" s="307"/>
      <c r="X245" s="40"/>
    </row>
    <row r="246" spans="3:24" ht="15.75" customHeight="1" x14ac:dyDescent="0.2">
      <c r="C246" s="32" t="str">
        <f t="shared" ref="C246:E246" ca="1" si="264">O79</f>
        <v>0</v>
      </c>
      <c r="D246" s="33" t="str">
        <f t="shared" ca="1" si="264"/>
        <v>0</v>
      </c>
      <c r="E246" s="56" t="str">
        <f t="shared" ca="1" si="264"/>
        <v>0</v>
      </c>
      <c r="F246" s="291" t="str">
        <f t="shared" ref="F246:K246" ca="1" si="265">IF(R79&gt;0,F80,"")</f>
        <v/>
      </c>
      <c r="G246" s="291" t="str">
        <f t="shared" ca="1" si="265"/>
        <v/>
      </c>
      <c r="H246" s="291" t="str">
        <f t="shared" ca="1" si="265"/>
        <v/>
      </c>
      <c r="I246" s="291" t="str">
        <f t="shared" ca="1" si="265"/>
        <v/>
      </c>
      <c r="J246" s="291" t="str">
        <f t="shared" ca="1" si="265"/>
        <v/>
      </c>
      <c r="K246" s="56" t="str">
        <f t="shared" ca="1" si="265"/>
        <v/>
      </c>
      <c r="L246" s="296" t="str">
        <f ca="1">IF(W79&gt;0,L80,"")</f>
        <v/>
      </c>
      <c r="O246" s="32" t="str">
        <f t="shared" ref="O246:Q246" ca="1" si="266">C246</f>
        <v>0</v>
      </c>
      <c r="P246" s="33" t="str">
        <f t="shared" ca="1" si="266"/>
        <v>0</v>
      </c>
      <c r="Q246" s="56" t="str">
        <f t="shared" ca="1" si="266"/>
        <v>0</v>
      </c>
      <c r="R246" s="308" t="str">
        <f ca="1">IF(ISNUMBER(F246),DATEDIF($F243,F246,"D")/7,"")</f>
        <v/>
      </c>
      <c r="S246" s="309" t="str">
        <f t="shared" ref="S246:V246" ca="1" si="267">IF(ISNUMBER(G246),DATEDIF($E246,G246,"D")/7,"")</f>
        <v/>
      </c>
      <c r="T246" s="309" t="str">
        <f t="shared" ca="1" si="267"/>
        <v/>
      </c>
      <c r="U246" s="309" t="str">
        <f t="shared" ca="1" si="267"/>
        <v/>
      </c>
      <c r="V246" s="310" t="str">
        <f t="shared" ca="1" si="267"/>
        <v/>
      </c>
      <c r="W246" s="310" t="str">
        <f ca="1">IF(ISNUMBER(L246),DATEDIF($E246,L246,"D")/7,"")</f>
        <v/>
      </c>
      <c r="X246" s="36"/>
    </row>
    <row r="247" spans="3:24" ht="15.75" customHeight="1" x14ac:dyDescent="0.2">
      <c r="C247" s="44"/>
      <c r="D247" s="45"/>
      <c r="E247" s="46"/>
      <c r="F247" s="294"/>
      <c r="G247" s="294"/>
      <c r="H247" s="294"/>
      <c r="I247" s="294"/>
      <c r="J247" s="294"/>
      <c r="K247" s="46"/>
      <c r="L247" s="40"/>
      <c r="O247" s="44"/>
      <c r="P247" s="45"/>
      <c r="Q247" s="46"/>
      <c r="R247" s="302"/>
      <c r="S247" s="303"/>
      <c r="T247" s="303"/>
      <c r="U247" s="303"/>
      <c r="V247" s="304"/>
      <c r="W247" s="304"/>
      <c r="X247" s="40"/>
    </row>
    <row r="248" spans="3:24" ht="15.75" customHeight="1" x14ac:dyDescent="0.2">
      <c r="C248" s="44"/>
      <c r="D248" s="45"/>
      <c r="E248" s="46"/>
      <c r="F248" s="294"/>
      <c r="G248" s="294"/>
      <c r="H248" s="294"/>
      <c r="I248" s="294"/>
      <c r="J248" s="294"/>
      <c r="K248" s="46"/>
      <c r="L248" s="40"/>
      <c r="O248" s="44"/>
      <c r="P248" s="45"/>
      <c r="Q248" s="46"/>
      <c r="R248" s="305"/>
      <c r="S248" s="306"/>
      <c r="T248" s="306"/>
      <c r="U248" s="306"/>
      <c r="V248" s="307"/>
      <c r="W248" s="307"/>
      <c r="X248" s="40"/>
    </row>
    <row r="249" spans="3:24" ht="15.75" customHeight="1" x14ac:dyDescent="0.2">
      <c r="C249" s="32" t="str">
        <f t="shared" ref="C249:E249" ca="1" si="268">O82</f>
        <v>0</v>
      </c>
      <c r="D249" s="33" t="str">
        <f t="shared" ca="1" si="268"/>
        <v>0</v>
      </c>
      <c r="E249" s="56" t="str">
        <f t="shared" ca="1" si="268"/>
        <v>0</v>
      </c>
      <c r="F249" s="291" t="str">
        <f t="shared" ref="F249:K249" ca="1" si="269">IF(R82&gt;0,F83,"")</f>
        <v/>
      </c>
      <c r="G249" s="291" t="str">
        <f t="shared" ca="1" si="269"/>
        <v/>
      </c>
      <c r="H249" s="291" t="str">
        <f t="shared" ca="1" si="269"/>
        <v/>
      </c>
      <c r="I249" s="291" t="str">
        <f t="shared" ca="1" si="269"/>
        <v/>
      </c>
      <c r="J249" s="291" t="str">
        <f t="shared" ca="1" si="269"/>
        <v/>
      </c>
      <c r="K249" s="56" t="str">
        <f t="shared" ca="1" si="269"/>
        <v/>
      </c>
      <c r="L249" s="296" t="str">
        <f ca="1">IF(W82&gt;0,L83,"")</f>
        <v/>
      </c>
      <c r="O249" s="32" t="str">
        <f t="shared" ref="O249:Q249" ca="1" si="270">C249</f>
        <v>0</v>
      </c>
      <c r="P249" s="33" t="str">
        <f t="shared" ca="1" si="270"/>
        <v>0</v>
      </c>
      <c r="Q249" s="56" t="str">
        <f t="shared" ca="1" si="270"/>
        <v>0</v>
      </c>
      <c r="R249" s="308" t="str">
        <f ca="1">IF(ISNUMBER(F249),DATEDIF($F246,F249,"D")/7,"")</f>
        <v/>
      </c>
      <c r="S249" s="309" t="str">
        <f t="shared" ref="S249:V249" ca="1" si="271">IF(ISNUMBER(G249),DATEDIF($E249,G249,"D")/7,"")</f>
        <v/>
      </c>
      <c r="T249" s="309" t="str">
        <f t="shared" ca="1" si="271"/>
        <v/>
      </c>
      <c r="U249" s="309" t="str">
        <f t="shared" ca="1" si="271"/>
        <v/>
      </c>
      <c r="V249" s="310" t="str">
        <f t="shared" ca="1" si="271"/>
        <v/>
      </c>
      <c r="W249" s="310" t="str">
        <f ca="1">IF(ISNUMBER(L249),DATEDIF($E249,L249,"D")/7,"")</f>
        <v/>
      </c>
      <c r="X249" s="36"/>
    </row>
    <row r="250" spans="3:24" ht="15.75" customHeight="1" x14ac:dyDescent="0.2">
      <c r="C250" s="44"/>
      <c r="D250" s="45"/>
      <c r="E250" s="46"/>
      <c r="F250" s="294"/>
      <c r="G250" s="294"/>
      <c r="H250" s="294"/>
      <c r="I250" s="294"/>
      <c r="J250" s="294"/>
      <c r="K250" s="46"/>
      <c r="L250" s="40"/>
      <c r="O250" s="44"/>
      <c r="P250" s="45"/>
      <c r="Q250" s="46"/>
      <c r="R250" s="302"/>
      <c r="S250" s="303"/>
      <c r="T250" s="303"/>
      <c r="U250" s="303"/>
      <c r="V250" s="304"/>
      <c r="W250" s="304"/>
      <c r="X250" s="40"/>
    </row>
    <row r="251" spans="3:24" ht="15.75" customHeight="1" x14ac:dyDescent="0.2">
      <c r="C251" s="44"/>
      <c r="D251" s="45"/>
      <c r="E251" s="46"/>
      <c r="F251" s="294"/>
      <c r="G251" s="294"/>
      <c r="H251" s="294"/>
      <c r="I251" s="294"/>
      <c r="J251" s="294"/>
      <c r="K251" s="46"/>
      <c r="L251" s="40"/>
      <c r="O251" s="44"/>
      <c r="P251" s="45"/>
      <c r="Q251" s="46"/>
      <c r="R251" s="305"/>
      <c r="S251" s="306"/>
      <c r="T251" s="306"/>
      <c r="U251" s="306"/>
      <c r="V251" s="307"/>
      <c r="W251" s="307"/>
      <c r="X251" s="40"/>
    </row>
    <row r="252" spans="3:24" ht="15.75" customHeight="1" x14ac:dyDescent="0.2">
      <c r="C252" s="32" t="str">
        <f t="shared" ref="C252:E252" ca="1" si="272">O85</f>
        <v>0</v>
      </c>
      <c r="D252" s="33" t="str">
        <f t="shared" ca="1" si="272"/>
        <v>0</v>
      </c>
      <c r="E252" s="56" t="str">
        <f t="shared" ca="1" si="272"/>
        <v>0</v>
      </c>
      <c r="F252" s="291" t="str">
        <f t="shared" ref="F252:K252" ca="1" si="273">IF(R85&gt;0,F86,"")</f>
        <v/>
      </c>
      <c r="G252" s="291" t="str">
        <f t="shared" ca="1" si="273"/>
        <v/>
      </c>
      <c r="H252" s="291" t="str">
        <f t="shared" ca="1" si="273"/>
        <v/>
      </c>
      <c r="I252" s="291" t="str">
        <f t="shared" ca="1" si="273"/>
        <v/>
      </c>
      <c r="J252" s="291" t="str">
        <f t="shared" ca="1" si="273"/>
        <v/>
      </c>
      <c r="K252" s="56" t="str">
        <f t="shared" ca="1" si="273"/>
        <v/>
      </c>
      <c r="L252" s="296" t="str">
        <f ca="1">IF(W85&gt;0,L86,"")</f>
        <v/>
      </c>
      <c r="O252" s="32" t="str">
        <f t="shared" ref="O252:Q252" ca="1" si="274">C252</f>
        <v>0</v>
      </c>
      <c r="P252" s="33" t="str">
        <f t="shared" ca="1" si="274"/>
        <v>0</v>
      </c>
      <c r="Q252" s="56" t="str">
        <f t="shared" ca="1" si="274"/>
        <v>0</v>
      </c>
      <c r="R252" s="308" t="str">
        <f ca="1">IF(ISNUMBER(F252),DATEDIF($F249,F252,"D")/7,"")</f>
        <v/>
      </c>
      <c r="S252" s="309" t="str">
        <f t="shared" ref="S252:V252" ca="1" si="275">IF(ISNUMBER(G252),DATEDIF($E252,G252,"D")/7,"")</f>
        <v/>
      </c>
      <c r="T252" s="309" t="str">
        <f t="shared" ca="1" si="275"/>
        <v/>
      </c>
      <c r="U252" s="309" t="str">
        <f t="shared" ca="1" si="275"/>
        <v/>
      </c>
      <c r="V252" s="310" t="str">
        <f t="shared" ca="1" si="275"/>
        <v/>
      </c>
      <c r="W252" s="310" t="str">
        <f ca="1">IF(ISNUMBER(L252),DATEDIF($E252,L252,"D")/7,"")</f>
        <v/>
      </c>
      <c r="X252" s="36"/>
    </row>
    <row r="253" spans="3:24" ht="15.75" customHeight="1" x14ac:dyDescent="0.2">
      <c r="C253" s="44"/>
      <c r="D253" s="45"/>
      <c r="E253" s="46"/>
      <c r="F253" s="294"/>
      <c r="G253" s="294"/>
      <c r="H253" s="294"/>
      <c r="I253" s="294"/>
      <c r="J253" s="294"/>
      <c r="K253" s="46"/>
      <c r="L253" s="40"/>
      <c r="O253" s="44"/>
      <c r="P253" s="45"/>
      <c r="Q253" s="46"/>
      <c r="R253" s="294"/>
      <c r="S253" s="294"/>
      <c r="T253" s="294"/>
      <c r="U253" s="294"/>
      <c r="V253" s="295"/>
      <c r="W253" s="295"/>
      <c r="X253" s="40"/>
    </row>
    <row r="254" spans="3:24" ht="15.75" customHeight="1" x14ac:dyDescent="0.2">
      <c r="C254" s="44"/>
      <c r="D254" s="45"/>
      <c r="E254" s="46"/>
      <c r="F254" s="294"/>
      <c r="G254" s="294"/>
      <c r="H254" s="294"/>
      <c r="I254" s="294"/>
      <c r="J254" s="294"/>
      <c r="K254" s="46"/>
      <c r="L254" s="40"/>
      <c r="O254" s="44"/>
      <c r="P254" s="45"/>
      <c r="Q254" s="46"/>
      <c r="R254" s="294"/>
      <c r="S254" s="294"/>
      <c r="T254" s="294"/>
      <c r="U254" s="294"/>
      <c r="V254" s="295"/>
      <c r="W254" s="295"/>
      <c r="X254" s="40"/>
    </row>
    <row r="255" spans="3:24" ht="15.75" customHeight="1" x14ac:dyDescent="0.2">
      <c r="C255" s="32" t="str">
        <f t="shared" ref="C255:E255" ca="1" si="276">O88</f>
        <v>0</v>
      </c>
      <c r="D255" s="33" t="str">
        <f t="shared" ca="1" si="276"/>
        <v>0</v>
      </c>
      <c r="E255" s="56" t="str">
        <f t="shared" ca="1" si="276"/>
        <v>0</v>
      </c>
      <c r="F255" s="291" t="str">
        <f t="shared" ref="F255:K255" ca="1" si="277">IF(R88&gt;0,F89,"")</f>
        <v/>
      </c>
      <c r="G255" s="291" t="str">
        <f t="shared" ca="1" si="277"/>
        <v/>
      </c>
      <c r="H255" s="291" t="str">
        <f t="shared" ca="1" si="277"/>
        <v/>
      </c>
      <c r="I255" s="291" t="str">
        <f t="shared" ca="1" si="277"/>
        <v/>
      </c>
      <c r="J255" s="291" t="str">
        <f t="shared" ca="1" si="277"/>
        <v/>
      </c>
      <c r="K255" s="56" t="str">
        <f t="shared" ca="1" si="277"/>
        <v/>
      </c>
      <c r="L255" s="296" t="str">
        <f ca="1">IF(W88&gt;0,L89,"")</f>
        <v/>
      </c>
      <c r="O255" s="32" t="str">
        <f t="shared" ref="O255:Q255" ca="1" si="278">C255</f>
        <v>0</v>
      </c>
      <c r="P255" s="33" t="str">
        <f t="shared" ca="1" si="278"/>
        <v>0</v>
      </c>
      <c r="Q255" s="56" t="str">
        <f t="shared" ca="1" si="278"/>
        <v>0</v>
      </c>
      <c r="R255" s="299" t="str">
        <f ca="1">IF(ISNUMBER(F255),DATEDIF($F252,F255,"D")/7,"")</f>
        <v/>
      </c>
      <c r="S255" s="300" t="str">
        <f t="shared" ref="S255:V255" ca="1" si="279">IF(ISNUMBER(G255),DATEDIF($E255,G255,"D")/7,"")</f>
        <v/>
      </c>
      <c r="T255" s="300" t="str">
        <f t="shared" ca="1" si="279"/>
        <v/>
      </c>
      <c r="U255" s="300" t="str">
        <f t="shared" ca="1" si="279"/>
        <v/>
      </c>
      <c r="V255" s="301" t="str">
        <f t="shared" ca="1" si="279"/>
        <v/>
      </c>
      <c r="W255" s="301" t="str">
        <f ca="1">IF(ISNUMBER(L255),DATEDIF($E255,L255,"D")/7,"")</f>
        <v/>
      </c>
      <c r="X255" s="36"/>
    </row>
    <row r="256" spans="3:24" ht="15.75" customHeight="1" x14ac:dyDescent="0.2">
      <c r="C256" s="44"/>
      <c r="D256" s="45"/>
      <c r="E256" s="46"/>
      <c r="F256" s="294"/>
      <c r="G256" s="294"/>
      <c r="H256" s="294"/>
      <c r="I256" s="294"/>
      <c r="J256" s="294"/>
      <c r="K256" s="46"/>
      <c r="L256" s="40"/>
      <c r="O256" s="44"/>
      <c r="P256" s="45"/>
      <c r="Q256" s="46"/>
      <c r="R256" s="302"/>
      <c r="S256" s="303"/>
      <c r="T256" s="303"/>
      <c r="U256" s="303"/>
      <c r="V256" s="304"/>
      <c r="W256" s="304"/>
      <c r="X256" s="40"/>
    </row>
    <row r="257" spans="3:24" ht="15.75" customHeight="1" x14ac:dyDescent="0.2">
      <c r="C257" s="44"/>
      <c r="D257" s="45"/>
      <c r="E257" s="46"/>
      <c r="F257" s="294"/>
      <c r="G257" s="294"/>
      <c r="H257" s="294"/>
      <c r="I257" s="294"/>
      <c r="J257" s="294"/>
      <c r="K257" s="46"/>
      <c r="L257" s="40"/>
      <c r="O257" s="44"/>
      <c r="P257" s="45"/>
      <c r="Q257" s="46"/>
      <c r="R257" s="305"/>
      <c r="S257" s="306"/>
      <c r="T257" s="306"/>
      <c r="U257" s="306"/>
      <c r="V257" s="307"/>
      <c r="W257" s="307"/>
      <c r="X257" s="40"/>
    </row>
    <row r="258" spans="3:24" ht="15.75" customHeight="1" x14ac:dyDescent="0.2">
      <c r="C258" s="32" t="str">
        <f t="shared" ref="C258:E258" ca="1" si="280">O91</f>
        <v>0</v>
      </c>
      <c r="D258" s="33" t="str">
        <f t="shared" ca="1" si="280"/>
        <v>0</v>
      </c>
      <c r="E258" s="56" t="str">
        <f t="shared" ca="1" si="280"/>
        <v>0</v>
      </c>
      <c r="F258" s="291" t="str">
        <f t="shared" ref="F258:K258" ca="1" si="281">IF(R91&gt;0,F92,"")</f>
        <v/>
      </c>
      <c r="G258" s="291" t="str">
        <f t="shared" ca="1" si="281"/>
        <v/>
      </c>
      <c r="H258" s="291" t="str">
        <f t="shared" ca="1" si="281"/>
        <v/>
      </c>
      <c r="I258" s="291" t="str">
        <f t="shared" ca="1" si="281"/>
        <v/>
      </c>
      <c r="J258" s="291" t="str">
        <f t="shared" ca="1" si="281"/>
        <v/>
      </c>
      <c r="K258" s="56" t="str">
        <f t="shared" ca="1" si="281"/>
        <v/>
      </c>
      <c r="L258" s="296" t="str">
        <f ca="1">IF(W91&gt;0,L92,"")</f>
        <v/>
      </c>
      <c r="O258" s="32" t="str">
        <f t="shared" ref="O258:Q258" ca="1" si="282">C258</f>
        <v>0</v>
      </c>
      <c r="P258" s="33" t="str">
        <f t="shared" ca="1" si="282"/>
        <v>0</v>
      </c>
      <c r="Q258" s="56" t="str">
        <f t="shared" ca="1" si="282"/>
        <v>0</v>
      </c>
      <c r="R258" s="308" t="str">
        <f ca="1">IF(ISNUMBER(F258),DATEDIF($F255,F258,"D")/7,"")</f>
        <v/>
      </c>
      <c r="S258" s="309" t="str">
        <f t="shared" ref="S258:V258" ca="1" si="283">IF(ISNUMBER(G258),DATEDIF($E258,G258,"D")/7,"")</f>
        <v/>
      </c>
      <c r="T258" s="309" t="str">
        <f t="shared" ca="1" si="283"/>
        <v/>
      </c>
      <c r="U258" s="309" t="str">
        <f t="shared" ca="1" si="283"/>
        <v/>
      </c>
      <c r="V258" s="310" t="str">
        <f t="shared" ca="1" si="283"/>
        <v/>
      </c>
      <c r="W258" s="310" t="str">
        <f ca="1">IF(ISNUMBER(L258),DATEDIF($E258,L258,"D")/7,"")</f>
        <v/>
      </c>
      <c r="X258" s="36"/>
    </row>
    <row r="259" spans="3:24" ht="15.75" customHeight="1" x14ac:dyDescent="0.2">
      <c r="C259" s="44"/>
      <c r="D259" s="45"/>
      <c r="E259" s="46"/>
      <c r="F259" s="294"/>
      <c r="G259" s="294"/>
      <c r="H259" s="294"/>
      <c r="I259" s="294"/>
      <c r="J259" s="294"/>
      <c r="K259" s="46"/>
      <c r="L259" s="40"/>
      <c r="O259" s="44"/>
      <c r="P259" s="45"/>
      <c r="Q259" s="46"/>
      <c r="R259" s="302"/>
      <c r="S259" s="303"/>
      <c r="T259" s="303"/>
      <c r="U259" s="303"/>
      <c r="V259" s="304"/>
      <c r="W259" s="304"/>
      <c r="X259" s="40"/>
    </row>
    <row r="260" spans="3:24" ht="15.75" customHeight="1" x14ac:dyDescent="0.2">
      <c r="C260" s="44"/>
      <c r="D260" s="45"/>
      <c r="E260" s="46"/>
      <c r="F260" s="294"/>
      <c r="G260" s="294"/>
      <c r="H260" s="294"/>
      <c r="I260" s="294"/>
      <c r="J260" s="294"/>
      <c r="K260" s="46"/>
      <c r="L260" s="40"/>
      <c r="O260" s="44"/>
      <c r="P260" s="45"/>
      <c r="Q260" s="46"/>
      <c r="R260" s="305"/>
      <c r="S260" s="306"/>
      <c r="T260" s="306"/>
      <c r="U260" s="306"/>
      <c r="V260" s="307"/>
      <c r="W260" s="307"/>
      <c r="X260" s="40"/>
    </row>
    <row r="261" spans="3:24" ht="15.75" customHeight="1" x14ac:dyDescent="0.2">
      <c r="C261" s="32" t="str">
        <f t="shared" ref="C261:E261" ca="1" si="284">O94</f>
        <v>0</v>
      </c>
      <c r="D261" s="33" t="str">
        <f t="shared" ca="1" si="284"/>
        <v>0</v>
      </c>
      <c r="E261" s="56" t="str">
        <f t="shared" ca="1" si="284"/>
        <v>0</v>
      </c>
      <c r="F261" s="291" t="str">
        <f t="shared" ref="F261:K261" ca="1" si="285">IF(R94&gt;0,F95,"")</f>
        <v/>
      </c>
      <c r="G261" s="291" t="str">
        <f t="shared" ca="1" si="285"/>
        <v/>
      </c>
      <c r="H261" s="291" t="str">
        <f t="shared" ca="1" si="285"/>
        <v/>
      </c>
      <c r="I261" s="291" t="str">
        <f t="shared" ca="1" si="285"/>
        <v/>
      </c>
      <c r="J261" s="291" t="str">
        <f t="shared" ca="1" si="285"/>
        <v/>
      </c>
      <c r="K261" s="56" t="str">
        <f t="shared" ca="1" si="285"/>
        <v/>
      </c>
      <c r="L261" s="296" t="str">
        <f ca="1">IF(W94&gt;0,L95,"")</f>
        <v/>
      </c>
      <c r="O261" s="32" t="str">
        <f t="shared" ref="O261:Q261" ca="1" si="286">C261</f>
        <v>0</v>
      </c>
      <c r="P261" s="33" t="str">
        <f t="shared" ca="1" si="286"/>
        <v>0</v>
      </c>
      <c r="Q261" s="56" t="str">
        <f t="shared" ca="1" si="286"/>
        <v>0</v>
      </c>
      <c r="R261" s="308" t="str">
        <f ca="1">IF(ISNUMBER(F261),DATEDIF($F258,F261,"D")/7,"")</f>
        <v/>
      </c>
      <c r="S261" s="309" t="str">
        <f t="shared" ref="S261:V261" ca="1" si="287">IF(ISNUMBER(G261),DATEDIF($E261,G261,"D")/7,"")</f>
        <v/>
      </c>
      <c r="T261" s="309" t="str">
        <f t="shared" ca="1" si="287"/>
        <v/>
      </c>
      <c r="U261" s="309" t="str">
        <f t="shared" ca="1" si="287"/>
        <v/>
      </c>
      <c r="V261" s="310" t="str">
        <f t="shared" ca="1" si="287"/>
        <v/>
      </c>
      <c r="W261" s="310" t="str">
        <f ca="1">IF(ISNUMBER(L261),DATEDIF($E261,L261,"D")/7,"")</f>
        <v/>
      </c>
      <c r="X261" s="36"/>
    </row>
    <row r="262" spans="3:24" ht="15.75" customHeight="1" x14ac:dyDescent="0.2">
      <c r="C262" s="44"/>
      <c r="D262" s="45"/>
      <c r="E262" s="46"/>
      <c r="F262" s="294"/>
      <c r="G262" s="294"/>
      <c r="H262" s="294"/>
      <c r="I262" s="294"/>
      <c r="J262" s="294"/>
      <c r="K262" s="46"/>
      <c r="L262" s="40"/>
      <c r="O262" s="44"/>
      <c r="P262" s="45"/>
      <c r="Q262" s="46"/>
      <c r="R262" s="302"/>
      <c r="S262" s="303"/>
      <c r="T262" s="303"/>
      <c r="U262" s="303"/>
      <c r="V262" s="304"/>
      <c r="W262" s="304"/>
      <c r="X262" s="40"/>
    </row>
    <row r="263" spans="3:24" ht="15.75" customHeight="1" x14ac:dyDescent="0.2">
      <c r="C263" s="44"/>
      <c r="D263" s="45"/>
      <c r="E263" s="46"/>
      <c r="F263" s="294"/>
      <c r="G263" s="294"/>
      <c r="H263" s="294"/>
      <c r="I263" s="294"/>
      <c r="J263" s="294"/>
      <c r="K263" s="46"/>
      <c r="L263" s="40"/>
      <c r="O263" s="44"/>
      <c r="P263" s="45"/>
      <c r="Q263" s="46"/>
      <c r="R263" s="305"/>
      <c r="S263" s="306"/>
      <c r="T263" s="306"/>
      <c r="U263" s="306"/>
      <c r="V263" s="307"/>
      <c r="W263" s="307"/>
      <c r="X263" s="40"/>
    </row>
    <row r="264" spans="3:24" ht="15.75" customHeight="1" x14ac:dyDescent="0.2">
      <c r="C264" s="32" t="str">
        <f t="shared" ref="C264:E264" ca="1" si="288">O97</f>
        <v>0</v>
      </c>
      <c r="D264" s="33" t="str">
        <f t="shared" ca="1" si="288"/>
        <v>0</v>
      </c>
      <c r="E264" s="56" t="str">
        <f t="shared" ca="1" si="288"/>
        <v>0</v>
      </c>
      <c r="F264" s="291" t="str">
        <f t="shared" ref="F264:K264" ca="1" si="289">IF(R97&gt;0,F98,"")</f>
        <v/>
      </c>
      <c r="G264" s="291" t="str">
        <f t="shared" ca="1" si="289"/>
        <v/>
      </c>
      <c r="H264" s="291" t="str">
        <f t="shared" ca="1" si="289"/>
        <v/>
      </c>
      <c r="I264" s="291" t="str">
        <f t="shared" ca="1" si="289"/>
        <v/>
      </c>
      <c r="J264" s="291" t="str">
        <f t="shared" ca="1" si="289"/>
        <v/>
      </c>
      <c r="K264" s="56" t="str">
        <f t="shared" ca="1" si="289"/>
        <v/>
      </c>
      <c r="L264" s="296" t="str">
        <f ca="1">IF(W97&gt;0,L98,"")</f>
        <v/>
      </c>
      <c r="O264" s="32" t="str">
        <f t="shared" ref="O264:Q264" ca="1" si="290">C264</f>
        <v>0</v>
      </c>
      <c r="P264" s="33" t="str">
        <f t="shared" ca="1" si="290"/>
        <v>0</v>
      </c>
      <c r="Q264" s="56" t="str">
        <f t="shared" ca="1" si="290"/>
        <v>0</v>
      </c>
      <c r="R264" s="308" t="str">
        <f ca="1">IF(ISNUMBER(F264),DATEDIF($F261,F264,"D")/7,"")</f>
        <v/>
      </c>
      <c r="S264" s="309" t="str">
        <f t="shared" ref="S264:V264" ca="1" si="291">IF(ISNUMBER(G264),DATEDIF($E264,G264,"D")/7,"")</f>
        <v/>
      </c>
      <c r="T264" s="309" t="str">
        <f t="shared" ca="1" si="291"/>
        <v/>
      </c>
      <c r="U264" s="309" t="str">
        <f t="shared" ca="1" si="291"/>
        <v/>
      </c>
      <c r="V264" s="310" t="str">
        <f t="shared" ca="1" si="291"/>
        <v/>
      </c>
      <c r="W264" s="310" t="str">
        <f ca="1">IF(ISNUMBER(L264),DATEDIF($E264,L264,"D")/7,"")</f>
        <v/>
      </c>
      <c r="X264" s="36"/>
    </row>
    <row r="265" spans="3:24" ht="15.75" customHeight="1" x14ac:dyDescent="0.2">
      <c r="C265" s="44"/>
      <c r="D265" s="45"/>
      <c r="E265" s="46"/>
      <c r="F265" s="294"/>
      <c r="G265" s="294"/>
      <c r="H265" s="294"/>
      <c r="I265" s="294"/>
      <c r="J265" s="294"/>
      <c r="K265" s="46"/>
      <c r="L265" s="40"/>
      <c r="O265" s="44"/>
      <c r="P265" s="45"/>
      <c r="Q265" s="46"/>
      <c r="R265" s="294"/>
      <c r="S265" s="294"/>
      <c r="T265" s="294"/>
      <c r="U265" s="294"/>
      <c r="V265" s="295"/>
      <c r="W265" s="295"/>
      <c r="X265" s="40"/>
    </row>
    <row r="266" spans="3:24" ht="15.75" customHeight="1" x14ac:dyDescent="0.2">
      <c r="C266" s="44"/>
      <c r="D266" s="45"/>
      <c r="E266" s="46"/>
      <c r="F266" s="294"/>
      <c r="G266" s="294"/>
      <c r="H266" s="294"/>
      <c r="I266" s="294"/>
      <c r="J266" s="294"/>
      <c r="K266" s="46"/>
      <c r="L266" s="40"/>
      <c r="O266" s="44"/>
      <c r="P266" s="45"/>
      <c r="Q266" s="46"/>
      <c r="R266" s="294"/>
      <c r="S266" s="294"/>
      <c r="T266" s="294"/>
      <c r="U266" s="294"/>
      <c r="V266" s="295"/>
      <c r="W266" s="295"/>
      <c r="X266" s="40"/>
    </row>
    <row r="267" spans="3:24" ht="15.75" customHeight="1" x14ac:dyDescent="0.2">
      <c r="C267" s="32" t="str">
        <f t="shared" ref="C267:E267" ca="1" si="292">O100</f>
        <v>0</v>
      </c>
      <c r="D267" s="33" t="str">
        <f t="shared" ca="1" si="292"/>
        <v>0</v>
      </c>
      <c r="E267" s="56" t="str">
        <f t="shared" ca="1" si="292"/>
        <v>0</v>
      </c>
      <c r="F267" s="291" t="str">
        <f t="shared" ref="F267:K267" ca="1" si="293">IF(R100&gt;0,F101,"")</f>
        <v/>
      </c>
      <c r="G267" s="291" t="str">
        <f t="shared" ca="1" si="293"/>
        <v/>
      </c>
      <c r="H267" s="291" t="str">
        <f t="shared" ca="1" si="293"/>
        <v/>
      </c>
      <c r="I267" s="291" t="str">
        <f t="shared" ca="1" si="293"/>
        <v/>
      </c>
      <c r="J267" s="291" t="str">
        <f t="shared" ca="1" si="293"/>
        <v/>
      </c>
      <c r="K267" s="56" t="str">
        <f t="shared" ca="1" si="293"/>
        <v/>
      </c>
      <c r="L267" s="296" t="str">
        <f ca="1">IF(W100&gt;0,L101,"")</f>
        <v/>
      </c>
      <c r="O267" s="32" t="str">
        <f t="shared" ref="O267:Q267" ca="1" si="294">C267</f>
        <v>0</v>
      </c>
      <c r="P267" s="33" t="str">
        <f t="shared" ca="1" si="294"/>
        <v>0</v>
      </c>
      <c r="Q267" s="56" t="str">
        <f t="shared" ca="1" si="294"/>
        <v>0</v>
      </c>
      <c r="R267" s="299" t="str">
        <f ca="1">IF(ISNUMBER(F267),DATEDIF($F264,F267,"D")/7,"")</f>
        <v/>
      </c>
      <c r="S267" s="300" t="str">
        <f t="shared" ref="S267:V267" ca="1" si="295">IF(ISNUMBER(G267),DATEDIF($E267,G267,"D")/7,"")</f>
        <v/>
      </c>
      <c r="T267" s="300" t="str">
        <f t="shared" ca="1" si="295"/>
        <v/>
      </c>
      <c r="U267" s="300" t="str">
        <f t="shared" ca="1" si="295"/>
        <v/>
      </c>
      <c r="V267" s="301" t="str">
        <f t="shared" ca="1" si="295"/>
        <v/>
      </c>
      <c r="W267" s="301" t="str">
        <f ca="1">IF(ISNUMBER(L267),DATEDIF($E267,L267,"D")/7,"")</f>
        <v/>
      </c>
      <c r="X267" s="36"/>
    </row>
    <row r="268" spans="3:24" ht="15.75" customHeight="1" x14ac:dyDescent="0.2">
      <c r="C268" s="44"/>
      <c r="D268" s="45"/>
      <c r="E268" s="46"/>
      <c r="F268" s="294"/>
      <c r="G268" s="294"/>
      <c r="H268" s="294"/>
      <c r="I268" s="294"/>
      <c r="J268" s="294"/>
      <c r="K268" s="46"/>
      <c r="L268" s="40"/>
      <c r="O268" s="44"/>
      <c r="P268" s="45"/>
      <c r="Q268" s="46"/>
      <c r="R268" s="302"/>
      <c r="S268" s="303"/>
      <c r="T268" s="303"/>
      <c r="U268" s="303"/>
      <c r="V268" s="304"/>
      <c r="W268" s="304"/>
      <c r="X268" s="40"/>
    </row>
    <row r="269" spans="3:24" ht="15.75" customHeight="1" x14ac:dyDescent="0.2">
      <c r="C269" s="44"/>
      <c r="D269" s="45"/>
      <c r="E269" s="46"/>
      <c r="F269" s="294"/>
      <c r="G269" s="294"/>
      <c r="H269" s="294"/>
      <c r="I269" s="294"/>
      <c r="J269" s="294"/>
      <c r="K269" s="46"/>
      <c r="L269" s="40"/>
      <c r="O269" s="44"/>
      <c r="P269" s="45"/>
      <c r="Q269" s="46"/>
      <c r="R269" s="305"/>
      <c r="S269" s="306"/>
      <c r="T269" s="306"/>
      <c r="U269" s="306"/>
      <c r="V269" s="307"/>
      <c r="W269" s="307"/>
      <c r="X269" s="40"/>
    </row>
    <row r="270" spans="3:24" ht="15.75" customHeight="1" x14ac:dyDescent="0.2">
      <c r="C270" s="32" t="str">
        <f t="shared" ref="C270:E270" ca="1" si="296">O103</f>
        <v>0</v>
      </c>
      <c r="D270" s="33" t="str">
        <f t="shared" ca="1" si="296"/>
        <v>0</v>
      </c>
      <c r="E270" s="56" t="str">
        <f t="shared" ca="1" si="296"/>
        <v>0</v>
      </c>
      <c r="F270" s="291" t="str">
        <f t="shared" ref="F270:K270" ca="1" si="297">IF(R103&gt;0,F104,"")</f>
        <v/>
      </c>
      <c r="G270" s="291" t="str">
        <f t="shared" ca="1" si="297"/>
        <v/>
      </c>
      <c r="H270" s="291" t="str">
        <f t="shared" ca="1" si="297"/>
        <v/>
      </c>
      <c r="I270" s="291" t="str">
        <f t="shared" ca="1" si="297"/>
        <v/>
      </c>
      <c r="J270" s="291" t="str">
        <f t="shared" ca="1" si="297"/>
        <v/>
      </c>
      <c r="K270" s="56" t="str">
        <f t="shared" ca="1" si="297"/>
        <v/>
      </c>
      <c r="L270" s="296" t="str">
        <f ca="1">IF(W103&gt;0,L104,"")</f>
        <v/>
      </c>
      <c r="O270" s="32" t="str">
        <f t="shared" ref="O270:Q270" ca="1" si="298">C270</f>
        <v>0</v>
      </c>
      <c r="P270" s="33" t="str">
        <f t="shared" ca="1" si="298"/>
        <v>0</v>
      </c>
      <c r="Q270" s="56" t="str">
        <f t="shared" ca="1" si="298"/>
        <v>0</v>
      </c>
      <c r="R270" s="308" t="str">
        <f ca="1">IF(ISNUMBER(F270),DATEDIF($F267,F270,"D")/7,"")</f>
        <v/>
      </c>
      <c r="S270" s="309" t="str">
        <f t="shared" ref="S270:V270" ca="1" si="299">IF(ISNUMBER(G270),DATEDIF($E270,G270,"D")/7,"")</f>
        <v/>
      </c>
      <c r="T270" s="309" t="str">
        <f t="shared" ca="1" si="299"/>
        <v/>
      </c>
      <c r="U270" s="309" t="str">
        <f t="shared" ca="1" si="299"/>
        <v/>
      </c>
      <c r="V270" s="310" t="str">
        <f t="shared" ca="1" si="299"/>
        <v/>
      </c>
      <c r="W270" s="310" t="str">
        <f ca="1">IF(ISNUMBER(L270),DATEDIF($E270,L270,"D")/7,"")</f>
        <v/>
      </c>
      <c r="X270" s="36"/>
    </row>
    <row r="271" spans="3:24" ht="15.75" customHeight="1" x14ac:dyDescent="0.2">
      <c r="C271" s="44"/>
      <c r="D271" s="45"/>
      <c r="E271" s="46"/>
      <c r="F271" s="294"/>
      <c r="G271" s="294"/>
      <c r="H271" s="294"/>
      <c r="I271" s="294"/>
      <c r="J271" s="294"/>
      <c r="K271" s="46"/>
      <c r="L271" s="40"/>
      <c r="O271" s="44"/>
      <c r="P271" s="45"/>
      <c r="Q271" s="46"/>
      <c r="R271" s="302"/>
      <c r="S271" s="303"/>
      <c r="T271" s="303"/>
      <c r="U271" s="303"/>
      <c r="V271" s="304"/>
      <c r="W271" s="304"/>
      <c r="X271" s="40"/>
    </row>
    <row r="272" spans="3:24" ht="15.75" customHeight="1" x14ac:dyDescent="0.2">
      <c r="C272" s="44"/>
      <c r="D272" s="45"/>
      <c r="E272" s="46"/>
      <c r="F272" s="294"/>
      <c r="G272" s="294"/>
      <c r="H272" s="294"/>
      <c r="I272" s="294"/>
      <c r="J272" s="294"/>
      <c r="K272" s="46"/>
      <c r="L272" s="40"/>
      <c r="O272" s="44"/>
      <c r="P272" s="45"/>
      <c r="Q272" s="46"/>
      <c r="R272" s="305"/>
      <c r="S272" s="306"/>
      <c r="T272" s="306"/>
      <c r="U272" s="306"/>
      <c r="V272" s="307"/>
      <c r="W272" s="307"/>
      <c r="X272" s="40"/>
    </row>
    <row r="273" spans="3:24" ht="15.75" customHeight="1" x14ac:dyDescent="0.2">
      <c r="C273" s="32" t="str">
        <f t="shared" ref="C273:E273" ca="1" si="300">O106</f>
        <v>0</v>
      </c>
      <c r="D273" s="33" t="str">
        <f t="shared" ca="1" si="300"/>
        <v>0</v>
      </c>
      <c r="E273" s="56" t="str">
        <f t="shared" ca="1" si="300"/>
        <v>0</v>
      </c>
      <c r="F273" s="291" t="str">
        <f t="shared" ref="F273:K273" ca="1" si="301">IF(R106&gt;0,F107,"")</f>
        <v/>
      </c>
      <c r="G273" s="291" t="str">
        <f t="shared" ca="1" si="301"/>
        <v/>
      </c>
      <c r="H273" s="291" t="str">
        <f t="shared" ca="1" si="301"/>
        <v/>
      </c>
      <c r="I273" s="291" t="str">
        <f t="shared" ca="1" si="301"/>
        <v/>
      </c>
      <c r="J273" s="291" t="str">
        <f t="shared" ca="1" si="301"/>
        <v/>
      </c>
      <c r="K273" s="56" t="str">
        <f t="shared" ca="1" si="301"/>
        <v/>
      </c>
      <c r="L273" s="296" t="str">
        <f ca="1">IF(W106&gt;0,L107,"")</f>
        <v/>
      </c>
      <c r="O273" s="32" t="str">
        <f t="shared" ref="O273:Q273" ca="1" si="302">C273</f>
        <v>0</v>
      </c>
      <c r="P273" s="33" t="str">
        <f t="shared" ca="1" si="302"/>
        <v>0</v>
      </c>
      <c r="Q273" s="56" t="str">
        <f t="shared" ca="1" si="302"/>
        <v>0</v>
      </c>
      <c r="R273" s="308" t="str">
        <f ca="1">IF(ISNUMBER(F273),DATEDIF($F270,F273,"D")/7,"")</f>
        <v/>
      </c>
      <c r="S273" s="309" t="str">
        <f t="shared" ref="S273:V273" ca="1" si="303">IF(ISNUMBER(G273),DATEDIF($E273,G273,"D")/7,"")</f>
        <v/>
      </c>
      <c r="T273" s="309" t="str">
        <f t="shared" ca="1" si="303"/>
        <v/>
      </c>
      <c r="U273" s="309" t="str">
        <f t="shared" ca="1" si="303"/>
        <v/>
      </c>
      <c r="V273" s="310" t="str">
        <f t="shared" ca="1" si="303"/>
        <v/>
      </c>
      <c r="W273" s="310" t="str">
        <f ca="1">IF(ISNUMBER(L273),DATEDIF($E273,L273,"D")/7,"")</f>
        <v/>
      </c>
      <c r="X273" s="36"/>
    </row>
    <row r="274" spans="3:24" ht="15.75" customHeight="1" x14ac:dyDescent="0.2">
      <c r="C274" s="44"/>
      <c r="D274" s="45"/>
      <c r="E274" s="46"/>
      <c r="F274" s="294"/>
      <c r="G274" s="294"/>
      <c r="H274" s="294"/>
      <c r="I274" s="294"/>
      <c r="J274" s="294"/>
      <c r="K274" s="46"/>
      <c r="L274" s="40"/>
      <c r="O274" s="44"/>
      <c r="P274" s="45"/>
      <c r="Q274" s="46"/>
      <c r="R274" s="302"/>
      <c r="S274" s="303"/>
      <c r="T274" s="303"/>
      <c r="U274" s="303"/>
      <c r="V274" s="304"/>
      <c r="W274" s="304"/>
      <c r="X274" s="40"/>
    </row>
    <row r="275" spans="3:24" ht="15.75" customHeight="1" x14ac:dyDescent="0.2">
      <c r="C275" s="44"/>
      <c r="D275" s="45"/>
      <c r="E275" s="46"/>
      <c r="F275" s="294"/>
      <c r="G275" s="294"/>
      <c r="H275" s="294"/>
      <c r="I275" s="294"/>
      <c r="J275" s="294"/>
      <c r="K275" s="46"/>
      <c r="L275" s="40"/>
      <c r="O275" s="44"/>
      <c r="P275" s="45"/>
      <c r="Q275" s="46"/>
      <c r="R275" s="305"/>
      <c r="S275" s="306"/>
      <c r="T275" s="306"/>
      <c r="U275" s="306"/>
      <c r="V275" s="307"/>
      <c r="W275" s="307"/>
      <c r="X275" s="40"/>
    </row>
    <row r="276" spans="3:24" ht="15.75" customHeight="1" x14ac:dyDescent="0.2">
      <c r="C276" s="32" t="str">
        <f t="shared" ref="C276:E276" ca="1" si="304">O109</f>
        <v>0</v>
      </c>
      <c r="D276" s="33" t="str">
        <f t="shared" ca="1" si="304"/>
        <v>0</v>
      </c>
      <c r="E276" s="56" t="str">
        <f t="shared" ca="1" si="304"/>
        <v>0</v>
      </c>
      <c r="F276" s="291" t="str">
        <f t="shared" ref="F276:K276" ca="1" si="305">IF(R109&gt;0,F110,"")</f>
        <v/>
      </c>
      <c r="G276" s="291" t="str">
        <f t="shared" ca="1" si="305"/>
        <v/>
      </c>
      <c r="H276" s="291" t="str">
        <f t="shared" ca="1" si="305"/>
        <v/>
      </c>
      <c r="I276" s="291" t="str">
        <f t="shared" ca="1" si="305"/>
        <v/>
      </c>
      <c r="J276" s="291" t="str">
        <f t="shared" ca="1" si="305"/>
        <v/>
      </c>
      <c r="K276" s="56" t="str">
        <f t="shared" ca="1" si="305"/>
        <v/>
      </c>
      <c r="L276" s="296" t="str">
        <f ca="1">IF(W109&gt;0,L110,"")</f>
        <v/>
      </c>
      <c r="O276" s="32" t="str">
        <f t="shared" ref="O276:Q276" ca="1" si="306">C276</f>
        <v>0</v>
      </c>
      <c r="P276" s="33" t="str">
        <f t="shared" ca="1" si="306"/>
        <v>0</v>
      </c>
      <c r="Q276" s="56" t="str">
        <f t="shared" ca="1" si="306"/>
        <v>0</v>
      </c>
      <c r="R276" s="308" t="str">
        <f ca="1">IF(ISNUMBER(F276),DATEDIF($F273,F276,"D")/7,"")</f>
        <v/>
      </c>
      <c r="S276" s="309" t="str">
        <f t="shared" ref="S276:V276" ca="1" si="307">IF(ISNUMBER(G276),DATEDIF($E276,G276,"D")/7,"")</f>
        <v/>
      </c>
      <c r="T276" s="309" t="str">
        <f t="shared" ca="1" si="307"/>
        <v/>
      </c>
      <c r="U276" s="309" t="str">
        <f t="shared" ca="1" si="307"/>
        <v/>
      </c>
      <c r="V276" s="310" t="str">
        <f t="shared" ca="1" si="307"/>
        <v/>
      </c>
      <c r="W276" s="310" t="str">
        <f ca="1">IF(ISNUMBER(L276),DATEDIF($E276,L276,"D")/7,"")</f>
        <v/>
      </c>
      <c r="X276" s="36"/>
    </row>
    <row r="277" spans="3:24" ht="15.75" customHeight="1" x14ac:dyDescent="0.2">
      <c r="C277" s="44"/>
      <c r="D277" s="45"/>
      <c r="E277" s="46"/>
      <c r="F277" s="294"/>
      <c r="G277" s="294"/>
      <c r="H277" s="294"/>
      <c r="I277" s="294"/>
      <c r="J277" s="294"/>
      <c r="K277" s="46"/>
      <c r="L277" s="40"/>
      <c r="O277" s="44"/>
      <c r="P277" s="45"/>
      <c r="Q277" s="46"/>
      <c r="R277" s="294"/>
      <c r="S277" s="294"/>
      <c r="T277" s="294"/>
      <c r="U277" s="294"/>
      <c r="V277" s="295"/>
      <c r="W277" s="295"/>
      <c r="X277" s="40"/>
    </row>
    <row r="278" spans="3:24" ht="15.75" customHeight="1" x14ac:dyDescent="0.2">
      <c r="C278" s="44"/>
      <c r="D278" s="45"/>
      <c r="E278" s="46"/>
      <c r="F278" s="294"/>
      <c r="G278" s="294"/>
      <c r="H278" s="294"/>
      <c r="I278" s="294"/>
      <c r="J278" s="294"/>
      <c r="K278" s="46"/>
      <c r="L278" s="40"/>
      <c r="O278" s="44"/>
      <c r="P278" s="45"/>
      <c r="Q278" s="46"/>
      <c r="R278" s="294"/>
      <c r="S278" s="294"/>
      <c r="T278" s="294"/>
      <c r="U278" s="294"/>
      <c r="V278" s="295"/>
      <c r="W278" s="295"/>
      <c r="X278" s="40"/>
    </row>
    <row r="279" spans="3:24" ht="15.75" customHeight="1" x14ac:dyDescent="0.2">
      <c r="C279" s="32" t="str">
        <f t="shared" ref="C279:E279" ca="1" si="308">O112</f>
        <v>0</v>
      </c>
      <c r="D279" s="33" t="str">
        <f t="shared" ca="1" si="308"/>
        <v>0</v>
      </c>
      <c r="E279" s="56" t="str">
        <f t="shared" ca="1" si="308"/>
        <v>0</v>
      </c>
      <c r="F279" s="291" t="str">
        <f t="shared" ref="F279:K279" ca="1" si="309">IF(R112&gt;0,F113,"")</f>
        <v/>
      </c>
      <c r="G279" s="291" t="str">
        <f t="shared" ca="1" si="309"/>
        <v/>
      </c>
      <c r="H279" s="291" t="str">
        <f t="shared" ca="1" si="309"/>
        <v/>
      </c>
      <c r="I279" s="291" t="str">
        <f t="shared" ca="1" si="309"/>
        <v/>
      </c>
      <c r="J279" s="291" t="str">
        <f t="shared" ca="1" si="309"/>
        <v/>
      </c>
      <c r="K279" s="56" t="str">
        <f t="shared" ca="1" si="309"/>
        <v/>
      </c>
      <c r="L279" s="296" t="str">
        <f ca="1">IF(W112&gt;0,L113,"")</f>
        <v/>
      </c>
      <c r="O279" s="32" t="str">
        <f t="shared" ref="O279:Q279" ca="1" si="310">C279</f>
        <v>0</v>
      </c>
      <c r="P279" s="33" t="str">
        <f t="shared" ca="1" si="310"/>
        <v>0</v>
      </c>
      <c r="Q279" s="56" t="str">
        <f t="shared" ca="1" si="310"/>
        <v>0</v>
      </c>
      <c r="R279" s="299" t="str">
        <f ca="1">IF(ISNUMBER(F279),DATEDIF($F276,F279,"D")/7,"")</f>
        <v/>
      </c>
      <c r="S279" s="300" t="str">
        <f t="shared" ref="S279:V279" ca="1" si="311">IF(ISNUMBER(G279),DATEDIF($E279,G279,"D")/7,"")</f>
        <v/>
      </c>
      <c r="T279" s="300" t="str">
        <f t="shared" ca="1" si="311"/>
        <v/>
      </c>
      <c r="U279" s="300" t="str">
        <f t="shared" ca="1" si="311"/>
        <v/>
      </c>
      <c r="V279" s="301" t="str">
        <f t="shared" ca="1" si="311"/>
        <v/>
      </c>
      <c r="W279" s="301" t="str">
        <f ca="1">IF(ISNUMBER(L279),DATEDIF($E279,L279,"D")/7,"")</f>
        <v/>
      </c>
      <c r="X279" s="36"/>
    </row>
    <row r="280" spans="3:24" ht="15.75" customHeight="1" x14ac:dyDescent="0.2">
      <c r="C280" s="44"/>
      <c r="D280" s="45"/>
      <c r="E280" s="46"/>
      <c r="F280" s="294"/>
      <c r="G280" s="294"/>
      <c r="H280" s="294"/>
      <c r="I280" s="294"/>
      <c r="J280" s="294"/>
      <c r="K280" s="46"/>
      <c r="L280" s="40"/>
      <c r="O280" s="44"/>
      <c r="P280" s="45"/>
      <c r="Q280" s="46"/>
      <c r="R280" s="302"/>
      <c r="S280" s="303"/>
      <c r="T280" s="303"/>
      <c r="U280" s="303"/>
      <c r="V280" s="304"/>
      <c r="W280" s="304"/>
      <c r="X280" s="40"/>
    </row>
    <row r="281" spans="3:24" ht="15.75" customHeight="1" x14ac:dyDescent="0.2">
      <c r="C281" s="44"/>
      <c r="D281" s="45"/>
      <c r="E281" s="46"/>
      <c r="F281" s="294"/>
      <c r="G281" s="294"/>
      <c r="H281" s="294"/>
      <c r="I281" s="294"/>
      <c r="J281" s="294"/>
      <c r="K281" s="46"/>
      <c r="L281" s="40"/>
      <c r="O281" s="44"/>
      <c r="P281" s="45"/>
      <c r="Q281" s="46"/>
      <c r="R281" s="305"/>
      <c r="S281" s="306"/>
      <c r="T281" s="306"/>
      <c r="U281" s="306"/>
      <c r="V281" s="307"/>
      <c r="W281" s="307"/>
      <c r="X281" s="40"/>
    </row>
    <row r="282" spans="3:24" ht="15.75" customHeight="1" x14ac:dyDescent="0.2">
      <c r="C282" s="32" t="str">
        <f t="shared" ref="C282:E282" ca="1" si="312">O115</f>
        <v>0</v>
      </c>
      <c r="D282" s="33" t="str">
        <f t="shared" ca="1" si="312"/>
        <v>0</v>
      </c>
      <c r="E282" s="56" t="str">
        <f t="shared" ca="1" si="312"/>
        <v>0</v>
      </c>
      <c r="F282" s="291" t="str">
        <f t="shared" ref="F282:K282" ca="1" si="313">IF(R115&gt;0,F116,"")</f>
        <v/>
      </c>
      <c r="G282" s="291" t="str">
        <f t="shared" ca="1" si="313"/>
        <v/>
      </c>
      <c r="H282" s="291" t="str">
        <f t="shared" ca="1" si="313"/>
        <v/>
      </c>
      <c r="I282" s="291" t="str">
        <f t="shared" ca="1" si="313"/>
        <v/>
      </c>
      <c r="J282" s="291" t="str">
        <f t="shared" ca="1" si="313"/>
        <v/>
      </c>
      <c r="K282" s="56" t="str">
        <f t="shared" ca="1" si="313"/>
        <v/>
      </c>
      <c r="L282" s="296" t="str">
        <f ca="1">IF(W115&gt;0,L116,"")</f>
        <v/>
      </c>
      <c r="O282" s="32" t="str">
        <f t="shared" ref="O282:Q282" ca="1" si="314">C282</f>
        <v>0</v>
      </c>
      <c r="P282" s="33" t="str">
        <f t="shared" ca="1" si="314"/>
        <v>0</v>
      </c>
      <c r="Q282" s="56" t="str">
        <f t="shared" ca="1" si="314"/>
        <v>0</v>
      </c>
      <c r="R282" s="308" t="str">
        <f ca="1">IF(ISNUMBER(F282),DATEDIF($F279,F282,"D")/7,"")</f>
        <v/>
      </c>
      <c r="S282" s="309" t="str">
        <f t="shared" ref="S282:V282" ca="1" si="315">IF(ISNUMBER(G282),DATEDIF($E282,G282,"D")/7,"")</f>
        <v/>
      </c>
      <c r="T282" s="309" t="str">
        <f t="shared" ca="1" si="315"/>
        <v/>
      </c>
      <c r="U282" s="309" t="str">
        <f t="shared" ca="1" si="315"/>
        <v/>
      </c>
      <c r="V282" s="310" t="str">
        <f t="shared" ca="1" si="315"/>
        <v/>
      </c>
      <c r="W282" s="310" t="str">
        <f ca="1">IF(ISNUMBER(L282),DATEDIF($E282,L282,"D")/7,"")</f>
        <v/>
      </c>
      <c r="X282" s="36"/>
    </row>
    <row r="283" spans="3:24" ht="15.75" customHeight="1" x14ac:dyDescent="0.2">
      <c r="C283" s="44"/>
      <c r="D283" s="45"/>
      <c r="E283" s="46"/>
      <c r="F283" s="294"/>
      <c r="G283" s="294"/>
      <c r="H283" s="294"/>
      <c r="I283" s="294"/>
      <c r="J283" s="294"/>
      <c r="K283" s="46"/>
      <c r="L283" s="40"/>
      <c r="O283" s="44"/>
      <c r="P283" s="45"/>
      <c r="Q283" s="46"/>
      <c r="R283" s="302"/>
      <c r="S283" s="303"/>
      <c r="T283" s="303"/>
      <c r="U283" s="303"/>
      <c r="V283" s="304"/>
      <c r="W283" s="304"/>
      <c r="X283" s="40"/>
    </row>
    <row r="284" spans="3:24" ht="15.75" customHeight="1" x14ac:dyDescent="0.2">
      <c r="C284" s="44"/>
      <c r="D284" s="45"/>
      <c r="E284" s="46"/>
      <c r="F284" s="294"/>
      <c r="G284" s="294"/>
      <c r="H284" s="294"/>
      <c r="I284" s="294"/>
      <c r="J284" s="294"/>
      <c r="K284" s="46"/>
      <c r="L284" s="40"/>
      <c r="O284" s="44"/>
      <c r="P284" s="45"/>
      <c r="Q284" s="46"/>
      <c r="R284" s="305"/>
      <c r="S284" s="306"/>
      <c r="T284" s="306"/>
      <c r="U284" s="306"/>
      <c r="V284" s="307"/>
      <c r="W284" s="307"/>
      <c r="X284" s="40"/>
    </row>
    <row r="285" spans="3:24" ht="15.75" customHeight="1" x14ac:dyDescent="0.2">
      <c r="C285" s="32" t="str">
        <f t="shared" ref="C285:E285" ca="1" si="316">O118</f>
        <v>0</v>
      </c>
      <c r="D285" s="33" t="str">
        <f t="shared" ca="1" si="316"/>
        <v>0</v>
      </c>
      <c r="E285" s="56" t="str">
        <f t="shared" ca="1" si="316"/>
        <v>0</v>
      </c>
      <c r="F285" s="291" t="str">
        <f t="shared" ref="F285:K285" ca="1" si="317">IF(R118&gt;0,F119,"")</f>
        <v/>
      </c>
      <c r="G285" s="291" t="str">
        <f t="shared" ca="1" si="317"/>
        <v/>
      </c>
      <c r="H285" s="291" t="str">
        <f t="shared" ca="1" si="317"/>
        <v/>
      </c>
      <c r="I285" s="291" t="str">
        <f t="shared" ca="1" si="317"/>
        <v/>
      </c>
      <c r="J285" s="291" t="str">
        <f t="shared" ca="1" si="317"/>
        <v/>
      </c>
      <c r="K285" s="56" t="str">
        <f t="shared" ca="1" si="317"/>
        <v/>
      </c>
      <c r="L285" s="296" t="str">
        <f ca="1">IF(W118&gt;0,L119,"")</f>
        <v/>
      </c>
      <c r="O285" s="32" t="str">
        <f t="shared" ref="O285:Q285" ca="1" si="318">C285</f>
        <v>0</v>
      </c>
      <c r="P285" s="33" t="str">
        <f t="shared" ca="1" si="318"/>
        <v>0</v>
      </c>
      <c r="Q285" s="56" t="str">
        <f t="shared" ca="1" si="318"/>
        <v>0</v>
      </c>
      <c r="R285" s="308" t="str">
        <f ca="1">IF(ISNUMBER(F285),DATEDIF($F282,F285,"D")/7,"")</f>
        <v/>
      </c>
      <c r="S285" s="309" t="str">
        <f t="shared" ref="S285:V285" ca="1" si="319">IF(ISNUMBER(G285),DATEDIF($E285,G285,"D")/7,"")</f>
        <v/>
      </c>
      <c r="T285" s="309" t="str">
        <f t="shared" ca="1" si="319"/>
        <v/>
      </c>
      <c r="U285" s="309" t="str">
        <f t="shared" ca="1" si="319"/>
        <v/>
      </c>
      <c r="V285" s="310" t="str">
        <f t="shared" ca="1" si="319"/>
        <v/>
      </c>
      <c r="W285" s="310" t="str">
        <f ca="1">IF(ISNUMBER(L285),DATEDIF($E285,L285,"D")/7,"")</f>
        <v/>
      </c>
      <c r="X285" s="36"/>
    </row>
    <row r="286" spans="3:24" ht="15.75" customHeight="1" x14ac:dyDescent="0.2">
      <c r="C286" s="44"/>
      <c r="D286" s="45"/>
      <c r="E286" s="46"/>
      <c r="F286" s="294"/>
      <c r="G286" s="294"/>
      <c r="H286" s="294"/>
      <c r="I286" s="294"/>
      <c r="J286" s="294"/>
      <c r="K286" s="46"/>
      <c r="L286" s="40"/>
      <c r="O286" s="44"/>
      <c r="P286" s="45"/>
      <c r="Q286" s="46"/>
      <c r="R286" s="302"/>
      <c r="S286" s="303"/>
      <c r="T286" s="303"/>
      <c r="U286" s="303"/>
      <c r="V286" s="304"/>
      <c r="W286" s="304"/>
      <c r="X286" s="40"/>
    </row>
    <row r="287" spans="3:24" ht="15.75" customHeight="1" x14ac:dyDescent="0.2">
      <c r="C287" s="44"/>
      <c r="D287" s="45"/>
      <c r="E287" s="46"/>
      <c r="F287" s="294"/>
      <c r="G287" s="294"/>
      <c r="H287" s="294"/>
      <c r="I287" s="294"/>
      <c r="J287" s="294"/>
      <c r="K287" s="46"/>
      <c r="L287" s="40"/>
      <c r="O287" s="44"/>
      <c r="P287" s="45"/>
      <c r="Q287" s="46"/>
      <c r="R287" s="305"/>
      <c r="S287" s="306"/>
      <c r="T287" s="306"/>
      <c r="U287" s="306"/>
      <c r="V287" s="307"/>
      <c r="W287" s="307"/>
      <c r="X287" s="40"/>
    </row>
    <row r="288" spans="3:24" ht="15.75" customHeight="1" x14ac:dyDescent="0.2">
      <c r="C288" s="32" t="str">
        <f t="shared" ref="C288:E288" ca="1" si="320">O121</f>
        <v>0</v>
      </c>
      <c r="D288" s="33" t="str">
        <f t="shared" ca="1" si="320"/>
        <v>0</v>
      </c>
      <c r="E288" s="56" t="str">
        <f t="shared" ca="1" si="320"/>
        <v>0</v>
      </c>
      <c r="F288" s="291" t="str">
        <f t="shared" ref="F288:K288" ca="1" si="321">IF(R121&gt;0,F122,"")</f>
        <v/>
      </c>
      <c r="G288" s="291" t="str">
        <f t="shared" ca="1" si="321"/>
        <v/>
      </c>
      <c r="H288" s="291" t="str">
        <f t="shared" ca="1" si="321"/>
        <v/>
      </c>
      <c r="I288" s="291" t="str">
        <f t="shared" ca="1" si="321"/>
        <v/>
      </c>
      <c r="J288" s="291" t="str">
        <f t="shared" ca="1" si="321"/>
        <v/>
      </c>
      <c r="K288" s="56" t="str">
        <f t="shared" ca="1" si="321"/>
        <v/>
      </c>
      <c r="L288" s="296" t="str">
        <f ca="1">IF(W121&gt;0,L122,"")</f>
        <v/>
      </c>
      <c r="O288" s="32" t="str">
        <f t="shared" ref="O288:Q288" ca="1" si="322">C288</f>
        <v>0</v>
      </c>
      <c r="P288" s="33" t="str">
        <f t="shared" ca="1" si="322"/>
        <v>0</v>
      </c>
      <c r="Q288" s="56" t="str">
        <f t="shared" ca="1" si="322"/>
        <v>0</v>
      </c>
      <c r="R288" s="308" t="str">
        <f ca="1">IF(ISNUMBER(F288),DATEDIF($F285,F288,"D")/7,"")</f>
        <v/>
      </c>
      <c r="S288" s="309" t="str">
        <f t="shared" ref="S288:V288" ca="1" si="323">IF(ISNUMBER(G288),DATEDIF($E288,G288,"D")/7,"")</f>
        <v/>
      </c>
      <c r="T288" s="309" t="str">
        <f t="shared" ca="1" si="323"/>
        <v/>
      </c>
      <c r="U288" s="309" t="str">
        <f t="shared" ca="1" si="323"/>
        <v/>
      </c>
      <c r="V288" s="310" t="str">
        <f t="shared" ca="1" si="323"/>
        <v/>
      </c>
      <c r="W288" s="310" t="str">
        <f ca="1">IF(ISNUMBER(L288),DATEDIF($E288,L288,"D")/7,"")</f>
        <v/>
      </c>
      <c r="X288" s="36"/>
    </row>
    <row r="289" spans="3:24" ht="15.75" customHeight="1" x14ac:dyDescent="0.2">
      <c r="C289" s="44"/>
      <c r="D289" s="45"/>
      <c r="E289" s="46"/>
      <c r="F289" s="294"/>
      <c r="G289" s="294"/>
      <c r="H289" s="294"/>
      <c r="I289" s="294"/>
      <c r="J289" s="294"/>
      <c r="K289" s="46"/>
      <c r="L289" s="40"/>
      <c r="O289" s="44"/>
      <c r="P289" s="45"/>
      <c r="Q289" s="46"/>
      <c r="R289" s="294"/>
      <c r="S289" s="294"/>
      <c r="T289" s="294"/>
      <c r="U289" s="294"/>
      <c r="V289" s="295"/>
      <c r="W289" s="295"/>
      <c r="X289" s="40"/>
    </row>
    <row r="290" spans="3:24" ht="15.75" customHeight="1" x14ac:dyDescent="0.2">
      <c r="C290" s="44"/>
      <c r="D290" s="45"/>
      <c r="E290" s="46"/>
      <c r="F290" s="294"/>
      <c r="G290" s="294"/>
      <c r="H290" s="294"/>
      <c r="I290" s="294"/>
      <c r="J290" s="294"/>
      <c r="K290" s="46"/>
      <c r="L290" s="40"/>
      <c r="O290" s="44"/>
      <c r="P290" s="45"/>
      <c r="Q290" s="46"/>
      <c r="R290" s="294"/>
      <c r="S290" s="294"/>
      <c r="T290" s="294"/>
      <c r="U290" s="294"/>
      <c r="V290" s="295"/>
      <c r="W290" s="295"/>
      <c r="X290" s="40"/>
    </row>
    <row r="291" spans="3:24" ht="15.75" customHeight="1" x14ac:dyDescent="0.2">
      <c r="C291" s="32" t="str">
        <f t="shared" ref="C291:E291" ca="1" si="324">O124</f>
        <v>0</v>
      </c>
      <c r="D291" s="33" t="str">
        <f t="shared" ca="1" si="324"/>
        <v>0</v>
      </c>
      <c r="E291" s="56" t="str">
        <f t="shared" ca="1" si="324"/>
        <v>0</v>
      </c>
      <c r="F291" s="291" t="str">
        <f t="shared" ref="F291:K291" ca="1" si="325">IF(R124&gt;0,F125,"")</f>
        <v/>
      </c>
      <c r="G291" s="291" t="str">
        <f t="shared" ca="1" si="325"/>
        <v/>
      </c>
      <c r="H291" s="291" t="str">
        <f t="shared" ca="1" si="325"/>
        <v/>
      </c>
      <c r="I291" s="291" t="str">
        <f t="shared" ca="1" si="325"/>
        <v/>
      </c>
      <c r="J291" s="291" t="str">
        <f t="shared" ca="1" si="325"/>
        <v/>
      </c>
      <c r="K291" s="56" t="str">
        <f t="shared" ca="1" si="325"/>
        <v/>
      </c>
      <c r="L291" s="296" t="str">
        <f ca="1">IF(W124&gt;0,L125,"")</f>
        <v/>
      </c>
      <c r="O291" s="32" t="str">
        <f t="shared" ref="O291:Q291" ca="1" si="326">C291</f>
        <v>0</v>
      </c>
      <c r="P291" s="33" t="str">
        <f t="shared" ca="1" si="326"/>
        <v>0</v>
      </c>
      <c r="Q291" s="56" t="str">
        <f t="shared" ca="1" si="326"/>
        <v>0</v>
      </c>
      <c r="R291" s="299" t="str">
        <f ca="1">IF(ISNUMBER(F291),DATEDIF($F288,F291,"D")/7,"")</f>
        <v/>
      </c>
      <c r="S291" s="300" t="str">
        <f t="shared" ref="S291:V291" ca="1" si="327">IF(ISNUMBER(G291),DATEDIF($E291,G291,"D")/7,"")</f>
        <v/>
      </c>
      <c r="T291" s="300" t="str">
        <f t="shared" ca="1" si="327"/>
        <v/>
      </c>
      <c r="U291" s="300" t="str">
        <f t="shared" ca="1" si="327"/>
        <v/>
      </c>
      <c r="V291" s="301" t="str">
        <f t="shared" ca="1" si="327"/>
        <v/>
      </c>
      <c r="W291" s="301" t="str">
        <f ca="1">IF(ISNUMBER(L291),DATEDIF($E291,L291,"D")/7,"")</f>
        <v/>
      </c>
      <c r="X291" s="36"/>
    </row>
    <row r="292" spans="3:24" ht="15.75" customHeight="1" x14ac:dyDescent="0.2">
      <c r="C292" s="44"/>
      <c r="D292" s="45"/>
      <c r="E292" s="46"/>
      <c r="F292" s="294"/>
      <c r="G292" s="294"/>
      <c r="H292" s="294"/>
      <c r="I292" s="294"/>
      <c r="J292" s="294"/>
      <c r="K292" s="46"/>
      <c r="L292" s="40"/>
      <c r="O292" s="44"/>
      <c r="P292" s="45"/>
      <c r="Q292" s="46"/>
      <c r="R292" s="302"/>
      <c r="S292" s="303"/>
      <c r="T292" s="303"/>
      <c r="U292" s="303"/>
      <c r="V292" s="304"/>
      <c r="W292" s="304"/>
      <c r="X292" s="40"/>
    </row>
    <row r="293" spans="3:24" ht="15.75" customHeight="1" x14ac:dyDescent="0.2">
      <c r="C293" s="44"/>
      <c r="D293" s="45"/>
      <c r="E293" s="46"/>
      <c r="F293" s="294"/>
      <c r="G293" s="294"/>
      <c r="H293" s="294"/>
      <c r="I293" s="294"/>
      <c r="J293" s="294"/>
      <c r="K293" s="46"/>
      <c r="L293" s="40"/>
      <c r="O293" s="44"/>
      <c r="P293" s="45"/>
      <c r="Q293" s="46"/>
      <c r="R293" s="305"/>
      <c r="S293" s="306"/>
      <c r="T293" s="306"/>
      <c r="U293" s="306"/>
      <c r="V293" s="307"/>
      <c r="W293" s="307"/>
      <c r="X293" s="40"/>
    </row>
    <row r="294" spans="3:24" ht="15.75" customHeight="1" x14ac:dyDescent="0.2">
      <c r="C294" s="32" t="str">
        <f t="shared" ref="C294:E294" ca="1" si="328">O127</f>
        <v>0</v>
      </c>
      <c r="D294" s="33" t="str">
        <f t="shared" ca="1" si="328"/>
        <v>0</v>
      </c>
      <c r="E294" s="56" t="str">
        <f t="shared" ca="1" si="328"/>
        <v>0</v>
      </c>
      <c r="F294" s="291" t="str">
        <f t="shared" ref="F294:K294" ca="1" si="329">IF(R127&gt;0,F128,"")</f>
        <v/>
      </c>
      <c r="G294" s="291" t="str">
        <f t="shared" ca="1" si="329"/>
        <v/>
      </c>
      <c r="H294" s="291" t="str">
        <f t="shared" ca="1" si="329"/>
        <v/>
      </c>
      <c r="I294" s="291" t="str">
        <f t="shared" ca="1" si="329"/>
        <v/>
      </c>
      <c r="J294" s="291" t="str">
        <f t="shared" ca="1" si="329"/>
        <v/>
      </c>
      <c r="K294" s="56" t="str">
        <f t="shared" ca="1" si="329"/>
        <v/>
      </c>
      <c r="L294" s="296" t="str">
        <f ca="1">IF(W127&gt;0,L128,"")</f>
        <v/>
      </c>
      <c r="O294" s="32" t="str">
        <f t="shared" ref="O294:Q294" ca="1" si="330">C294</f>
        <v>0</v>
      </c>
      <c r="P294" s="33" t="str">
        <f t="shared" ca="1" si="330"/>
        <v>0</v>
      </c>
      <c r="Q294" s="56" t="str">
        <f t="shared" ca="1" si="330"/>
        <v>0</v>
      </c>
      <c r="R294" s="308" t="str">
        <f ca="1">IF(ISNUMBER(F294),DATEDIF($F291,F294,"D")/7,"")</f>
        <v/>
      </c>
      <c r="S294" s="309" t="str">
        <f t="shared" ref="S294:V294" ca="1" si="331">IF(ISNUMBER(G294),DATEDIF($E294,G294,"D")/7,"")</f>
        <v/>
      </c>
      <c r="T294" s="309" t="str">
        <f t="shared" ca="1" si="331"/>
        <v/>
      </c>
      <c r="U294" s="309" t="str">
        <f t="shared" ca="1" si="331"/>
        <v/>
      </c>
      <c r="V294" s="310" t="str">
        <f t="shared" ca="1" si="331"/>
        <v/>
      </c>
      <c r="W294" s="310" t="str">
        <f ca="1">IF(ISNUMBER(L294),DATEDIF($E294,L294,"D")/7,"")</f>
        <v/>
      </c>
      <c r="X294" s="36"/>
    </row>
    <row r="295" spans="3:24" ht="15.75" customHeight="1" x14ac:dyDescent="0.2">
      <c r="C295" s="44"/>
      <c r="D295" s="45"/>
      <c r="E295" s="46"/>
      <c r="F295" s="294"/>
      <c r="G295" s="294"/>
      <c r="H295" s="294"/>
      <c r="I295" s="294"/>
      <c r="J295" s="294"/>
      <c r="K295" s="46"/>
      <c r="L295" s="40"/>
      <c r="O295" s="44"/>
      <c r="P295" s="45"/>
      <c r="Q295" s="46"/>
      <c r="R295" s="302"/>
      <c r="S295" s="303"/>
      <c r="T295" s="303"/>
      <c r="U295" s="303"/>
      <c r="V295" s="304"/>
      <c r="W295" s="304"/>
      <c r="X295" s="40"/>
    </row>
    <row r="296" spans="3:24" ht="15.75" customHeight="1" x14ac:dyDescent="0.2">
      <c r="C296" s="44"/>
      <c r="D296" s="45"/>
      <c r="E296" s="46"/>
      <c r="F296" s="294"/>
      <c r="G296" s="294"/>
      <c r="H296" s="294"/>
      <c r="I296" s="294"/>
      <c r="J296" s="294"/>
      <c r="K296" s="46"/>
      <c r="L296" s="40"/>
      <c r="O296" s="44"/>
      <c r="P296" s="45"/>
      <c r="Q296" s="46"/>
      <c r="R296" s="305"/>
      <c r="S296" s="306"/>
      <c r="T296" s="306"/>
      <c r="U296" s="306"/>
      <c r="V296" s="307"/>
      <c r="W296" s="307"/>
      <c r="X296" s="40"/>
    </row>
    <row r="297" spans="3:24" ht="15.75" customHeight="1" x14ac:dyDescent="0.2">
      <c r="C297" s="32" t="str">
        <f t="shared" ref="C297:E297" ca="1" si="332">O130</f>
        <v>0</v>
      </c>
      <c r="D297" s="33" t="str">
        <f t="shared" ca="1" si="332"/>
        <v>0</v>
      </c>
      <c r="E297" s="56" t="str">
        <f t="shared" ca="1" si="332"/>
        <v>0</v>
      </c>
      <c r="F297" s="291" t="str">
        <f t="shared" ref="F297:K297" ca="1" si="333">IF(R130&gt;0,F131,"")</f>
        <v/>
      </c>
      <c r="G297" s="291" t="str">
        <f t="shared" ca="1" si="333"/>
        <v/>
      </c>
      <c r="H297" s="291" t="str">
        <f t="shared" ca="1" si="333"/>
        <v/>
      </c>
      <c r="I297" s="291" t="str">
        <f t="shared" ca="1" si="333"/>
        <v/>
      </c>
      <c r="J297" s="291" t="str">
        <f t="shared" ca="1" si="333"/>
        <v/>
      </c>
      <c r="K297" s="56" t="str">
        <f t="shared" ca="1" si="333"/>
        <v/>
      </c>
      <c r="L297" s="296" t="str">
        <f ca="1">IF(W130&gt;0,L131,"")</f>
        <v/>
      </c>
      <c r="O297" s="32" t="str">
        <f t="shared" ref="O297:Q297" ca="1" si="334">C297</f>
        <v>0</v>
      </c>
      <c r="P297" s="33" t="str">
        <f t="shared" ca="1" si="334"/>
        <v>0</v>
      </c>
      <c r="Q297" s="56" t="str">
        <f t="shared" ca="1" si="334"/>
        <v>0</v>
      </c>
      <c r="R297" s="308" t="str">
        <f ca="1">IF(ISNUMBER(F297),DATEDIF($F294,F297,"D")/7,"")</f>
        <v/>
      </c>
      <c r="S297" s="309" t="str">
        <f t="shared" ref="S297:V297" ca="1" si="335">IF(ISNUMBER(G297),DATEDIF($E297,G297,"D")/7,"")</f>
        <v/>
      </c>
      <c r="T297" s="309" t="str">
        <f t="shared" ca="1" si="335"/>
        <v/>
      </c>
      <c r="U297" s="309" t="str">
        <f t="shared" ca="1" si="335"/>
        <v/>
      </c>
      <c r="V297" s="310" t="str">
        <f t="shared" ca="1" si="335"/>
        <v/>
      </c>
      <c r="W297" s="310" t="str">
        <f ca="1">IF(ISNUMBER(L297),DATEDIF($E297,L297,"D")/7,"")</f>
        <v/>
      </c>
      <c r="X297" s="36"/>
    </row>
    <row r="298" spans="3:24" ht="15.75" customHeight="1" x14ac:dyDescent="0.2">
      <c r="C298" s="44"/>
      <c r="D298" s="45"/>
      <c r="E298" s="46"/>
      <c r="F298" s="294"/>
      <c r="G298" s="294"/>
      <c r="H298" s="294"/>
      <c r="I298" s="294"/>
      <c r="J298" s="294"/>
      <c r="K298" s="46"/>
      <c r="L298" s="40"/>
      <c r="O298" s="44"/>
      <c r="P298" s="45"/>
      <c r="Q298" s="46"/>
      <c r="R298" s="302"/>
      <c r="S298" s="303"/>
      <c r="T298" s="303"/>
      <c r="U298" s="303"/>
      <c r="V298" s="304"/>
      <c r="W298" s="304"/>
      <c r="X298" s="40"/>
    </row>
    <row r="299" spans="3:24" ht="15.75" customHeight="1" x14ac:dyDescent="0.2">
      <c r="C299" s="44"/>
      <c r="D299" s="45"/>
      <c r="E299" s="46"/>
      <c r="F299" s="294"/>
      <c r="G299" s="294"/>
      <c r="H299" s="294"/>
      <c r="I299" s="294"/>
      <c r="J299" s="294"/>
      <c r="K299" s="46"/>
      <c r="L299" s="40"/>
      <c r="O299" s="44"/>
      <c r="P299" s="45"/>
      <c r="Q299" s="46"/>
      <c r="R299" s="305"/>
      <c r="S299" s="306"/>
      <c r="T299" s="306"/>
      <c r="U299" s="306"/>
      <c r="V299" s="307"/>
      <c r="W299" s="307"/>
      <c r="X299" s="40"/>
    </row>
    <row r="300" spans="3:24" ht="15.75" customHeight="1" x14ac:dyDescent="0.2">
      <c r="C300" s="32" t="str">
        <f t="shared" ref="C300:E300" ca="1" si="336">O133</f>
        <v>0</v>
      </c>
      <c r="D300" s="33" t="str">
        <f t="shared" ca="1" si="336"/>
        <v>0</v>
      </c>
      <c r="E300" s="56" t="str">
        <f t="shared" ca="1" si="336"/>
        <v>0</v>
      </c>
      <c r="F300" s="291" t="str">
        <f t="shared" ref="F300:K300" ca="1" si="337">IF(R133&gt;0,F134,"")</f>
        <v/>
      </c>
      <c r="G300" s="291" t="str">
        <f t="shared" ca="1" si="337"/>
        <v/>
      </c>
      <c r="H300" s="291" t="str">
        <f t="shared" ca="1" si="337"/>
        <v/>
      </c>
      <c r="I300" s="291" t="str">
        <f t="shared" ca="1" si="337"/>
        <v/>
      </c>
      <c r="J300" s="291" t="str">
        <f t="shared" ca="1" si="337"/>
        <v/>
      </c>
      <c r="K300" s="56" t="str">
        <f t="shared" ca="1" si="337"/>
        <v/>
      </c>
      <c r="L300" s="296" t="str">
        <f ca="1">IF(W133&gt;0,L134,"")</f>
        <v/>
      </c>
      <c r="O300" s="32" t="str">
        <f t="shared" ref="O300:Q300" ca="1" si="338">C300</f>
        <v>0</v>
      </c>
      <c r="P300" s="33" t="str">
        <f t="shared" ca="1" si="338"/>
        <v>0</v>
      </c>
      <c r="Q300" s="56" t="str">
        <f t="shared" ca="1" si="338"/>
        <v>0</v>
      </c>
      <c r="R300" s="308" t="str">
        <f ca="1">IF(ISNUMBER(F300),DATEDIF($F297,F300,"D")/7,"")</f>
        <v/>
      </c>
      <c r="S300" s="309" t="str">
        <f t="shared" ref="S300:V300" ca="1" si="339">IF(ISNUMBER(G300),DATEDIF($E300,G300,"D")/7,"")</f>
        <v/>
      </c>
      <c r="T300" s="309" t="str">
        <f t="shared" ca="1" si="339"/>
        <v/>
      </c>
      <c r="U300" s="309" t="str">
        <f t="shared" ca="1" si="339"/>
        <v/>
      </c>
      <c r="V300" s="310" t="str">
        <f t="shared" ca="1" si="339"/>
        <v/>
      </c>
      <c r="W300" s="310" t="str">
        <f ca="1">IF(ISNUMBER(L300),DATEDIF($E300,L300,"D")/7,"")</f>
        <v/>
      </c>
      <c r="X300" s="36"/>
    </row>
    <row r="301" spans="3:24" ht="15.75" customHeight="1" x14ac:dyDescent="0.2">
      <c r="C301" s="44"/>
      <c r="D301" s="45"/>
      <c r="E301" s="46"/>
      <c r="F301" s="294"/>
      <c r="G301" s="294"/>
      <c r="H301" s="294"/>
      <c r="I301" s="294"/>
      <c r="J301" s="294"/>
      <c r="K301" s="46"/>
      <c r="L301" s="40"/>
      <c r="O301" s="44"/>
      <c r="P301" s="45"/>
      <c r="Q301" s="46"/>
      <c r="R301" s="294"/>
      <c r="S301" s="294"/>
      <c r="T301" s="294"/>
      <c r="U301" s="294"/>
      <c r="V301" s="295"/>
      <c r="W301" s="295"/>
      <c r="X301" s="40"/>
    </row>
    <row r="302" spans="3:24" ht="15.75" customHeight="1" x14ac:dyDescent="0.2">
      <c r="C302" s="44"/>
      <c r="D302" s="45"/>
      <c r="E302" s="46"/>
      <c r="F302" s="294"/>
      <c r="G302" s="294"/>
      <c r="H302" s="294"/>
      <c r="I302" s="294"/>
      <c r="J302" s="294"/>
      <c r="K302" s="46"/>
      <c r="L302" s="40"/>
      <c r="O302" s="44"/>
      <c r="P302" s="45"/>
      <c r="Q302" s="46"/>
      <c r="R302" s="294"/>
      <c r="S302" s="294"/>
      <c r="T302" s="294"/>
      <c r="U302" s="294"/>
      <c r="V302" s="295"/>
      <c r="W302" s="295"/>
      <c r="X302" s="40"/>
    </row>
    <row r="303" spans="3:24" ht="15.75" customHeight="1" x14ac:dyDescent="0.2">
      <c r="C303" s="32" t="str">
        <f t="shared" ref="C303:E303" ca="1" si="340">O136</f>
        <v>0</v>
      </c>
      <c r="D303" s="33" t="str">
        <f t="shared" ca="1" si="340"/>
        <v>0</v>
      </c>
      <c r="E303" s="56" t="str">
        <f t="shared" ca="1" si="340"/>
        <v>0</v>
      </c>
      <c r="F303" s="291" t="str">
        <f t="shared" ref="F303:K303" ca="1" si="341">IF(R136&gt;0,F137,"")</f>
        <v/>
      </c>
      <c r="G303" s="291" t="str">
        <f t="shared" ca="1" si="341"/>
        <v/>
      </c>
      <c r="H303" s="291" t="str">
        <f t="shared" ca="1" si="341"/>
        <v/>
      </c>
      <c r="I303" s="291" t="str">
        <f t="shared" ca="1" si="341"/>
        <v/>
      </c>
      <c r="J303" s="291" t="str">
        <f t="shared" ca="1" si="341"/>
        <v/>
      </c>
      <c r="K303" s="56" t="str">
        <f t="shared" ca="1" si="341"/>
        <v/>
      </c>
      <c r="L303" s="296" t="str">
        <f ca="1">IF(W136&gt;0,L137,"")</f>
        <v/>
      </c>
      <c r="O303" s="32" t="str">
        <f t="shared" ref="O303:Q303" ca="1" si="342">C303</f>
        <v>0</v>
      </c>
      <c r="P303" s="33" t="str">
        <f t="shared" ca="1" si="342"/>
        <v>0</v>
      </c>
      <c r="Q303" s="56" t="str">
        <f t="shared" ca="1" si="342"/>
        <v>0</v>
      </c>
      <c r="R303" s="299" t="str">
        <f ca="1">IF(ISNUMBER(F303),DATEDIF($F300,F303,"D")/7,"")</f>
        <v/>
      </c>
      <c r="S303" s="300" t="str">
        <f t="shared" ref="S303:V303" ca="1" si="343">IF(ISNUMBER(G303),DATEDIF($E303,G303,"D")/7,"")</f>
        <v/>
      </c>
      <c r="T303" s="300" t="str">
        <f t="shared" ca="1" si="343"/>
        <v/>
      </c>
      <c r="U303" s="300" t="str">
        <f t="shared" ca="1" si="343"/>
        <v/>
      </c>
      <c r="V303" s="301" t="str">
        <f t="shared" ca="1" si="343"/>
        <v/>
      </c>
      <c r="W303" s="301" t="str">
        <f ca="1">IF(ISNUMBER(L303),DATEDIF($E303,L303,"D")/7,"")</f>
        <v/>
      </c>
      <c r="X303" s="36"/>
    </row>
    <row r="304" spans="3:24" ht="15.75" customHeight="1" x14ac:dyDescent="0.2">
      <c r="C304" s="44"/>
      <c r="D304" s="45"/>
      <c r="E304" s="46"/>
      <c r="F304" s="294"/>
      <c r="G304" s="294"/>
      <c r="H304" s="294"/>
      <c r="I304" s="294"/>
      <c r="J304" s="294"/>
      <c r="K304" s="46"/>
      <c r="L304" s="40"/>
      <c r="O304" s="44"/>
      <c r="P304" s="45"/>
      <c r="Q304" s="46"/>
      <c r="R304" s="302"/>
      <c r="S304" s="303"/>
      <c r="T304" s="303"/>
      <c r="U304" s="303"/>
      <c r="V304" s="304"/>
      <c r="W304" s="304"/>
      <c r="X304" s="40"/>
    </row>
    <row r="305" spans="3:24" ht="15.75" customHeight="1" x14ac:dyDescent="0.2">
      <c r="C305" s="44"/>
      <c r="D305" s="45"/>
      <c r="E305" s="46"/>
      <c r="F305" s="294"/>
      <c r="G305" s="294"/>
      <c r="H305" s="294"/>
      <c r="I305" s="294"/>
      <c r="J305" s="294"/>
      <c r="K305" s="46"/>
      <c r="L305" s="40"/>
      <c r="O305" s="44"/>
      <c r="P305" s="45"/>
      <c r="Q305" s="46"/>
      <c r="R305" s="305"/>
      <c r="S305" s="306"/>
      <c r="T305" s="306"/>
      <c r="U305" s="306"/>
      <c r="V305" s="307"/>
      <c r="W305" s="307"/>
      <c r="X305" s="40"/>
    </row>
    <row r="306" spans="3:24" ht="15.75" customHeight="1" x14ac:dyDescent="0.2">
      <c r="C306" s="32" t="str">
        <f t="shared" ref="C306:E306" ca="1" si="344">O139</f>
        <v>0</v>
      </c>
      <c r="D306" s="33" t="str">
        <f t="shared" ca="1" si="344"/>
        <v>0</v>
      </c>
      <c r="E306" s="56" t="str">
        <f t="shared" ca="1" si="344"/>
        <v>0</v>
      </c>
      <c r="F306" s="291" t="str">
        <f t="shared" ref="F306:K306" ca="1" si="345">IF(R139&gt;0,F140,"")</f>
        <v/>
      </c>
      <c r="G306" s="291" t="str">
        <f t="shared" ca="1" si="345"/>
        <v/>
      </c>
      <c r="H306" s="291" t="str">
        <f t="shared" ca="1" si="345"/>
        <v/>
      </c>
      <c r="I306" s="291" t="str">
        <f t="shared" ca="1" si="345"/>
        <v/>
      </c>
      <c r="J306" s="291" t="str">
        <f t="shared" ca="1" si="345"/>
        <v/>
      </c>
      <c r="K306" s="56" t="str">
        <f t="shared" ca="1" si="345"/>
        <v/>
      </c>
      <c r="L306" s="296" t="str">
        <f ca="1">IF(W139&gt;0,L140,"")</f>
        <v/>
      </c>
      <c r="O306" s="32" t="str">
        <f t="shared" ref="O306:Q306" ca="1" si="346">C306</f>
        <v>0</v>
      </c>
      <c r="P306" s="33" t="str">
        <f t="shared" ca="1" si="346"/>
        <v>0</v>
      </c>
      <c r="Q306" s="56" t="str">
        <f t="shared" ca="1" si="346"/>
        <v>0</v>
      </c>
      <c r="R306" s="308" t="str">
        <f ca="1">IF(ISNUMBER(F306),DATEDIF($F303,F306,"D")/7,"")</f>
        <v/>
      </c>
      <c r="S306" s="309" t="str">
        <f t="shared" ref="S306:V306" ca="1" si="347">IF(ISNUMBER(G306),DATEDIF($E306,G306,"D")/7,"")</f>
        <v/>
      </c>
      <c r="T306" s="309" t="str">
        <f t="shared" ca="1" si="347"/>
        <v/>
      </c>
      <c r="U306" s="309" t="str">
        <f t="shared" ca="1" si="347"/>
        <v/>
      </c>
      <c r="V306" s="310" t="str">
        <f t="shared" ca="1" si="347"/>
        <v/>
      </c>
      <c r="W306" s="310" t="str">
        <f ca="1">IF(ISNUMBER(L306),DATEDIF($E306,L306,"D")/7,"")</f>
        <v/>
      </c>
      <c r="X306" s="36"/>
    </row>
    <row r="307" spans="3:24" ht="15.75" customHeight="1" x14ac:dyDescent="0.2">
      <c r="C307" s="44"/>
      <c r="D307" s="45"/>
      <c r="E307" s="46"/>
      <c r="F307" s="294"/>
      <c r="G307" s="294"/>
      <c r="H307" s="294"/>
      <c r="I307" s="294"/>
      <c r="J307" s="294"/>
      <c r="K307" s="46"/>
      <c r="L307" s="40"/>
      <c r="O307" s="44"/>
      <c r="P307" s="45"/>
      <c r="Q307" s="46"/>
      <c r="R307" s="302"/>
      <c r="S307" s="303"/>
      <c r="T307" s="303"/>
      <c r="U307" s="303"/>
      <c r="V307" s="304"/>
      <c r="W307" s="304"/>
      <c r="X307" s="40"/>
    </row>
    <row r="308" spans="3:24" ht="15.75" customHeight="1" x14ac:dyDescent="0.2">
      <c r="C308" s="44"/>
      <c r="D308" s="45"/>
      <c r="E308" s="46"/>
      <c r="F308" s="294"/>
      <c r="G308" s="294"/>
      <c r="H308" s="294"/>
      <c r="I308" s="294"/>
      <c r="J308" s="294"/>
      <c r="K308" s="46"/>
      <c r="L308" s="40"/>
      <c r="O308" s="44"/>
      <c r="P308" s="45"/>
      <c r="Q308" s="46"/>
      <c r="R308" s="305"/>
      <c r="S308" s="306"/>
      <c r="T308" s="306"/>
      <c r="U308" s="306"/>
      <c r="V308" s="307"/>
      <c r="W308" s="307"/>
      <c r="X308" s="40"/>
    </row>
    <row r="309" spans="3:24" ht="15.75" customHeight="1" x14ac:dyDescent="0.2">
      <c r="C309" s="32" t="str">
        <f t="shared" ref="C309:E309" ca="1" si="348">O142</f>
        <v>0</v>
      </c>
      <c r="D309" s="33" t="str">
        <f t="shared" ca="1" si="348"/>
        <v>0</v>
      </c>
      <c r="E309" s="56" t="str">
        <f t="shared" ca="1" si="348"/>
        <v>0</v>
      </c>
      <c r="F309" s="291" t="str">
        <f t="shared" ref="F309:K309" ca="1" si="349">IF(R142&gt;0,F143,"")</f>
        <v/>
      </c>
      <c r="G309" s="291" t="str">
        <f t="shared" ca="1" si="349"/>
        <v/>
      </c>
      <c r="H309" s="291" t="str">
        <f t="shared" ca="1" si="349"/>
        <v/>
      </c>
      <c r="I309" s="291" t="str">
        <f t="shared" ca="1" si="349"/>
        <v/>
      </c>
      <c r="J309" s="291" t="str">
        <f t="shared" ca="1" si="349"/>
        <v/>
      </c>
      <c r="K309" s="56" t="str">
        <f t="shared" ca="1" si="349"/>
        <v/>
      </c>
      <c r="L309" s="296" t="str">
        <f ca="1">IF(W142&gt;0,L143,"")</f>
        <v/>
      </c>
      <c r="O309" s="32" t="str">
        <f t="shared" ref="O309:Q309" ca="1" si="350">C309</f>
        <v>0</v>
      </c>
      <c r="P309" s="33" t="str">
        <f t="shared" ca="1" si="350"/>
        <v>0</v>
      </c>
      <c r="Q309" s="56" t="str">
        <f t="shared" ca="1" si="350"/>
        <v>0</v>
      </c>
      <c r="R309" s="299" t="str">
        <f ca="1">IF(ISNUMBER(F309),DATEDIF($F306,F309,"D")/7,"")</f>
        <v/>
      </c>
      <c r="S309" s="300" t="str">
        <f t="shared" ref="S309:V309" ca="1" si="351">IF(ISNUMBER(G309),DATEDIF($E309,G309,"D")/7,"")</f>
        <v/>
      </c>
      <c r="T309" s="300" t="str">
        <f t="shared" ca="1" si="351"/>
        <v/>
      </c>
      <c r="U309" s="300" t="str">
        <f t="shared" ca="1" si="351"/>
        <v/>
      </c>
      <c r="V309" s="301" t="str">
        <f t="shared" ca="1" si="351"/>
        <v/>
      </c>
      <c r="W309" s="301" t="str">
        <f ca="1">IF(ISNUMBER(L309),DATEDIF($E309,L309,"D")/7,"")</f>
        <v/>
      </c>
      <c r="X309" s="36"/>
    </row>
    <row r="310" spans="3:24" ht="15.75" customHeight="1" x14ac:dyDescent="0.2">
      <c r="C310" s="44"/>
      <c r="D310" s="45"/>
      <c r="E310" s="46"/>
      <c r="F310" s="294"/>
      <c r="G310" s="294"/>
      <c r="H310" s="294"/>
      <c r="I310" s="294"/>
      <c r="J310" s="294"/>
      <c r="K310" s="46"/>
      <c r="L310" s="40"/>
      <c r="O310" s="44"/>
      <c r="P310" s="45"/>
      <c r="Q310" s="46"/>
      <c r="R310" s="302"/>
      <c r="S310" s="303"/>
      <c r="T310" s="303"/>
      <c r="U310" s="303"/>
      <c r="V310" s="304"/>
      <c r="W310" s="304"/>
      <c r="X310" s="40"/>
    </row>
    <row r="311" spans="3:24" ht="15.75" customHeight="1" x14ac:dyDescent="0.2">
      <c r="C311" s="44"/>
      <c r="D311" s="45"/>
      <c r="E311" s="46"/>
      <c r="F311" s="294"/>
      <c r="G311" s="294"/>
      <c r="H311" s="294"/>
      <c r="I311" s="294"/>
      <c r="J311" s="294"/>
      <c r="K311" s="46"/>
      <c r="L311" s="40"/>
      <c r="O311" s="44"/>
      <c r="P311" s="45"/>
      <c r="Q311" s="46"/>
      <c r="R311" s="305"/>
      <c r="S311" s="306"/>
      <c r="T311" s="306"/>
      <c r="U311" s="306"/>
      <c r="V311" s="307"/>
      <c r="W311" s="307"/>
      <c r="X311" s="40"/>
    </row>
    <row r="312" spans="3:24" ht="15.75" customHeight="1" x14ac:dyDescent="0.2">
      <c r="C312" s="32" t="str">
        <f t="shared" ref="C312:E312" ca="1" si="352">O145</f>
        <v>0</v>
      </c>
      <c r="D312" s="33" t="str">
        <f t="shared" ca="1" si="352"/>
        <v>0</v>
      </c>
      <c r="E312" s="56" t="str">
        <f t="shared" ca="1" si="352"/>
        <v>0</v>
      </c>
      <c r="F312" s="291" t="str">
        <f t="shared" ref="F312:K312" ca="1" si="353">IF(R145&gt;0,F146,"")</f>
        <v/>
      </c>
      <c r="G312" s="291" t="str">
        <f t="shared" ca="1" si="353"/>
        <v/>
      </c>
      <c r="H312" s="291" t="str">
        <f t="shared" ca="1" si="353"/>
        <v/>
      </c>
      <c r="I312" s="291" t="str">
        <f t="shared" ca="1" si="353"/>
        <v/>
      </c>
      <c r="J312" s="291" t="str">
        <f t="shared" ca="1" si="353"/>
        <v/>
      </c>
      <c r="K312" s="56" t="str">
        <f t="shared" ca="1" si="353"/>
        <v/>
      </c>
      <c r="L312" s="296" t="str">
        <f ca="1">IF(W145&gt;0,L146,"")</f>
        <v/>
      </c>
      <c r="O312" s="32" t="str">
        <f t="shared" ref="O312:Q312" ca="1" si="354">C312</f>
        <v>0</v>
      </c>
      <c r="P312" s="33" t="str">
        <f t="shared" ca="1" si="354"/>
        <v>0</v>
      </c>
      <c r="Q312" s="56" t="str">
        <f t="shared" ca="1" si="354"/>
        <v>0</v>
      </c>
      <c r="R312" s="299" t="str">
        <f ca="1">IF(ISNUMBER(F312),DATEDIF($F309,F312,"D")/7,"")</f>
        <v/>
      </c>
      <c r="S312" s="300" t="str">
        <f t="shared" ref="S312:V312" ca="1" si="355">IF(ISNUMBER(G312),DATEDIF($E312,G312,"D")/7,"")</f>
        <v/>
      </c>
      <c r="T312" s="300" t="str">
        <f t="shared" ca="1" si="355"/>
        <v/>
      </c>
      <c r="U312" s="300" t="str">
        <f t="shared" ca="1" si="355"/>
        <v/>
      </c>
      <c r="V312" s="301" t="str">
        <f t="shared" ca="1" si="355"/>
        <v/>
      </c>
      <c r="W312" s="301" t="str">
        <f ca="1">IF(ISNUMBER(L312),DATEDIF($E312,L312,"D")/7,"")</f>
        <v/>
      </c>
      <c r="X312" s="36"/>
    </row>
    <row r="313" spans="3:24" ht="15.75" customHeight="1" x14ac:dyDescent="0.2">
      <c r="C313" s="44"/>
      <c r="D313" s="45"/>
      <c r="E313" s="46"/>
      <c r="F313" s="294"/>
      <c r="G313" s="294"/>
      <c r="H313" s="294"/>
      <c r="I313" s="294"/>
      <c r="J313" s="294"/>
      <c r="K313" s="46"/>
      <c r="L313" s="40"/>
      <c r="O313" s="44"/>
      <c r="P313" s="45"/>
      <c r="Q313" s="46"/>
      <c r="R313" s="302"/>
      <c r="S313" s="303"/>
      <c r="T313" s="303"/>
      <c r="U313" s="303"/>
      <c r="V313" s="304"/>
      <c r="W313" s="304"/>
      <c r="X313" s="40"/>
    </row>
    <row r="314" spans="3:24" ht="15.75" customHeight="1" x14ac:dyDescent="0.2">
      <c r="C314" s="44"/>
      <c r="D314" s="45"/>
      <c r="E314" s="46"/>
      <c r="F314" s="294"/>
      <c r="G314" s="294"/>
      <c r="H314" s="294"/>
      <c r="I314" s="294"/>
      <c r="J314" s="294"/>
      <c r="K314" s="46"/>
      <c r="L314" s="40"/>
      <c r="O314" s="44"/>
      <c r="P314" s="45"/>
      <c r="Q314" s="46"/>
      <c r="R314" s="305"/>
      <c r="S314" s="306"/>
      <c r="T314" s="306"/>
      <c r="U314" s="306"/>
      <c r="V314" s="307"/>
      <c r="W314" s="307"/>
      <c r="X314" s="40"/>
    </row>
    <row r="315" spans="3:24" ht="15.75" customHeight="1" x14ac:dyDescent="0.2">
      <c r="C315" s="32" t="str">
        <f t="shared" ref="C315:E315" ca="1" si="356">O148</f>
        <v>0</v>
      </c>
      <c r="D315" s="33" t="str">
        <f t="shared" ca="1" si="356"/>
        <v>0</v>
      </c>
      <c r="E315" s="56" t="str">
        <f t="shared" ca="1" si="356"/>
        <v>0</v>
      </c>
      <c r="F315" s="291" t="str">
        <f t="shared" ref="F315:K315" ca="1" si="357">IF(R148&gt;0,F149,"")</f>
        <v/>
      </c>
      <c r="G315" s="291" t="str">
        <f t="shared" ca="1" si="357"/>
        <v/>
      </c>
      <c r="H315" s="291" t="str">
        <f t="shared" ca="1" si="357"/>
        <v/>
      </c>
      <c r="I315" s="291" t="str">
        <f t="shared" ca="1" si="357"/>
        <v/>
      </c>
      <c r="J315" s="291" t="str">
        <f t="shared" ca="1" si="357"/>
        <v/>
      </c>
      <c r="K315" s="56" t="str">
        <f t="shared" ca="1" si="357"/>
        <v/>
      </c>
      <c r="L315" s="296" t="str">
        <f ca="1">IF(W148&gt;0,L149,"")</f>
        <v/>
      </c>
      <c r="O315" s="32" t="str">
        <f t="shared" ref="O315:Q315" ca="1" si="358">C315</f>
        <v>0</v>
      </c>
      <c r="P315" s="33" t="str">
        <f t="shared" ca="1" si="358"/>
        <v>0</v>
      </c>
      <c r="Q315" s="56" t="str">
        <f t="shared" ca="1" si="358"/>
        <v>0</v>
      </c>
      <c r="R315" s="308" t="str">
        <f ca="1">IF(ISNUMBER(F315),DATEDIF($F312,F315,"D")/7,"")</f>
        <v/>
      </c>
      <c r="S315" s="309" t="str">
        <f t="shared" ref="S315:V315" ca="1" si="359">IF(ISNUMBER(G315),DATEDIF($E315,G315,"D")/7,"")</f>
        <v/>
      </c>
      <c r="T315" s="309" t="str">
        <f t="shared" ca="1" si="359"/>
        <v/>
      </c>
      <c r="U315" s="309" t="str">
        <f t="shared" ca="1" si="359"/>
        <v/>
      </c>
      <c r="V315" s="310" t="str">
        <f t="shared" ca="1" si="359"/>
        <v/>
      </c>
      <c r="W315" s="310" t="str">
        <f ca="1">IF(ISNUMBER(L315),DATEDIF($E315,L315,"D")/7,"")</f>
        <v/>
      </c>
      <c r="X315" s="36"/>
    </row>
    <row r="316" spans="3:24" ht="15.75" customHeight="1" x14ac:dyDescent="0.2">
      <c r="C316" s="44"/>
      <c r="D316" s="45"/>
      <c r="E316" s="46"/>
      <c r="F316" s="294"/>
      <c r="G316" s="294"/>
      <c r="H316" s="294"/>
      <c r="I316" s="294"/>
      <c r="J316" s="294"/>
      <c r="K316" s="46"/>
      <c r="L316" s="40"/>
      <c r="O316" s="44"/>
      <c r="P316" s="45"/>
      <c r="Q316" s="46"/>
      <c r="R316" s="302"/>
      <c r="S316" s="303"/>
      <c r="T316" s="303"/>
      <c r="U316" s="303"/>
      <c r="V316" s="304"/>
      <c r="W316" s="304"/>
      <c r="X316" s="40"/>
    </row>
    <row r="317" spans="3:24" ht="15.75" customHeight="1" x14ac:dyDescent="0.2">
      <c r="C317" s="44"/>
      <c r="D317" s="45"/>
      <c r="E317" s="46"/>
      <c r="F317" s="294"/>
      <c r="G317" s="294"/>
      <c r="H317" s="294"/>
      <c r="I317" s="294"/>
      <c r="J317" s="294"/>
      <c r="K317" s="46"/>
      <c r="L317" s="40"/>
      <c r="O317" s="44"/>
      <c r="P317" s="45"/>
      <c r="Q317" s="46"/>
      <c r="R317" s="305"/>
      <c r="S317" s="306"/>
      <c r="T317" s="306"/>
      <c r="U317" s="306"/>
      <c r="V317" s="307"/>
      <c r="W317" s="307"/>
      <c r="X317" s="40"/>
    </row>
    <row r="318" spans="3:24" ht="15.75" customHeight="1" x14ac:dyDescent="0.2">
      <c r="C318" s="32" t="str">
        <f t="shared" ref="C318:E318" ca="1" si="360">O151</f>
        <v>0</v>
      </c>
      <c r="D318" s="33" t="str">
        <f t="shared" ca="1" si="360"/>
        <v>0</v>
      </c>
      <c r="E318" s="56" t="str">
        <f t="shared" ca="1" si="360"/>
        <v>0</v>
      </c>
      <c r="F318" s="291" t="str">
        <f t="shared" ref="F318:K318" ca="1" si="361">IF(R151&gt;0,F152,"")</f>
        <v/>
      </c>
      <c r="G318" s="291" t="str">
        <f t="shared" ca="1" si="361"/>
        <v/>
      </c>
      <c r="H318" s="291" t="str">
        <f t="shared" ca="1" si="361"/>
        <v/>
      </c>
      <c r="I318" s="291" t="str">
        <f t="shared" ca="1" si="361"/>
        <v/>
      </c>
      <c r="J318" s="291" t="str">
        <f t="shared" ca="1" si="361"/>
        <v/>
      </c>
      <c r="K318" s="56" t="str">
        <f t="shared" ca="1" si="361"/>
        <v/>
      </c>
      <c r="L318" s="296" t="str">
        <f ca="1">IF(W151&gt;0,L152,"")</f>
        <v/>
      </c>
      <c r="O318" s="32" t="str">
        <f t="shared" ref="O318:Q318" ca="1" si="362">C318</f>
        <v>0</v>
      </c>
      <c r="P318" s="33" t="str">
        <f t="shared" ca="1" si="362"/>
        <v>0</v>
      </c>
      <c r="Q318" s="56" t="str">
        <f t="shared" ca="1" si="362"/>
        <v>0</v>
      </c>
      <c r="R318" s="308" t="str">
        <f ca="1">IF(ISNUMBER(F318),DATEDIF($F315,F318,"D")/7,"")</f>
        <v/>
      </c>
      <c r="S318" s="309" t="str">
        <f t="shared" ref="S318:V318" ca="1" si="363">IF(ISNUMBER(G318),DATEDIF($E318,G318,"D")/7,"")</f>
        <v/>
      </c>
      <c r="T318" s="309" t="str">
        <f t="shared" ca="1" si="363"/>
        <v/>
      </c>
      <c r="U318" s="309" t="str">
        <f t="shared" ca="1" si="363"/>
        <v/>
      </c>
      <c r="V318" s="310" t="str">
        <f t="shared" ca="1" si="363"/>
        <v/>
      </c>
      <c r="W318" s="310" t="str">
        <f ca="1">IF(ISNUMBER(L318),DATEDIF($E318,L318,"D")/7,"")</f>
        <v/>
      </c>
      <c r="X318" s="36"/>
    </row>
    <row r="319" spans="3:24" ht="15.75" customHeight="1" x14ac:dyDescent="0.2">
      <c r="C319" s="44"/>
      <c r="D319" s="45"/>
      <c r="E319" s="46"/>
      <c r="F319" s="294"/>
      <c r="G319" s="294"/>
      <c r="H319" s="294"/>
      <c r="I319" s="294"/>
      <c r="J319" s="294"/>
      <c r="K319" s="46"/>
      <c r="L319" s="40"/>
      <c r="O319" s="44"/>
      <c r="P319" s="45"/>
      <c r="Q319" s="46"/>
      <c r="R319" s="302"/>
      <c r="S319" s="303"/>
      <c r="T319" s="303"/>
      <c r="U319" s="303"/>
      <c r="V319" s="304"/>
      <c r="W319" s="304"/>
      <c r="X319" s="40"/>
    </row>
    <row r="320" spans="3:24" ht="15.75" customHeight="1" x14ac:dyDescent="0.2">
      <c r="C320" s="44"/>
      <c r="D320" s="45"/>
      <c r="E320" s="46"/>
      <c r="F320" s="294"/>
      <c r="G320" s="294"/>
      <c r="H320" s="294"/>
      <c r="I320" s="294"/>
      <c r="J320" s="294"/>
      <c r="K320" s="46"/>
      <c r="L320" s="40"/>
      <c r="O320" s="44"/>
      <c r="P320" s="45"/>
      <c r="Q320" s="46"/>
      <c r="R320" s="305"/>
      <c r="S320" s="306"/>
      <c r="T320" s="306"/>
      <c r="U320" s="306"/>
      <c r="V320" s="307"/>
      <c r="W320" s="307"/>
      <c r="X320" s="40"/>
    </row>
    <row r="321" spans="1:24" ht="15.75" customHeight="1" x14ac:dyDescent="0.2">
      <c r="C321" s="32" t="str">
        <f t="shared" ref="C321:E321" ca="1" si="364">O154</f>
        <v>0</v>
      </c>
      <c r="D321" s="33" t="str">
        <f t="shared" ca="1" si="364"/>
        <v>0</v>
      </c>
      <c r="E321" s="56" t="str">
        <f t="shared" ca="1" si="364"/>
        <v>0</v>
      </c>
      <c r="F321" s="291" t="str">
        <f t="shared" ref="F321:K321" ca="1" si="365">IF(R154&gt;0,F155,"")</f>
        <v/>
      </c>
      <c r="G321" s="291" t="str">
        <f t="shared" ca="1" si="365"/>
        <v/>
      </c>
      <c r="H321" s="291" t="str">
        <f t="shared" ca="1" si="365"/>
        <v/>
      </c>
      <c r="I321" s="291" t="str">
        <f t="shared" ca="1" si="365"/>
        <v/>
      </c>
      <c r="J321" s="291" t="str">
        <f t="shared" ca="1" si="365"/>
        <v/>
      </c>
      <c r="K321" s="56" t="str">
        <f t="shared" ca="1" si="365"/>
        <v/>
      </c>
      <c r="L321" s="296" t="str">
        <f ca="1">IF(W154&gt;0,L155,"")</f>
        <v/>
      </c>
      <c r="O321" s="32" t="str">
        <f t="shared" ref="O321:Q321" ca="1" si="366">C321</f>
        <v>0</v>
      </c>
      <c r="P321" s="33" t="str">
        <f t="shared" ca="1" si="366"/>
        <v>0</v>
      </c>
      <c r="Q321" s="56" t="str">
        <f t="shared" ca="1" si="366"/>
        <v>0</v>
      </c>
      <c r="R321" s="308" t="str">
        <f ca="1">IF(ISNUMBER(F321),DATEDIF($F318,F321,"D")/7,"")</f>
        <v/>
      </c>
      <c r="S321" s="309" t="str">
        <f t="shared" ref="S321:V321" ca="1" si="367">IF(ISNUMBER(G321),DATEDIF($E321,G321,"D")/7,"")</f>
        <v/>
      </c>
      <c r="T321" s="309" t="str">
        <f t="shared" ca="1" si="367"/>
        <v/>
      </c>
      <c r="U321" s="309" t="str">
        <f t="shared" ca="1" si="367"/>
        <v/>
      </c>
      <c r="V321" s="310" t="str">
        <f t="shared" ca="1" si="367"/>
        <v/>
      </c>
      <c r="W321" s="310" t="str">
        <f ca="1">IF(ISNUMBER(L321),DATEDIF($E321,L321,"D")/7,"")</f>
        <v/>
      </c>
      <c r="X321" s="36"/>
    </row>
    <row r="322" spans="1:24" ht="15.75" customHeight="1" x14ac:dyDescent="0.2">
      <c r="C322" s="44"/>
      <c r="D322" s="45"/>
      <c r="E322" s="46"/>
      <c r="F322" s="294"/>
      <c r="G322" s="294"/>
      <c r="H322" s="294"/>
      <c r="I322" s="294"/>
      <c r="J322" s="294"/>
      <c r="K322" s="46"/>
      <c r="L322" s="40"/>
      <c r="O322" s="44"/>
      <c r="P322" s="45"/>
      <c r="Q322" s="46"/>
      <c r="R322" s="294"/>
      <c r="S322" s="294"/>
      <c r="T322" s="294"/>
      <c r="U322" s="294"/>
      <c r="V322" s="295"/>
      <c r="W322" s="295"/>
      <c r="X322" s="40"/>
    </row>
    <row r="323" spans="1:24" ht="15.75" customHeight="1" x14ac:dyDescent="0.2">
      <c r="C323" s="311"/>
      <c r="D323" s="312"/>
      <c r="E323" s="313"/>
      <c r="F323" s="314"/>
      <c r="G323" s="314"/>
      <c r="H323" s="314"/>
      <c r="I323" s="314"/>
      <c r="J323" s="314"/>
      <c r="K323" s="313"/>
      <c r="L323" s="51"/>
      <c r="O323" s="44"/>
      <c r="P323" s="45"/>
      <c r="Q323" s="46"/>
      <c r="R323" s="294"/>
      <c r="S323" s="294"/>
      <c r="T323" s="294"/>
      <c r="U323" s="294"/>
      <c r="V323" s="295"/>
      <c r="W323" s="295"/>
      <c r="X323" s="40"/>
    </row>
    <row r="324" spans="1:24" ht="25.5" customHeight="1" x14ac:dyDescent="0.2">
      <c r="O324" s="315" t="s">
        <v>157</v>
      </c>
      <c r="P324" s="316"/>
      <c r="Q324" s="317"/>
      <c r="R324" s="318" t="str">
        <f t="shared" ref="R324:V324" ca="1" si="368">IFERROR(AVERAGEIF(R174:R323,"&gt;0"),"NA")</f>
        <v>NA</v>
      </c>
      <c r="S324" s="318" t="str">
        <f t="shared" ca="1" si="368"/>
        <v>NA</v>
      </c>
      <c r="T324" s="318" t="str">
        <f t="shared" ca="1" si="368"/>
        <v>NA</v>
      </c>
      <c r="U324" s="318" t="str">
        <f t="shared" ca="1" si="368"/>
        <v>NA</v>
      </c>
      <c r="V324" s="319" t="str">
        <f t="shared" ca="1" si="368"/>
        <v>NA</v>
      </c>
      <c r="W324" s="320" t="str">
        <f t="shared" ref="W324:X324" ca="1" si="369">IFERROR(AVERAGEIF(W174:W285,"&gt;0"),"NA")</f>
        <v>NA</v>
      </c>
      <c r="X324" s="321" t="str">
        <f t="shared" si="369"/>
        <v>NA</v>
      </c>
    </row>
    <row r="325" spans="1:24" ht="15.75" customHeight="1" x14ac:dyDescent="0.2"/>
    <row r="326" spans="1:24" ht="15.75" customHeight="1" x14ac:dyDescent="0.2">
      <c r="A326" s="286" t="s">
        <v>30</v>
      </c>
      <c r="B326" s="7" t="s">
        <v>158</v>
      </c>
    </row>
    <row r="327" spans="1:24" ht="15.75" customHeight="1" x14ac:dyDescent="0.2"/>
    <row r="328" spans="1:24" ht="15.75" customHeight="1" x14ac:dyDescent="0.2">
      <c r="C328" s="501" t="s">
        <v>159</v>
      </c>
      <c r="D328" s="491"/>
      <c r="E328" s="491"/>
      <c r="F328" s="491"/>
      <c r="G328" s="491"/>
      <c r="H328" s="491"/>
      <c r="I328" s="491"/>
      <c r="J328" s="491"/>
      <c r="K328" s="491"/>
      <c r="L328" s="492"/>
    </row>
    <row r="329" spans="1:24" ht="15.75" customHeight="1" x14ac:dyDescent="0.2">
      <c r="C329" s="502"/>
      <c r="D329" s="492"/>
      <c r="E329" s="17" t="str">
        <f t="shared" ref="E329:J329" si="370">E173</f>
        <v>Intl Inv Date</v>
      </c>
      <c r="F329" s="17" t="str">
        <f t="shared" si="370"/>
        <v>Seed</v>
      </c>
      <c r="G329" s="21" t="str">
        <f t="shared" si="370"/>
        <v xml:space="preserve">Ext. </v>
      </c>
      <c r="H329" s="21" t="str">
        <f t="shared" si="370"/>
        <v>A</v>
      </c>
      <c r="I329" s="21" t="str">
        <f t="shared" si="370"/>
        <v>B</v>
      </c>
      <c r="J329" s="22" t="str">
        <f t="shared" si="370"/>
        <v>C</v>
      </c>
      <c r="K329" s="22"/>
      <c r="L329" s="23" t="str">
        <f>L173</f>
        <v>Returns</v>
      </c>
    </row>
    <row r="330" spans="1:24" ht="15.75" customHeight="1" x14ac:dyDescent="0.2">
      <c r="C330" s="32" t="str">
        <f t="shared" ref="C330:E330" ca="1" si="371">O7</f>
        <v>0</v>
      </c>
      <c r="D330" s="33" t="str">
        <f t="shared" ca="1" si="371"/>
        <v>0</v>
      </c>
      <c r="E330" s="34" t="str">
        <f t="shared" ca="1" si="371"/>
        <v>0</v>
      </c>
      <c r="F330" s="322" t="str">
        <f t="shared" ref="F330:J330" ca="1" si="372">IF(R7&gt;0,(R7/$R7),"")</f>
        <v/>
      </c>
      <c r="G330" s="322" t="str">
        <f t="shared" ca="1" si="372"/>
        <v/>
      </c>
      <c r="H330" s="322" t="str">
        <f t="shared" ca="1" si="372"/>
        <v/>
      </c>
      <c r="I330" s="322" t="str">
        <f t="shared" ca="1" si="372"/>
        <v/>
      </c>
      <c r="J330" s="323" t="str">
        <f t="shared" ca="1" si="372"/>
        <v/>
      </c>
      <c r="K330" s="322"/>
      <c r="L330" s="324" t="str">
        <f ca="1">IF(W7&gt;0,(W7/$R7),"")</f>
        <v/>
      </c>
    </row>
    <row r="331" spans="1:24" ht="15.75" customHeight="1" x14ac:dyDescent="0.2">
      <c r="C331" s="44"/>
      <c r="D331" s="45"/>
      <c r="E331" s="46"/>
      <c r="F331" s="294"/>
      <c r="G331" s="294"/>
      <c r="H331" s="294"/>
      <c r="I331" s="294"/>
      <c r="J331" s="294"/>
      <c r="K331" s="46"/>
      <c r="L331" s="40"/>
    </row>
    <row r="332" spans="1:24" ht="15.75" customHeight="1" x14ac:dyDescent="0.2">
      <c r="C332" s="44"/>
      <c r="D332" s="45"/>
      <c r="E332" s="46"/>
      <c r="F332" s="294"/>
      <c r="G332" s="294"/>
      <c r="H332" s="294"/>
      <c r="I332" s="294"/>
      <c r="J332" s="294"/>
      <c r="K332" s="46"/>
      <c r="L332" s="40"/>
    </row>
    <row r="333" spans="1:24" ht="15.75" customHeight="1" x14ac:dyDescent="0.2">
      <c r="C333" s="32" t="str">
        <f t="shared" ref="C333:E333" ca="1" si="373">O10</f>
        <v>0</v>
      </c>
      <c r="D333" s="33" t="str">
        <f t="shared" ca="1" si="373"/>
        <v>0</v>
      </c>
      <c r="E333" s="56" t="str">
        <f t="shared" ca="1" si="373"/>
        <v>0</v>
      </c>
      <c r="F333" s="322" t="str">
        <f t="shared" ref="F333:J333" ca="1" si="374">IF(R10&gt;0,(R10/$R10),"")</f>
        <v/>
      </c>
      <c r="G333" s="322" t="str">
        <f t="shared" ca="1" si="374"/>
        <v/>
      </c>
      <c r="H333" s="322" t="str">
        <f t="shared" ca="1" si="374"/>
        <v/>
      </c>
      <c r="I333" s="322" t="str">
        <f t="shared" ca="1" si="374"/>
        <v/>
      </c>
      <c r="J333" s="323" t="str">
        <f t="shared" ca="1" si="374"/>
        <v/>
      </c>
      <c r="K333" s="325"/>
      <c r="L333" s="326" t="str">
        <f ca="1">IF(W10&gt;0,(W10/$R10),"")</f>
        <v/>
      </c>
    </row>
    <row r="334" spans="1:24" ht="15.75" customHeight="1" x14ac:dyDescent="0.2">
      <c r="C334" s="44"/>
      <c r="D334" s="45"/>
      <c r="E334" s="46"/>
      <c r="F334" s="294"/>
      <c r="G334" s="294"/>
      <c r="H334" s="294"/>
      <c r="I334" s="294"/>
      <c r="J334" s="294"/>
      <c r="K334" s="46"/>
      <c r="L334" s="40"/>
    </row>
    <row r="335" spans="1:24" ht="15.75" customHeight="1" x14ac:dyDescent="0.2">
      <c r="C335" s="44"/>
      <c r="D335" s="45"/>
      <c r="E335" s="46"/>
      <c r="F335" s="294"/>
      <c r="G335" s="294"/>
      <c r="H335" s="294"/>
      <c r="I335" s="294"/>
      <c r="J335" s="294"/>
      <c r="K335" s="46"/>
      <c r="L335" s="40"/>
    </row>
    <row r="336" spans="1:24" ht="15.75" customHeight="1" x14ac:dyDescent="0.2">
      <c r="C336" s="32" t="str">
        <f t="shared" ref="C336:E336" ca="1" si="375">O13</f>
        <v>0</v>
      </c>
      <c r="D336" s="33" t="str">
        <f t="shared" ca="1" si="375"/>
        <v>0</v>
      </c>
      <c r="E336" s="56" t="str">
        <f t="shared" ca="1" si="375"/>
        <v>0</v>
      </c>
      <c r="F336" s="322" t="str">
        <f t="shared" ref="F336:J336" ca="1" si="376">IF(R13&gt;0,(R13/$R13),"")</f>
        <v/>
      </c>
      <c r="G336" s="322" t="str">
        <f t="shared" ca="1" si="376"/>
        <v/>
      </c>
      <c r="H336" s="322" t="str">
        <f t="shared" ca="1" si="376"/>
        <v/>
      </c>
      <c r="I336" s="322" t="str">
        <f t="shared" ca="1" si="376"/>
        <v/>
      </c>
      <c r="J336" s="323" t="str">
        <f t="shared" ca="1" si="376"/>
        <v/>
      </c>
      <c r="K336" s="296"/>
      <c r="L336" s="326" t="str">
        <f ca="1">IF(W13&gt;0,(W13/$R13),"")</f>
        <v/>
      </c>
    </row>
    <row r="337" spans="3:12" ht="15.75" customHeight="1" x14ac:dyDescent="0.2">
      <c r="C337" s="44"/>
      <c r="D337" s="45"/>
      <c r="E337" s="46"/>
      <c r="F337" s="294"/>
      <c r="G337" s="294"/>
      <c r="H337" s="294"/>
      <c r="I337" s="294"/>
      <c r="J337" s="294"/>
      <c r="K337" s="46"/>
      <c r="L337" s="40"/>
    </row>
    <row r="338" spans="3:12" ht="15.75" customHeight="1" x14ac:dyDescent="0.2">
      <c r="C338" s="44"/>
      <c r="D338" s="45"/>
      <c r="E338" s="46"/>
      <c r="F338" s="294"/>
      <c r="G338" s="294"/>
      <c r="H338" s="294"/>
      <c r="I338" s="294"/>
      <c r="J338" s="294"/>
      <c r="K338" s="46"/>
      <c r="L338" s="40"/>
    </row>
    <row r="339" spans="3:12" ht="15.75" customHeight="1" x14ac:dyDescent="0.2">
      <c r="C339" s="32" t="str">
        <f t="shared" ref="C339:E339" ca="1" si="377">O16</f>
        <v>0</v>
      </c>
      <c r="D339" s="33" t="str">
        <f t="shared" ca="1" si="377"/>
        <v>0</v>
      </c>
      <c r="E339" s="56" t="str">
        <f t="shared" ca="1" si="377"/>
        <v>0</v>
      </c>
      <c r="F339" s="322" t="str">
        <f t="shared" ref="F339:J339" ca="1" si="378">IF(R16&gt;0,(R16/$R16),"")</f>
        <v/>
      </c>
      <c r="G339" s="322" t="str">
        <f t="shared" ca="1" si="378"/>
        <v/>
      </c>
      <c r="H339" s="322" t="str">
        <f t="shared" ca="1" si="378"/>
        <v/>
      </c>
      <c r="I339" s="322" t="str">
        <f t="shared" ca="1" si="378"/>
        <v/>
      </c>
      <c r="J339" s="323" t="str">
        <f t="shared" ca="1" si="378"/>
        <v/>
      </c>
      <c r="K339" s="56"/>
      <c r="L339" s="326" t="str">
        <f ca="1">IF(W16&gt;0,(W16/$R16),"")</f>
        <v/>
      </c>
    </row>
    <row r="340" spans="3:12" ht="15.75" customHeight="1" x14ac:dyDescent="0.2">
      <c r="C340" s="44"/>
      <c r="D340" s="45"/>
      <c r="E340" s="46"/>
      <c r="F340" s="294"/>
      <c r="G340" s="294"/>
      <c r="H340" s="294"/>
      <c r="I340" s="294"/>
      <c r="J340" s="294"/>
      <c r="K340" s="46"/>
      <c r="L340" s="40"/>
    </row>
    <row r="341" spans="3:12" ht="15.75" customHeight="1" x14ac:dyDescent="0.2">
      <c r="C341" s="44"/>
      <c r="D341" s="45"/>
      <c r="E341" s="46"/>
      <c r="F341" s="294"/>
      <c r="G341" s="294"/>
      <c r="H341" s="294"/>
      <c r="I341" s="294"/>
      <c r="J341" s="294"/>
      <c r="K341" s="46"/>
      <c r="L341" s="40"/>
    </row>
    <row r="342" spans="3:12" ht="15.75" customHeight="1" x14ac:dyDescent="0.2">
      <c r="C342" s="32" t="str">
        <f t="shared" ref="C342:E342" ca="1" si="379">O19</f>
        <v>0</v>
      </c>
      <c r="D342" s="33" t="str">
        <f t="shared" ca="1" si="379"/>
        <v>0</v>
      </c>
      <c r="E342" s="56" t="str">
        <f t="shared" ca="1" si="379"/>
        <v>0</v>
      </c>
      <c r="F342" s="322" t="str">
        <f t="shared" ref="F342:J342" ca="1" si="380">IF(R19&gt;0,(R19/$R19),"")</f>
        <v/>
      </c>
      <c r="G342" s="322" t="str">
        <f t="shared" ca="1" si="380"/>
        <v/>
      </c>
      <c r="H342" s="322" t="str">
        <f t="shared" ca="1" si="380"/>
        <v/>
      </c>
      <c r="I342" s="322" t="str">
        <f t="shared" ca="1" si="380"/>
        <v/>
      </c>
      <c r="J342" s="323" t="str">
        <f t="shared" ca="1" si="380"/>
        <v/>
      </c>
      <c r="K342" s="296"/>
      <c r="L342" s="326" t="str">
        <f ca="1">IF(W19&gt;0,(W19/$R19),"")</f>
        <v/>
      </c>
    </row>
    <row r="343" spans="3:12" ht="15.75" customHeight="1" x14ac:dyDescent="0.2">
      <c r="C343" s="44"/>
      <c r="D343" s="45"/>
      <c r="E343" s="46"/>
      <c r="F343" s="294"/>
      <c r="G343" s="294"/>
      <c r="H343" s="294"/>
      <c r="I343" s="294"/>
      <c r="J343" s="294"/>
      <c r="K343" s="46"/>
      <c r="L343" s="40"/>
    </row>
    <row r="344" spans="3:12" ht="15.75" customHeight="1" x14ac:dyDescent="0.2">
      <c r="C344" s="44"/>
      <c r="D344" s="45"/>
      <c r="E344" s="46"/>
      <c r="F344" s="294"/>
      <c r="G344" s="294"/>
      <c r="H344" s="294"/>
      <c r="I344" s="294"/>
      <c r="J344" s="294"/>
      <c r="K344" s="46"/>
      <c r="L344" s="40"/>
    </row>
    <row r="345" spans="3:12" ht="15.75" customHeight="1" x14ac:dyDescent="0.2">
      <c r="C345" s="32" t="str">
        <f t="shared" ref="C345:E345" ca="1" si="381">O22</f>
        <v>0</v>
      </c>
      <c r="D345" s="33" t="str">
        <f t="shared" ca="1" si="381"/>
        <v>0</v>
      </c>
      <c r="E345" s="56" t="str">
        <f t="shared" ca="1" si="381"/>
        <v>0</v>
      </c>
      <c r="F345" s="322" t="str">
        <f t="shared" ref="F345:J345" ca="1" si="382">IF(R22&gt;0,(R22/$R22),"")</f>
        <v/>
      </c>
      <c r="G345" s="322" t="str">
        <f t="shared" ca="1" si="382"/>
        <v/>
      </c>
      <c r="H345" s="322" t="str">
        <f t="shared" ca="1" si="382"/>
        <v/>
      </c>
      <c r="I345" s="322" t="str">
        <f t="shared" ca="1" si="382"/>
        <v/>
      </c>
      <c r="J345" s="323" t="str">
        <f t="shared" ca="1" si="382"/>
        <v/>
      </c>
      <c r="K345" s="56"/>
      <c r="L345" s="326" t="str">
        <f ca="1">IF(W22&gt;0,(W22/$R22),"")</f>
        <v/>
      </c>
    </row>
    <row r="346" spans="3:12" ht="15.75" customHeight="1" x14ac:dyDescent="0.2">
      <c r="C346" s="44"/>
      <c r="D346" s="45"/>
      <c r="E346" s="46"/>
      <c r="F346" s="294"/>
      <c r="G346" s="294"/>
      <c r="H346" s="294"/>
      <c r="I346" s="294"/>
      <c r="J346" s="294"/>
      <c r="K346" s="46"/>
      <c r="L346" s="40"/>
    </row>
    <row r="347" spans="3:12" ht="15.75" customHeight="1" x14ac:dyDescent="0.2">
      <c r="C347" s="44"/>
      <c r="D347" s="45"/>
      <c r="E347" s="46"/>
      <c r="F347" s="294"/>
      <c r="G347" s="294"/>
      <c r="H347" s="294"/>
      <c r="I347" s="294"/>
      <c r="J347" s="294"/>
      <c r="K347" s="46"/>
      <c r="L347" s="40"/>
    </row>
    <row r="348" spans="3:12" ht="15.75" customHeight="1" x14ac:dyDescent="0.2">
      <c r="C348" s="32" t="str">
        <f t="shared" ref="C348:E348" ca="1" si="383">O25</f>
        <v>0</v>
      </c>
      <c r="D348" s="33" t="str">
        <f t="shared" ca="1" si="383"/>
        <v>0</v>
      </c>
      <c r="E348" s="56" t="str">
        <f t="shared" ca="1" si="383"/>
        <v>0</v>
      </c>
      <c r="F348" s="322" t="str">
        <f t="shared" ref="F348:J348" ca="1" si="384">IF(R25&gt;0,(R25/$R25),"")</f>
        <v/>
      </c>
      <c r="G348" s="322" t="str">
        <f t="shared" ca="1" si="384"/>
        <v/>
      </c>
      <c r="H348" s="322" t="str">
        <f t="shared" ca="1" si="384"/>
        <v/>
      </c>
      <c r="I348" s="322" t="str">
        <f t="shared" ca="1" si="384"/>
        <v/>
      </c>
      <c r="J348" s="323" t="str">
        <f t="shared" ca="1" si="384"/>
        <v/>
      </c>
      <c r="K348" s="296"/>
      <c r="L348" s="326" t="str">
        <f ca="1">IF(W25&gt;0,(W25/$R25),"")</f>
        <v/>
      </c>
    </row>
    <row r="349" spans="3:12" ht="15.75" customHeight="1" x14ac:dyDescent="0.2">
      <c r="C349" s="44"/>
      <c r="D349" s="45"/>
      <c r="E349" s="46"/>
      <c r="F349" s="294"/>
      <c r="G349" s="294"/>
      <c r="H349" s="294"/>
      <c r="I349" s="294"/>
      <c r="J349" s="294"/>
      <c r="K349" s="46"/>
      <c r="L349" s="40"/>
    </row>
    <row r="350" spans="3:12" ht="15.75" customHeight="1" x14ac:dyDescent="0.2">
      <c r="C350" s="44"/>
      <c r="D350" s="45"/>
      <c r="E350" s="46"/>
      <c r="F350" s="294"/>
      <c r="G350" s="294"/>
      <c r="H350" s="294"/>
      <c r="I350" s="294"/>
      <c r="J350" s="294"/>
      <c r="K350" s="46"/>
      <c r="L350" s="40"/>
    </row>
    <row r="351" spans="3:12" ht="15.75" customHeight="1" x14ac:dyDescent="0.2">
      <c r="C351" s="32" t="str">
        <f t="shared" ref="C351:E351" ca="1" si="385">O28</f>
        <v>0</v>
      </c>
      <c r="D351" s="33" t="str">
        <f t="shared" ca="1" si="385"/>
        <v>0</v>
      </c>
      <c r="E351" s="56" t="str">
        <f t="shared" ca="1" si="385"/>
        <v>0</v>
      </c>
      <c r="F351" s="322" t="str">
        <f t="shared" ref="F351:J351" ca="1" si="386">IF(R28&gt;0,(R28/$R28),"")</f>
        <v/>
      </c>
      <c r="G351" s="322" t="str">
        <f t="shared" ca="1" si="386"/>
        <v/>
      </c>
      <c r="H351" s="322" t="str">
        <f t="shared" ca="1" si="386"/>
        <v/>
      </c>
      <c r="I351" s="322" t="str">
        <f t="shared" ca="1" si="386"/>
        <v/>
      </c>
      <c r="J351" s="323" t="str">
        <f t="shared" ca="1" si="386"/>
        <v/>
      </c>
      <c r="K351" s="56"/>
      <c r="L351" s="326" t="str">
        <f ca="1">IF(W28&gt;0,(W28/$R28),"")</f>
        <v/>
      </c>
    </row>
    <row r="352" spans="3:12" ht="15.75" customHeight="1" x14ac:dyDescent="0.2">
      <c r="C352" s="44"/>
      <c r="D352" s="45"/>
      <c r="E352" s="46"/>
      <c r="F352" s="294"/>
      <c r="G352" s="294"/>
      <c r="H352" s="294"/>
      <c r="I352" s="294"/>
      <c r="J352" s="294"/>
      <c r="K352" s="46"/>
      <c r="L352" s="40"/>
    </row>
    <row r="353" spans="3:12" ht="15.75" customHeight="1" x14ac:dyDescent="0.2">
      <c r="C353" s="44"/>
      <c r="D353" s="45"/>
      <c r="E353" s="46"/>
      <c r="F353" s="294"/>
      <c r="G353" s="294"/>
      <c r="H353" s="294"/>
      <c r="I353" s="294"/>
      <c r="J353" s="294"/>
      <c r="K353" s="46"/>
      <c r="L353" s="40"/>
    </row>
    <row r="354" spans="3:12" ht="15.75" customHeight="1" x14ac:dyDescent="0.2">
      <c r="C354" s="32" t="str">
        <f t="shared" ref="C354:E354" ca="1" si="387">O31</f>
        <v>0</v>
      </c>
      <c r="D354" s="33" t="str">
        <f t="shared" ca="1" si="387"/>
        <v>0</v>
      </c>
      <c r="E354" s="56" t="str">
        <f t="shared" ca="1" si="387"/>
        <v>0</v>
      </c>
      <c r="F354" s="322" t="str">
        <f t="shared" ref="F354:J354" ca="1" si="388">IF(R31&gt;0,(R31/$R31),"")</f>
        <v/>
      </c>
      <c r="G354" s="322" t="str">
        <f t="shared" ca="1" si="388"/>
        <v/>
      </c>
      <c r="H354" s="322" t="str">
        <f t="shared" ca="1" si="388"/>
        <v/>
      </c>
      <c r="I354" s="322" t="str">
        <f t="shared" ca="1" si="388"/>
        <v/>
      </c>
      <c r="J354" s="323" t="str">
        <f t="shared" ca="1" si="388"/>
        <v/>
      </c>
      <c r="K354" s="296"/>
      <c r="L354" s="326" t="str">
        <f ca="1">IF(W31&gt;0,(W31/$R31),"")</f>
        <v/>
      </c>
    </row>
    <row r="355" spans="3:12" ht="15.75" customHeight="1" x14ac:dyDescent="0.2">
      <c r="C355" s="44"/>
      <c r="D355" s="45"/>
      <c r="E355" s="46"/>
      <c r="F355" s="294"/>
      <c r="G355" s="294"/>
      <c r="H355" s="294"/>
      <c r="I355" s="294"/>
      <c r="J355" s="294"/>
      <c r="K355" s="46"/>
      <c r="L355" s="40"/>
    </row>
    <row r="356" spans="3:12" ht="15.75" customHeight="1" x14ac:dyDescent="0.2">
      <c r="C356" s="44"/>
      <c r="D356" s="45"/>
      <c r="E356" s="46"/>
      <c r="F356" s="294"/>
      <c r="G356" s="294"/>
      <c r="H356" s="294"/>
      <c r="I356" s="294"/>
      <c r="J356" s="294"/>
      <c r="K356" s="46"/>
      <c r="L356" s="40"/>
    </row>
    <row r="357" spans="3:12" ht="15.75" customHeight="1" x14ac:dyDescent="0.2">
      <c r="C357" s="32" t="str">
        <f t="shared" ref="C357:E357" ca="1" si="389">O34</f>
        <v>0</v>
      </c>
      <c r="D357" s="33" t="str">
        <f t="shared" ca="1" si="389"/>
        <v>0</v>
      </c>
      <c r="E357" s="56" t="str">
        <f t="shared" ca="1" si="389"/>
        <v>0</v>
      </c>
      <c r="F357" s="322" t="str">
        <f t="shared" ref="F357:J357" ca="1" si="390">IF(R34&gt;0,(R34/$R34),"")</f>
        <v/>
      </c>
      <c r="G357" s="322" t="str">
        <f t="shared" ca="1" si="390"/>
        <v/>
      </c>
      <c r="H357" s="322" t="str">
        <f t="shared" ca="1" si="390"/>
        <v/>
      </c>
      <c r="I357" s="322" t="str">
        <f t="shared" ca="1" si="390"/>
        <v/>
      </c>
      <c r="J357" s="323" t="str">
        <f t="shared" ca="1" si="390"/>
        <v/>
      </c>
      <c r="K357" s="56"/>
      <c r="L357" s="326" t="str">
        <f ca="1">IF(W34&gt;0,(W34/$R34),"")</f>
        <v/>
      </c>
    </row>
    <row r="358" spans="3:12" ht="15.75" customHeight="1" x14ac:dyDescent="0.2">
      <c r="C358" s="44"/>
      <c r="D358" s="45"/>
      <c r="E358" s="46"/>
      <c r="F358" s="294"/>
      <c r="G358" s="294"/>
      <c r="H358" s="294"/>
      <c r="I358" s="294"/>
      <c r="J358" s="294"/>
      <c r="K358" s="46"/>
      <c r="L358" s="40"/>
    </row>
    <row r="359" spans="3:12" ht="15.75" customHeight="1" x14ac:dyDescent="0.2">
      <c r="C359" s="44"/>
      <c r="D359" s="45"/>
      <c r="E359" s="46"/>
      <c r="F359" s="294"/>
      <c r="G359" s="294"/>
      <c r="H359" s="294"/>
      <c r="I359" s="294"/>
      <c r="J359" s="294"/>
      <c r="K359" s="46"/>
      <c r="L359" s="40"/>
    </row>
    <row r="360" spans="3:12" ht="15.75" customHeight="1" x14ac:dyDescent="0.2">
      <c r="C360" s="32" t="str">
        <f t="shared" ref="C360:E360" ca="1" si="391">O37</f>
        <v>0</v>
      </c>
      <c r="D360" s="33" t="str">
        <f t="shared" ca="1" si="391"/>
        <v>0</v>
      </c>
      <c r="E360" s="56" t="str">
        <f t="shared" ca="1" si="391"/>
        <v>0</v>
      </c>
      <c r="F360" s="322" t="str">
        <f t="shared" ref="F360:J360" ca="1" si="392">IF(R37&gt;0,(R37/$R37),"")</f>
        <v/>
      </c>
      <c r="G360" s="322" t="str">
        <f t="shared" ca="1" si="392"/>
        <v/>
      </c>
      <c r="H360" s="322" t="str">
        <f t="shared" ca="1" si="392"/>
        <v/>
      </c>
      <c r="I360" s="322" t="str">
        <f t="shared" ca="1" si="392"/>
        <v/>
      </c>
      <c r="J360" s="323" t="str">
        <f t="shared" ca="1" si="392"/>
        <v/>
      </c>
      <c r="K360" s="296"/>
      <c r="L360" s="326" t="str">
        <f ca="1">IF(W37&gt;0,(W37/$R37),"")</f>
        <v/>
      </c>
    </row>
    <row r="361" spans="3:12" ht="15.75" customHeight="1" x14ac:dyDescent="0.2">
      <c r="C361" s="44"/>
      <c r="D361" s="45"/>
      <c r="E361" s="46"/>
      <c r="F361" s="294"/>
      <c r="G361" s="294"/>
      <c r="H361" s="294"/>
      <c r="I361" s="294"/>
      <c r="J361" s="294"/>
      <c r="K361" s="46"/>
      <c r="L361" s="40"/>
    </row>
    <row r="362" spans="3:12" ht="15.75" customHeight="1" x14ac:dyDescent="0.2">
      <c r="C362" s="44"/>
      <c r="D362" s="45"/>
      <c r="E362" s="46"/>
      <c r="F362" s="294"/>
      <c r="G362" s="294"/>
      <c r="H362" s="294"/>
      <c r="I362" s="294"/>
      <c r="J362" s="294"/>
      <c r="K362" s="46"/>
      <c r="L362" s="40"/>
    </row>
    <row r="363" spans="3:12" ht="15.75" customHeight="1" x14ac:dyDescent="0.2">
      <c r="C363" s="32" t="str">
        <f t="shared" ref="C363:E363" ca="1" si="393">O40</f>
        <v>0</v>
      </c>
      <c r="D363" s="33" t="str">
        <f t="shared" ca="1" si="393"/>
        <v>0</v>
      </c>
      <c r="E363" s="56" t="str">
        <f t="shared" ca="1" si="393"/>
        <v>0</v>
      </c>
      <c r="F363" s="322" t="str">
        <f t="shared" ref="F363:J363" ca="1" si="394">IF(R40&gt;0,(R40/$R40),"")</f>
        <v/>
      </c>
      <c r="G363" s="322" t="str">
        <f t="shared" ca="1" si="394"/>
        <v/>
      </c>
      <c r="H363" s="322" t="str">
        <f t="shared" ca="1" si="394"/>
        <v/>
      </c>
      <c r="I363" s="322" t="str">
        <f t="shared" ca="1" si="394"/>
        <v/>
      </c>
      <c r="J363" s="323" t="str">
        <f t="shared" ca="1" si="394"/>
        <v/>
      </c>
      <c r="K363" s="56"/>
      <c r="L363" s="326" t="str">
        <f ca="1">IF(W40&gt;0,(W40/$R40),"")</f>
        <v/>
      </c>
    </row>
    <row r="364" spans="3:12" ht="15.75" customHeight="1" x14ac:dyDescent="0.2">
      <c r="C364" s="44"/>
      <c r="D364" s="45"/>
      <c r="E364" s="46"/>
      <c r="F364" s="294"/>
      <c r="G364" s="294"/>
      <c r="H364" s="294"/>
      <c r="I364" s="294"/>
      <c r="J364" s="294"/>
      <c r="K364" s="46"/>
      <c r="L364" s="40"/>
    </row>
    <row r="365" spans="3:12" ht="15.75" customHeight="1" x14ac:dyDescent="0.2">
      <c r="C365" s="44"/>
      <c r="D365" s="45"/>
      <c r="E365" s="46"/>
      <c r="F365" s="294"/>
      <c r="G365" s="294"/>
      <c r="H365" s="294"/>
      <c r="I365" s="294"/>
      <c r="J365" s="294"/>
      <c r="K365" s="46"/>
      <c r="L365" s="40"/>
    </row>
    <row r="366" spans="3:12" ht="15.75" customHeight="1" x14ac:dyDescent="0.2">
      <c r="C366" s="32" t="str">
        <f t="shared" ref="C366:E366" ca="1" si="395">O43</f>
        <v>0</v>
      </c>
      <c r="D366" s="33" t="str">
        <f t="shared" ca="1" si="395"/>
        <v>0</v>
      </c>
      <c r="E366" s="56" t="str">
        <f t="shared" ca="1" si="395"/>
        <v>0</v>
      </c>
      <c r="F366" s="322" t="str">
        <f t="shared" ref="F366:J366" ca="1" si="396">IF(R43&gt;0,(R43/$R43),"")</f>
        <v/>
      </c>
      <c r="G366" s="322" t="str">
        <f t="shared" ca="1" si="396"/>
        <v/>
      </c>
      <c r="H366" s="322" t="str">
        <f t="shared" ca="1" si="396"/>
        <v/>
      </c>
      <c r="I366" s="322" t="str">
        <f t="shared" ca="1" si="396"/>
        <v/>
      </c>
      <c r="J366" s="323" t="str">
        <f t="shared" ca="1" si="396"/>
        <v/>
      </c>
      <c r="K366" s="296"/>
      <c r="L366" s="326" t="str">
        <f ca="1">IF(W43&gt;0,(W43/$R43),"")</f>
        <v/>
      </c>
    </row>
    <row r="367" spans="3:12" ht="15.75" customHeight="1" x14ac:dyDescent="0.2">
      <c r="C367" s="44"/>
      <c r="D367" s="45"/>
      <c r="E367" s="46"/>
      <c r="F367" s="294"/>
      <c r="G367" s="294"/>
      <c r="H367" s="294"/>
      <c r="I367" s="294"/>
      <c r="J367" s="294"/>
      <c r="K367" s="46"/>
      <c r="L367" s="40"/>
    </row>
    <row r="368" spans="3:12" ht="15.75" customHeight="1" x14ac:dyDescent="0.2">
      <c r="C368" s="44"/>
      <c r="D368" s="45"/>
      <c r="E368" s="46"/>
      <c r="F368" s="294"/>
      <c r="G368" s="294"/>
      <c r="H368" s="294"/>
      <c r="I368" s="294"/>
      <c r="J368" s="294"/>
      <c r="K368" s="46"/>
      <c r="L368" s="40"/>
    </row>
    <row r="369" spans="3:12" ht="15.75" customHeight="1" x14ac:dyDescent="0.2">
      <c r="C369" s="32" t="str">
        <f t="shared" ref="C369:E369" ca="1" si="397">O46</f>
        <v>0</v>
      </c>
      <c r="D369" s="33" t="str">
        <f t="shared" ca="1" si="397"/>
        <v>0</v>
      </c>
      <c r="E369" s="56" t="str">
        <f t="shared" ca="1" si="397"/>
        <v>0</v>
      </c>
      <c r="F369" s="322" t="str">
        <f t="shared" ref="F369:J369" ca="1" si="398">IF(R46&gt;0,(R46/$R46),"")</f>
        <v/>
      </c>
      <c r="G369" s="322" t="str">
        <f t="shared" ca="1" si="398"/>
        <v/>
      </c>
      <c r="H369" s="322" t="str">
        <f t="shared" ca="1" si="398"/>
        <v/>
      </c>
      <c r="I369" s="322" t="str">
        <f t="shared" ca="1" si="398"/>
        <v/>
      </c>
      <c r="J369" s="323" t="str">
        <f t="shared" ca="1" si="398"/>
        <v/>
      </c>
      <c r="K369" s="56"/>
      <c r="L369" s="326" t="str">
        <f ca="1">IF(W46&gt;0,(W46/$R46),"")</f>
        <v/>
      </c>
    </row>
    <row r="370" spans="3:12" ht="15.75" customHeight="1" x14ac:dyDescent="0.2">
      <c r="C370" s="44"/>
      <c r="D370" s="45"/>
      <c r="E370" s="46"/>
      <c r="F370" s="294"/>
      <c r="G370" s="294"/>
      <c r="H370" s="294"/>
      <c r="I370" s="294"/>
      <c r="J370" s="294"/>
      <c r="K370" s="46"/>
      <c r="L370" s="40"/>
    </row>
    <row r="371" spans="3:12" ht="15.75" customHeight="1" x14ac:dyDescent="0.2">
      <c r="C371" s="44"/>
      <c r="D371" s="45"/>
      <c r="E371" s="46"/>
      <c r="F371" s="294"/>
      <c r="G371" s="294"/>
      <c r="H371" s="294"/>
      <c r="I371" s="294"/>
      <c r="J371" s="294"/>
      <c r="K371" s="46"/>
      <c r="L371" s="40"/>
    </row>
    <row r="372" spans="3:12" ht="15.75" customHeight="1" x14ac:dyDescent="0.2">
      <c r="C372" s="32" t="str">
        <f t="shared" ref="C372:E372" ca="1" si="399">O49</f>
        <v>0</v>
      </c>
      <c r="D372" s="33" t="str">
        <f t="shared" ca="1" si="399"/>
        <v>0</v>
      </c>
      <c r="E372" s="56" t="str">
        <f t="shared" ca="1" si="399"/>
        <v>0</v>
      </c>
      <c r="F372" s="322" t="str">
        <f t="shared" ref="F372:J372" ca="1" si="400">IF(R49&gt;0,(R49/$R49),"")</f>
        <v/>
      </c>
      <c r="G372" s="322" t="str">
        <f t="shared" ca="1" si="400"/>
        <v/>
      </c>
      <c r="H372" s="322" t="str">
        <f t="shared" ca="1" si="400"/>
        <v/>
      </c>
      <c r="I372" s="322" t="str">
        <f t="shared" ca="1" si="400"/>
        <v/>
      </c>
      <c r="J372" s="323" t="str">
        <f t="shared" ca="1" si="400"/>
        <v/>
      </c>
      <c r="K372" s="296"/>
      <c r="L372" s="326" t="str">
        <f ca="1">IF(W49&gt;0,(W49/$R49),"")</f>
        <v/>
      </c>
    </row>
    <row r="373" spans="3:12" ht="15.75" customHeight="1" x14ac:dyDescent="0.2">
      <c r="C373" s="44"/>
      <c r="D373" s="45"/>
      <c r="E373" s="46"/>
      <c r="F373" s="294"/>
      <c r="G373" s="294"/>
      <c r="H373" s="294"/>
      <c r="I373" s="294"/>
      <c r="J373" s="294"/>
      <c r="K373" s="46"/>
      <c r="L373" s="40"/>
    </row>
    <row r="374" spans="3:12" ht="15.75" customHeight="1" x14ac:dyDescent="0.2">
      <c r="C374" s="44"/>
      <c r="D374" s="45"/>
      <c r="E374" s="46"/>
      <c r="F374" s="294"/>
      <c r="G374" s="294"/>
      <c r="H374" s="294"/>
      <c r="I374" s="294"/>
      <c r="J374" s="294"/>
      <c r="K374" s="46"/>
      <c r="L374" s="40"/>
    </row>
    <row r="375" spans="3:12" ht="15.75" customHeight="1" x14ac:dyDescent="0.2">
      <c r="C375" s="32" t="str">
        <f t="shared" ref="C375:E375" ca="1" si="401">O52</f>
        <v>0</v>
      </c>
      <c r="D375" s="33" t="str">
        <f t="shared" ca="1" si="401"/>
        <v>0</v>
      </c>
      <c r="E375" s="56" t="str">
        <f t="shared" ca="1" si="401"/>
        <v>0</v>
      </c>
      <c r="F375" s="322" t="str">
        <f t="shared" ref="F375:J375" ca="1" si="402">IF(R52&gt;0,(R52/$R52),"")</f>
        <v/>
      </c>
      <c r="G375" s="322" t="str">
        <f t="shared" ca="1" si="402"/>
        <v/>
      </c>
      <c r="H375" s="322" t="str">
        <f t="shared" ca="1" si="402"/>
        <v/>
      </c>
      <c r="I375" s="322" t="str">
        <f t="shared" ca="1" si="402"/>
        <v/>
      </c>
      <c r="J375" s="323" t="str">
        <f t="shared" ca="1" si="402"/>
        <v/>
      </c>
      <c r="K375" s="296"/>
      <c r="L375" s="326" t="str">
        <f ca="1">IF(W52&gt;0,(W52/$R52),"")</f>
        <v/>
      </c>
    </row>
    <row r="376" spans="3:12" ht="15.75" customHeight="1" x14ac:dyDescent="0.2">
      <c r="C376" s="44"/>
      <c r="D376" s="45"/>
      <c r="E376" s="46"/>
      <c r="F376" s="294"/>
      <c r="G376" s="294"/>
      <c r="H376" s="294"/>
      <c r="I376" s="294"/>
      <c r="J376" s="294"/>
      <c r="K376" s="46"/>
      <c r="L376" s="40"/>
    </row>
    <row r="377" spans="3:12" ht="15.75" customHeight="1" x14ac:dyDescent="0.2">
      <c r="C377" s="44"/>
      <c r="D377" s="45"/>
      <c r="E377" s="46"/>
      <c r="F377" s="294"/>
      <c r="G377" s="294"/>
      <c r="H377" s="294"/>
      <c r="I377" s="294"/>
      <c r="J377" s="294"/>
      <c r="K377" s="46"/>
      <c r="L377" s="40"/>
    </row>
    <row r="378" spans="3:12" ht="15.75" customHeight="1" x14ac:dyDescent="0.2">
      <c r="C378" s="32" t="str">
        <f t="shared" ref="C378:E378" ca="1" si="403">O55</f>
        <v>0</v>
      </c>
      <c r="D378" s="33" t="str">
        <f t="shared" ca="1" si="403"/>
        <v>0</v>
      </c>
      <c r="E378" s="56" t="str">
        <f t="shared" ca="1" si="403"/>
        <v>0</v>
      </c>
      <c r="F378" s="322" t="str">
        <f t="shared" ref="F378:J378" ca="1" si="404">IF(R55&gt;0,(R55/$R55),"")</f>
        <v/>
      </c>
      <c r="G378" s="322" t="str">
        <f t="shared" ca="1" si="404"/>
        <v/>
      </c>
      <c r="H378" s="322" t="str">
        <f t="shared" ca="1" si="404"/>
        <v/>
      </c>
      <c r="I378" s="322" t="str">
        <f t="shared" ca="1" si="404"/>
        <v/>
      </c>
      <c r="J378" s="323" t="str">
        <f t="shared" ca="1" si="404"/>
        <v/>
      </c>
      <c r="K378" s="56"/>
      <c r="L378" s="326" t="str">
        <f ca="1">IF(W55&gt;0,(W55/$R55),"")</f>
        <v/>
      </c>
    </row>
    <row r="379" spans="3:12" ht="15.75" customHeight="1" x14ac:dyDescent="0.2">
      <c r="C379" s="44"/>
      <c r="D379" s="45"/>
      <c r="E379" s="46"/>
      <c r="F379" s="294"/>
      <c r="G379" s="294"/>
      <c r="H379" s="294"/>
      <c r="I379" s="294"/>
      <c r="J379" s="294"/>
      <c r="K379" s="46"/>
      <c r="L379" s="40"/>
    </row>
    <row r="380" spans="3:12" ht="15.75" customHeight="1" x14ac:dyDescent="0.2">
      <c r="C380" s="44"/>
      <c r="D380" s="45"/>
      <c r="E380" s="46"/>
      <c r="F380" s="294"/>
      <c r="G380" s="294"/>
      <c r="H380" s="294"/>
      <c r="I380" s="294"/>
      <c r="J380" s="294"/>
      <c r="K380" s="46"/>
      <c r="L380" s="40"/>
    </row>
    <row r="381" spans="3:12" ht="15.75" customHeight="1" x14ac:dyDescent="0.2">
      <c r="C381" s="32" t="str">
        <f t="shared" ref="C381:E381" ca="1" si="405">O58</f>
        <v>0</v>
      </c>
      <c r="D381" s="33" t="str">
        <f t="shared" ca="1" si="405"/>
        <v>0</v>
      </c>
      <c r="E381" s="56" t="str">
        <f t="shared" ca="1" si="405"/>
        <v>0</v>
      </c>
      <c r="F381" s="322" t="str">
        <f t="shared" ref="F381:J381" ca="1" si="406">IF(R58&gt;0,(R58/$R58),"")</f>
        <v/>
      </c>
      <c r="G381" s="322" t="str">
        <f t="shared" ca="1" si="406"/>
        <v/>
      </c>
      <c r="H381" s="322" t="str">
        <f t="shared" ca="1" si="406"/>
        <v/>
      </c>
      <c r="I381" s="322" t="str">
        <f t="shared" ca="1" si="406"/>
        <v/>
      </c>
      <c r="J381" s="323" t="str">
        <f t="shared" ca="1" si="406"/>
        <v/>
      </c>
      <c r="K381" s="296"/>
      <c r="L381" s="326" t="str">
        <f ca="1">IF(W58&gt;0,(W58/$R58),"")</f>
        <v/>
      </c>
    </row>
    <row r="382" spans="3:12" ht="15.75" customHeight="1" x14ac:dyDescent="0.2">
      <c r="C382" s="44"/>
      <c r="D382" s="45"/>
      <c r="E382" s="46"/>
      <c r="F382" s="294"/>
      <c r="G382" s="294"/>
      <c r="H382" s="294"/>
      <c r="I382" s="294"/>
      <c r="J382" s="294"/>
      <c r="K382" s="46"/>
      <c r="L382" s="40"/>
    </row>
    <row r="383" spans="3:12" ht="15.75" customHeight="1" x14ac:dyDescent="0.2">
      <c r="C383" s="44"/>
      <c r="D383" s="45"/>
      <c r="E383" s="46"/>
      <c r="F383" s="294"/>
      <c r="G383" s="294"/>
      <c r="H383" s="294"/>
      <c r="I383" s="294"/>
      <c r="J383" s="294"/>
      <c r="K383" s="46"/>
      <c r="L383" s="40"/>
    </row>
    <row r="384" spans="3:12" ht="15.75" customHeight="1" x14ac:dyDescent="0.2">
      <c r="C384" s="32" t="str">
        <f t="shared" ref="C384:E384" ca="1" si="407">O61</f>
        <v>0</v>
      </c>
      <c r="D384" s="33" t="str">
        <f t="shared" ca="1" si="407"/>
        <v>0</v>
      </c>
      <c r="E384" s="56" t="str">
        <f t="shared" ca="1" si="407"/>
        <v>0</v>
      </c>
      <c r="F384" s="322" t="str">
        <f t="shared" ref="F384:J384" ca="1" si="408">IF(R61&gt;0,(R61/$R61),"")</f>
        <v/>
      </c>
      <c r="G384" s="322" t="str">
        <f t="shared" ca="1" si="408"/>
        <v/>
      </c>
      <c r="H384" s="322" t="str">
        <f t="shared" ca="1" si="408"/>
        <v/>
      </c>
      <c r="I384" s="322" t="str">
        <f t="shared" ca="1" si="408"/>
        <v/>
      </c>
      <c r="J384" s="323" t="str">
        <f t="shared" ca="1" si="408"/>
        <v/>
      </c>
      <c r="K384" s="56"/>
      <c r="L384" s="326" t="str">
        <f ca="1">IF(W61&gt;0,(W61/$R61),"")</f>
        <v/>
      </c>
    </row>
    <row r="385" spans="3:12" ht="15.75" customHeight="1" x14ac:dyDescent="0.2">
      <c r="C385" s="44"/>
      <c r="D385" s="45"/>
      <c r="E385" s="46"/>
      <c r="F385" s="294"/>
      <c r="G385" s="294"/>
      <c r="H385" s="294"/>
      <c r="I385" s="294"/>
      <c r="J385" s="294"/>
      <c r="K385" s="46"/>
      <c r="L385" s="40"/>
    </row>
    <row r="386" spans="3:12" ht="15.75" customHeight="1" x14ac:dyDescent="0.2">
      <c r="C386" s="44"/>
      <c r="D386" s="45"/>
      <c r="E386" s="46"/>
      <c r="F386" s="294"/>
      <c r="G386" s="294"/>
      <c r="H386" s="294"/>
      <c r="I386" s="294"/>
      <c r="J386" s="294"/>
      <c r="K386" s="46"/>
      <c r="L386" s="40"/>
    </row>
    <row r="387" spans="3:12" ht="15.75" customHeight="1" x14ac:dyDescent="0.2">
      <c r="C387" s="32" t="str">
        <f t="shared" ref="C387:E387" ca="1" si="409">O64</f>
        <v>0</v>
      </c>
      <c r="D387" s="33" t="str">
        <f t="shared" ca="1" si="409"/>
        <v>0</v>
      </c>
      <c r="E387" s="56" t="str">
        <f t="shared" ca="1" si="409"/>
        <v>0</v>
      </c>
      <c r="F387" s="322" t="str">
        <f t="shared" ref="F387:J387" ca="1" si="410">IF(R64&gt;0,(R64/$R64),"")</f>
        <v/>
      </c>
      <c r="G387" s="322" t="str">
        <f t="shared" ca="1" si="410"/>
        <v/>
      </c>
      <c r="H387" s="322" t="str">
        <f t="shared" ca="1" si="410"/>
        <v/>
      </c>
      <c r="I387" s="322" t="str">
        <f t="shared" ca="1" si="410"/>
        <v/>
      </c>
      <c r="J387" s="323" t="str">
        <f t="shared" ca="1" si="410"/>
        <v/>
      </c>
      <c r="K387" s="296"/>
      <c r="L387" s="326" t="str">
        <f ca="1">IF(W64&gt;0,(W64/$R64),"")</f>
        <v/>
      </c>
    </row>
    <row r="388" spans="3:12" ht="15.75" customHeight="1" x14ac:dyDescent="0.2">
      <c r="C388" s="44"/>
      <c r="D388" s="45"/>
      <c r="E388" s="46"/>
      <c r="F388" s="294"/>
      <c r="G388" s="294"/>
      <c r="H388" s="294"/>
      <c r="I388" s="294"/>
      <c r="J388" s="294"/>
      <c r="K388" s="46"/>
      <c r="L388" s="40"/>
    </row>
    <row r="389" spans="3:12" ht="15.75" customHeight="1" x14ac:dyDescent="0.2">
      <c r="C389" s="44"/>
      <c r="D389" s="45"/>
      <c r="E389" s="46"/>
      <c r="F389" s="294"/>
      <c r="G389" s="294"/>
      <c r="H389" s="294"/>
      <c r="I389" s="294"/>
      <c r="J389" s="294"/>
      <c r="K389" s="46"/>
      <c r="L389" s="40"/>
    </row>
    <row r="390" spans="3:12" ht="15.75" customHeight="1" x14ac:dyDescent="0.2">
      <c r="C390" s="32" t="str">
        <f t="shared" ref="C390:E390" ca="1" si="411">O67</f>
        <v>0</v>
      </c>
      <c r="D390" s="33" t="str">
        <f t="shared" ca="1" si="411"/>
        <v>0</v>
      </c>
      <c r="E390" s="56" t="str">
        <f t="shared" ca="1" si="411"/>
        <v>0</v>
      </c>
      <c r="F390" s="322" t="str">
        <f t="shared" ref="F390:J390" ca="1" si="412">IF(R67&gt;0,(R67/$R67),"")</f>
        <v/>
      </c>
      <c r="G390" s="322" t="str">
        <f t="shared" ca="1" si="412"/>
        <v/>
      </c>
      <c r="H390" s="322" t="str">
        <f t="shared" ca="1" si="412"/>
        <v/>
      </c>
      <c r="I390" s="322" t="str">
        <f t="shared" ca="1" si="412"/>
        <v/>
      </c>
      <c r="J390" s="323" t="str">
        <f t="shared" ca="1" si="412"/>
        <v/>
      </c>
      <c r="K390" s="296"/>
      <c r="L390" s="326" t="str">
        <f ca="1">IF(W67&gt;0,(W67/$R67),"")</f>
        <v/>
      </c>
    </row>
    <row r="391" spans="3:12" ht="15.75" customHeight="1" x14ac:dyDescent="0.2">
      <c r="C391" s="44"/>
      <c r="D391" s="45"/>
      <c r="E391" s="46"/>
      <c r="F391" s="294"/>
      <c r="G391" s="294"/>
      <c r="H391" s="294"/>
      <c r="I391" s="294"/>
      <c r="J391" s="294"/>
      <c r="K391" s="46"/>
      <c r="L391" s="40"/>
    </row>
    <row r="392" spans="3:12" ht="15.75" customHeight="1" x14ac:dyDescent="0.2">
      <c r="C392" s="44"/>
      <c r="D392" s="45"/>
      <c r="E392" s="46"/>
      <c r="F392" s="294"/>
      <c r="G392" s="294"/>
      <c r="H392" s="294"/>
      <c r="I392" s="294"/>
      <c r="J392" s="294"/>
      <c r="K392" s="46"/>
      <c r="L392" s="40"/>
    </row>
    <row r="393" spans="3:12" ht="15.75" customHeight="1" x14ac:dyDescent="0.2">
      <c r="C393" s="32" t="str">
        <f t="shared" ref="C393:E393" ca="1" si="413">O70</f>
        <v>0</v>
      </c>
      <c r="D393" s="33" t="str">
        <f t="shared" ca="1" si="413"/>
        <v>0</v>
      </c>
      <c r="E393" s="56" t="str">
        <f t="shared" ca="1" si="413"/>
        <v>0</v>
      </c>
      <c r="F393" s="322" t="str">
        <f t="shared" ref="F393:J393" ca="1" si="414">IF(R70&gt;0,(R70/$R70),"")</f>
        <v/>
      </c>
      <c r="G393" s="322" t="str">
        <f t="shared" ca="1" si="414"/>
        <v/>
      </c>
      <c r="H393" s="322" t="str">
        <f t="shared" ca="1" si="414"/>
        <v/>
      </c>
      <c r="I393" s="322" t="str">
        <f t="shared" ca="1" si="414"/>
        <v/>
      </c>
      <c r="J393" s="323" t="str">
        <f t="shared" ca="1" si="414"/>
        <v/>
      </c>
      <c r="K393" s="296"/>
      <c r="L393" s="326" t="str">
        <f ca="1">IF(W70&gt;0,(W70/$R70),"")</f>
        <v/>
      </c>
    </row>
    <row r="394" spans="3:12" ht="15.75" customHeight="1" x14ac:dyDescent="0.2">
      <c r="C394" s="44"/>
      <c r="D394" s="45"/>
      <c r="E394" s="46"/>
      <c r="F394" s="294"/>
      <c r="G394" s="294"/>
      <c r="H394" s="294"/>
      <c r="I394" s="294"/>
      <c r="J394" s="294"/>
      <c r="K394" s="46"/>
      <c r="L394" s="40"/>
    </row>
    <row r="395" spans="3:12" ht="15.75" customHeight="1" x14ac:dyDescent="0.2">
      <c r="C395" s="44"/>
      <c r="D395" s="45"/>
      <c r="E395" s="46"/>
      <c r="F395" s="294"/>
      <c r="G395" s="294"/>
      <c r="H395" s="294"/>
      <c r="I395" s="294"/>
      <c r="J395" s="294"/>
      <c r="K395" s="46"/>
      <c r="L395" s="40"/>
    </row>
    <row r="396" spans="3:12" ht="15.75" customHeight="1" x14ac:dyDescent="0.2">
      <c r="C396" s="32" t="str">
        <f t="shared" ref="C396:E396" ca="1" si="415">O73</f>
        <v>0</v>
      </c>
      <c r="D396" s="33" t="str">
        <f t="shared" ca="1" si="415"/>
        <v>0</v>
      </c>
      <c r="E396" s="56" t="str">
        <f t="shared" ca="1" si="415"/>
        <v>0</v>
      </c>
      <c r="F396" s="322" t="str">
        <f t="shared" ref="F396:J396" ca="1" si="416">IF(R73&gt;0,(R73/$R73),"")</f>
        <v/>
      </c>
      <c r="G396" s="322" t="str">
        <f t="shared" ca="1" si="416"/>
        <v/>
      </c>
      <c r="H396" s="322" t="str">
        <f t="shared" ca="1" si="416"/>
        <v/>
      </c>
      <c r="I396" s="322" t="str">
        <f t="shared" ca="1" si="416"/>
        <v/>
      </c>
      <c r="J396" s="323" t="str">
        <f t="shared" ca="1" si="416"/>
        <v/>
      </c>
      <c r="K396" s="296"/>
      <c r="L396" s="326" t="str">
        <f ca="1">IF(W73&gt;0,(W73/$R73),"")</f>
        <v/>
      </c>
    </row>
    <row r="397" spans="3:12" ht="15.75" customHeight="1" x14ac:dyDescent="0.2">
      <c r="C397" s="44"/>
      <c r="D397" s="45"/>
      <c r="E397" s="46"/>
      <c r="F397" s="294"/>
      <c r="G397" s="294"/>
      <c r="H397" s="294"/>
      <c r="I397" s="294"/>
      <c r="J397" s="294"/>
      <c r="K397" s="46"/>
      <c r="L397" s="40"/>
    </row>
    <row r="398" spans="3:12" ht="15.75" customHeight="1" x14ac:dyDescent="0.2">
      <c r="C398" s="44"/>
      <c r="D398" s="45"/>
      <c r="E398" s="46"/>
      <c r="F398" s="294"/>
      <c r="G398" s="294"/>
      <c r="H398" s="294"/>
      <c r="I398" s="294"/>
      <c r="J398" s="294"/>
      <c r="K398" s="46"/>
      <c r="L398" s="40"/>
    </row>
    <row r="399" spans="3:12" ht="15.75" customHeight="1" x14ac:dyDescent="0.2">
      <c r="C399" s="32" t="str">
        <f t="shared" ref="C399:E399" ca="1" si="417">O76</f>
        <v>0</v>
      </c>
      <c r="D399" s="33" t="str">
        <f t="shared" ca="1" si="417"/>
        <v>0</v>
      </c>
      <c r="E399" s="56" t="str">
        <f t="shared" ca="1" si="417"/>
        <v>0</v>
      </c>
      <c r="F399" s="322" t="str">
        <f t="shared" ref="F399:J399" ca="1" si="418">IF(R76&gt;0,(R76/$R76),"")</f>
        <v/>
      </c>
      <c r="G399" s="322" t="str">
        <f t="shared" ca="1" si="418"/>
        <v/>
      </c>
      <c r="H399" s="322" t="str">
        <f t="shared" ca="1" si="418"/>
        <v/>
      </c>
      <c r="I399" s="322" t="str">
        <f t="shared" ca="1" si="418"/>
        <v/>
      </c>
      <c r="J399" s="323" t="str">
        <f t="shared" ca="1" si="418"/>
        <v/>
      </c>
      <c r="K399" s="56"/>
      <c r="L399" s="326" t="str">
        <f ca="1">IF(W76&gt;0,(W76/$R76),"")</f>
        <v/>
      </c>
    </row>
    <row r="400" spans="3:12" ht="15.75" customHeight="1" x14ac:dyDescent="0.2">
      <c r="C400" s="44"/>
      <c r="D400" s="45"/>
      <c r="E400" s="46"/>
      <c r="F400" s="294"/>
      <c r="G400" s="294"/>
      <c r="H400" s="294"/>
      <c r="I400" s="294"/>
      <c r="J400" s="294"/>
      <c r="K400" s="46"/>
      <c r="L400" s="40"/>
    </row>
    <row r="401" spans="3:12" ht="15.75" customHeight="1" x14ac:dyDescent="0.2">
      <c r="C401" s="44"/>
      <c r="D401" s="45"/>
      <c r="E401" s="46"/>
      <c r="F401" s="294"/>
      <c r="G401" s="294"/>
      <c r="H401" s="294"/>
      <c r="I401" s="294"/>
      <c r="J401" s="294"/>
      <c r="K401" s="46"/>
      <c r="L401" s="40"/>
    </row>
    <row r="402" spans="3:12" ht="15.75" customHeight="1" x14ac:dyDescent="0.2">
      <c r="C402" s="32" t="str">
        <f t="shared" ref="C402:E402" ca="1" si="419">O79</f>
        <v>0</v>
      </c>
      <c r="D402" s="33" t="str">
        <f t="shared" ca="1" si="419"/>
        <v>0</v>
      </c>
      <c r="E402" s="56" t="str">
        <f t="shared" ca="1" si="419"/>
        <v>0</v>
      </c>
      <c r="F402" s="322" t="str">
        <f t="shared" ref="F402:J402" ca="1" si="420">IF(R79&gt;0,(R79/$R79),"")</f>
        <v/>
      </c>
      <c r="G402" s="322" t="str">
        <f t="shared" ca="1" si="420"/>
        <v/>
      </c>
      <c r="H402" s="322" t="str">
        <f t="shared" ca="1" si="420"/>
        <v/>
      </c>
      <c r="I402" s="322" t="str">
        <f t="shared" ca="1" si="420"/>
        <v/>
      </c>
      <c r="J402" s="323" t="str">
        <f t="shared" ca="1" si="420"/>
        <v/>
      </c>
      <c r="K402" s="296"/>
      <c r="L402" s="326" t="str">
        <f ca="1">IF(W79&gt;0,(W79/$R79),"")</f>
        <v/>
      </c>
    </row>
    <row r="403" spans="3:12" ht="15.75" customHeight="1" x14ac:dyDescent="0.2">
      <c r="C403" s="44"/>
      <c r="D403" s="45"/>
      <c r="E403" s="46"/>
      <c r="F403" s="294"/>
      <c r="G403" s="294"/>
      <c r="H403" s="294"/>
      <c r="I403" s="294"/>
      <c r="J403" s="294"/>
      <c r="K403" s="46"/>
      <c r="L403" s="40"/>
    </row>
    <row r="404" spans="3:12" ht="15.75" customHeight="1" x14ac:dyDescent="0.2">
      <c r="C404" s="44"/>
      <c r="D404" s="45"/>
      <c r="E404" s="46"/>
      <c r="F404" s="294"/>
      <c r="G404" s="294"/>
      <c r="H404" s="294"/>
      <c r="I404" s="294"/>
      <c r="J404" s="294"/>
      <c r="K404" s="46"/>
      <c r="L404" s="40"/>
    </row>
    <row r="405" spans="3:12" ht="15.75" customHeight="1" x14ac:dyDescent="0.2">
      <c r="C405" s="32" t="str">
        <f t="shared" ref="C405:E405" ca="1" si="421">O82</f>
        <v>0</v>
      </c>
      <c r="D405" s="33" t="str">
        <f t="shared" ca="1" si="421"/>
        <v>0</v>
      </c>
      <c r="E405" s="56" t="str">
        <f t="shared" ca="1" si="421"/>
        <v>0</v>
      </c>
      <c r="F405" s="322" t="str">
        <f t="shared" ref="F405:J405" ca="1" si="422">IF(R82&gt;0,(R82/$R82),"")</f>
        <v/>
      </c>
      <c r="G405" s="322" t="str">
        <f t="shared" ca="1" si="422"/>
        <v/>
      </c>
      <c r="H405" s="322" t="str">
        <f t="shared" ca="1" si="422"/>
        <v/>
      </c>
      <c r="I405" s="322" t="str">
        <f t="shared" ca="1" si="422"/>
        <v/>
      </c>
      <c r="J405" s="323" t="str">
        <f t="shared" ca="1" si="422"/>
        <v/>
      </c>
      <c r="K405" s="296"/>
      <c r="L405" s="326" t="str">
        <f ca="1">IF(W82&gt;0,(W82/$R82),"")</f>
        <v/>
      </c>
    </row>
    <row r="406" spans="3:12" ht="15.75" customHeight="1" x14ac:dyDescent="0.2">
      <c r="C406" s="44"/>
      <c r="D406" s="45"/>
      <c r="E406" s="46"/>
      <c r="F406" s="294"/>
      <c r="G406" s="294"/>
      <c r="H406" s="294"/>
      <c r="I406" s="294"/>
      <c r="J406" s="294"/>
      <c r="K406" s="46"/>
      <c r="L406" s="40"/>
    </row>
    <row r="407" spans="3:12" ht="15.75" customHeight="1" x14ac:dyDescent="0.2">
      <c r="C407" s="44"/>
      <c r="D407" s="45"/>
      <c r="E407" s="46"/>
      <c r="F407" s="294"/>
      <c r="G407" s="294"/>
      <c r="H407" s="294"/>
      <c r="I407" s="294"/>
      <c r="J407" s="294"/>
      <c r="K407" s="46"/>
      <c r="L407" s="40"/>
    </row>
    <row r="408" spans="3:12" ht="15.75" customHeight="1" x14ac:dyDescent="0.2">
      <c r="C408" s="32" t="str">
        <f t="shared" ref="C408:E408" ca="1" si="423">O85</f>
        <v>0</v>
      </c>
      <c r="D408" s="33" t="str">
        <f t="shared" ca="1" si="423"/>
        <v>0</v>
      </c>
      <c r="E408" s="56" t="str">
        <f t="shared" ca="1" si="423"/>
        <v>0</v>
      </c>
      <c r="F408" s="322" t="str">
        <f t="shared" ref="F408:J408" ca="1" si="424">IF(R85&gt;0,(R85/$R85),"")</f>
        <v/>
      </c>
      <c r="G408" s="322" t="str">
        <f t="shared" ca="1" si="424"/>
        <v/>
      </c>
      <c r="H408" s="322" t="str">
        <f t="shared" ca="1" si="424"/>
        <v/>
      </c>
      <c r="I408" s="322" t="str">
        <f t="shared" ca="1" si="424"/>
        <v/>
      </c>
      <c r="J408" s="323" t="str">
        <f t="shared" ca="1" si="424"/>
        <v/>
      </c>
      <c r="K408" s="296"/>
      <c r="L408" s="326" t="str">
        <f ca="1">IF(W85&gt;0,(W85/$R85),"")</f>
        <v/>
      </c>
    </row>
    <row r="409" spans="3:12" ht="15.75" customHeight="1" x14ac:dyDescent="0.2">
      <c r="C409" s="44"/>
      <c r="D409" s="45"/>
      <c r="E409" s="46"/>
      <c r="F409" s="294"/>
      <c r="G409" s="294"/>
      <c r="H409" s="294"/>
      <c r="I409" s="294"/>
      <c r="J409" s="294"/>
      <c r="K409" s="46"/>
      <c r="L409" s="40"/>
    </row>
    <row r="410" spans="3:12" ht="15.75" customHeight="1" x14ac:dyDescent="0.2">
      <c r="C410" s="44"/>
      <c r="D410" s="45"/>
      <c r="E410" s="46"/>
      <c r="F410" s="294"/>
      <c r="G410" s="294"/>
      <c r="H410" s="294"/>
      <c r="I410" s="294"/>
      <c r="J410" s="294"/>
      <c r="K410" s="46"/>
      <c r="L410" s="40"/>
    </row>
    <row r="411" spans="3:12" ht="15.75" customHeight="1" x14ac:dyDescent="0.2">
      <c r="C411" s="32" t="str">
        <f t="shared" ref="C411:E411" ca="1" si="425">O88</f>
        <v>0</v>
      </c>
      <c r="D411" s="33" t="str">
        <f t="shared" ca="1" si="425"/>
        <v>0</v>
      </c>
      <c r="E411" s="56" t="str">
        <f t="shared" ca="1" si="425"/>
        <v>0</v>
      </c>
      <c r="F411" s="322" t="str">
        <f t="shared" ref="F411:J411" ca="1" si="426">IF(R88&gt;0,(R88/$R88),"")</f>
        <v/>
      </c>
      <c r="G411" s="322" t="str">
        <f t="shared" ca="1" si="426"/>
        <v/>
      </c>
      <c r="H411" s="322" t="str">
        <f t="shared" ca="1" si="426"/>
        <v/>
      </c>
      <c r="I411" s="322" t="str">
        <f t="shared" ca="1" si="426"/>
        <v/>
      </c>
      <c r="J411" s="323" t="str">
        <f t="shared" ca="1" si="426"/>
        <v/>
      </c>
      <c r="K411" s="56"/>
      <c r="L411" s="326" t="str">
        <f ca="1">IF(W88&gt;0,(W88/$R88),"")</f>
        <v/>
      </c>
    </row>
    <row r="412" spans="3:12" ht="15.75" customHeight="1" x14ac:dyDescent="0.2">
      <c r="C412" s="44"/>
      <c r="D412" s="45"/>
      <c r="E412" s="46"/>
      <c r="F412" s="294"/>
      <c r="G412" s="294"/>
      <c r="H412" s="294"/>
      <c r="I412" s="294"/>
      <c r="J412" s="294"/>
      <c r="K412" s="46"/>
      <c r="L412" s="40"/>
    </row>
    <row r="413" spans="3:12" ht="15.75" customHeight="1" x14ac:dyDescent="0.2">
      <c r="C413" s="44"/>
      <c r="D413" s="45"/>
      <c r="E413" s="46"/>
      <c r="F413" s="294"/>
      <c r="G413" s="294"/>
      <c r="H413" s="294"/>
      <c r="I413" s="294"/>
      <c r="J413" s="294"/>
      <c r="K413" s="46"/>
      <c r="L413" s="40"/>
    </row>
    <row r="414" spans="3:12" ht="15.75" customHeight="1" x14ac:dyDescent="0.2">
      <c r="C414" s="32" t="str">
        <f t="shared" ref="C414:E414" ca="1" si="427">O91</f>
        <v>0</v>
      </c>
      <c r="D414" s="33" t="str">
        <f t="shared" ca="1" si="427"/>
        <v>0</v>
      </c>
      <c r="E414" s="56" t="str">
        <f t="shared" ca="1" si="427"/>
        <v>0</v>
      </c>
      <c r="F414" s="322" t="str">
        <f t="shared" ref="F414:J414" ca="1" si="428">IF(R91&gt;0,(R91/$R91),"")</f>
        <v/>
      </c>
      <c r="G414" s="322" t="str">
        <f t="shared" ca="1" si="428"/>
        <v/>
      </c>
      <c r="H414" s="322" t="str">
        <f t="shared" ca="1" si="428"/>
        <v/>
      </c>
      <c r="I414" s="322" t="str">
        <f t="shared" ca="1" si="428"/>
        <v/>
      </c>
      <c r="J414" s="323" t="str">
        <f t="shared" ca="1" si="428"/>
        <v/>
      </c>
      <c r="K414" s="296"/>
      <c r="L414" s="326" t="str">
        <f ca="1">IF(W91&gt;0,(W91/$R91),"")</f>
        <v/>
      </c>
    </row>
    <row r="415" spans="3:12" ht="15.75" customHeight="1" x14ac:dyDescent="0.2">
      <c r="C415" s="44"/>
      <c r="D415" s="45"/>
      <c r="E415" s="46"/>
      <c r="F415" s="294"/>
      <c r="G415" s="294"/>
      <c r="H415" s="294"/>
      <c r="I415" s="294"/>
      <c r="J415" s="294"/>
      <c r="K415" s="46"/>
      <c r="L415" s="40"/>
    </row>
    <row r="416" spans="3:12" ht="15.75" customHeight="1" x14ac:dyDescent="0.2">
      <c r="C416" s="44"/>
      <c r="D416" s="45"/>
      <c r="E416" s="46"/>
      <c r="F416" s="294"/>
      <c r="G416" s="294"/>
      <c r="H416" s="294"/>
      <c r="I416" s="294"/>
      <c r="J416" s="294"/>
      <c r="K416" s="46"/>
      <c r="L416" s="40"/>
    </row>
    <row r="417" spans="3:12" ht="15.75" customHeight="1" x14ac:dyDescent="0.2">
      <c r="C417" s="32" t="str">
        <f t="shared" ref="C417:E417" ca="1" si="429">O94</f>
        <v>0</v>
      </c>
      <c r="D417" s="33" t="str">
        <f t="shared" ca="1" si="429"/>
        <v>0</v>
      </c>
      <c r="E417" s="56" t="str">
        <f t="shared" ca="1" si="429"/>
        <v>0</v>
      </c>
      <c r="F417" s="322" t="str">
        <f t="shared" ref="F417:J417" ca="1" si="430">IF(R94&gt;0,(R94/$R94),"")</f>
        <v/>
      </c>
      <c r="G417" s="322" t="str">
        <f t="shared" ca="1" si="430"/>
        <v/>
      </c>
      <c r="H417" s="322" t="str">
        <f t="shared" ca="1" si="430"/>
        <v/>
      </c>
      <c r="I417" s="322" t="str">
        <f t="shared" ca="1" si="430"/>
        <v/>
      </c>
      <c r="J417" s="323" t="str">
        <f t="shared" ca="1" si="430"/>
        <v/>
      </c>
      <c r="K417" s="296"/>
      <c r="L417" s="326" t="str">
        <f ca="1">IF(W94&gt;0,(W94/$R94),"")</f>
        <v/>
      </c>
    </row>
    <row r="418" spans="3:12" ht="15.75" customHeight="1" x14ac:dyDescent="0.2">
      <c r="C418" s="44"/>
      <c r="D418" s="45"/>
      <c r="E418" s="46"/>
      <c r="F418" s="294"/>
      <c r="G418" s="294"/>
      <c r="H418" s="294"/>
      <c r="I418" s="294"/>
      <c r="J418" s="294"/>
      <c r="K418" s="46"/>
      <c r="L418" s="40"/>
    </row>
    <row r="419" spans="3:12" ht="15.75" customHeight="1" x14ac:dyDescent="0.2">
      <c r="C419" s="44"/>
      <c r="D419" s="45"/>
      <c r="E419" s="46"/>
      <c r="F419" s="294"/>
      <c r="G419" s="294"/>
      <c r="H419" s="294"/>
      <c r="I419" s="294"/>
      <c r="J419" s="294"/>
      <c r="K419" s="46"/>
      <c r="L419" s="40"/>
    </row>
    <row r="420" spans="3:12" ht="15.75" customHeight="1" x14ac:dyDescent="0.2">
      <c r="C420" s="32" t="str">
        <f t="shared" ref="C420:E420" ca="1" si="431">O97</f>
        <v>0</v>
      </c>
      <c r="D420" s="33" t="str">
        <f t="shared" ca="1" si="431"/>
        <v>0</v>
      </c>
      <c r="E420" s="56" t="str">
        <f t="shared" ca="1" si="431"/>
        <v>0</v>
      </c>
      <c r="F420" s="322" t="str">
        <f t="shared" ref="F420:J420" ca="1" si="432">IF(R97&gt;0,(R97/$R97),"")</f>
        <v/>
      </c>
      <c r="G420" s="322" t="str">
        <f t="shared" ca="1" si="432"/>
        <v/>
      </c>
      <c r="H420" s="322" t="str">
        <f t="shared" ca="1" si="432"/>
        <v/>
      </c>
      <c r="I420" s="322" t="str">
        <f t="shared" ca="1" si="432"/>
        <v/>
      </c>
      <c r="J420" s="323" t="str">
        <f t="shared" ca="1" si="432"/>
        <v/>
      </c>
      <c r="K420" s="296"/>
      <c r="L420" s="326" t="str">
        <f ca="1">IF(W97&gt;0,(W97/$R97),"")</f>
        <v/>
      </c>
    </row>
    <row r="421" spans="3:12" ht="15.75" customHeight="1" x14ac:dyDescent="0.2">
      <c r="C421" s="44"/>
      <c r="D421" s="45"/>
      <c r="E421" s="46"/>
      <c r="F421" s="294"/>
      <c r="G421" s="294"/>
      <c r="H421" s="294"/>
      <c r="I421" s="294"/>
      <c r="J421" s="294"/>
      <c r="K421" s="46"/>
      <c r="L421" s="40"/>
    </row>
    <row r="422" spans="3:12" ht="15.75" customHeight="1" x14ac:dyDescent="0.2">
      <c r="C422" s="44"/>
      <c r="D422" s="45"/>
      <c r="E422" s="46"/>
      <c r="F422" s="294"/>
      <c r="G422" s="294"/>
      <c r="H422" s="294"/>
      <c r="I422" s="294"/>
      <c r="J422" s="294"/>
      <c r="K422" s="46"/>
      <c r="L422" s="40"/>
    </row>
    <row r="423" spans="3:12" ht="15.75" customHeight="1" x14ac:dyDescent="0.2">
      <c r="C423" s="32" t="str">
        <f t="shared" ref="C423:E423" ca="1" si="433">O100</f>
        <v>0</v>
      </c>
      <c r="D423" s="33" t="str">
        <f t="shared" ca="1" si="433"/>
        <v>0</v>
      </c>
      <c r="E423" s="56" t="str">
        <f t="shared" ca="1" si="433"/>
        <v>0</v>
      </c>
      <c r="F423" s="322" t="str">
        <f t="shared" ref="F423:J423" ca="1" si="434">IF(R100&gt;0,(R100/$R100),"")</f>
        <v/>
      </c>
      <c r="G423" s="322" t="str">
        <f t="shared" ca="1" si="434"/>
        <v/>
      </c>
      <c r="H423" s="322" t="str">
        <f t="shared" ca="1" si="434"/>
        <v/>
      </c>
      <c r="I423" s="322" t="str">
        <f t="shared" ca="1" si="434"/>
        <v/>
      </c>
      <c r="J423" s="323" t="str">
        <f t="shared" ca="1" si="434"/>
        <v/>
      </c>
      <c r="K423" s="56"/>
      <c r="L423" s="326" t="str">
        <f ca="1">IF(W100&gt;0,(W100/$R100),"")</f>
        <v/>
      </c>
    </row>
    <row r="424" spans="3:12" ht="15.75" customHeight="1" x14ac:dyDescent="0.2">
      <c r="C424" s="44"/>
      <c r="D424" s="45"/>
      <c r="E424" s="46"/>
      <c r="F424" s="294"/>
      <c r="G424" s="294"/>
      <c r="H424" s="294"/>
      <c r="I424" s="294"/>
      <c r="J424" s="294"/>
      <c r="K424" s="46"/>
      <c r="L424" s="40"/>
    </row>
    <row r="425" spans="3:12" ht="15.75" customHeight="1" x14ac:dyDescent="0.2">
      <c r="C425" s="44"/>
      <c r="D425" s="45"/>
      <c r="E425" s="46"/>
      <c r="F425" s="294"/>
      <c r="G425" s="294"/>
      <c r="H425" s="294"/>
      <c r="I425" s="294"/>
      <c r="J425" s="294"/>
      <c r="K425" s="46"/>
      <c r="L425" s="40"/>
    </row>
    <row r="426" spans="3:12" ht="15.75" customHeight="1" x14ac:dyDescent="0.2">
      <c r="C426" s="32" t="str">
        <f t="shared" ref="C426:E426" ca="1" si="435">O103</f>
        <v>0</v>
      </c>
      <c r="D426" s="33" t="str">
        <f t="shared" ca="1" si="435"/>
        <v>0</v>
      </c>
      <c r="E426" s="56" t="str">
        <f t="shared" ca="1" si="435"/>
        <v>0</v>
      </c>
      <c r="F426" s="322" t="str">
        <f t="shared" ref="F426:J426" ca="1" si="436">IF(R103&gt;0,(R103/$R103),"")</f>
        <v/>
      </c>
      <c r="G426" s="322" t="str">
        <f t="shared" ca="1" si="436"/>
        <v/>
      </c>
      <c r="H426" s="322" t="str">
        <f t="shared" ca="1" si="436"/>
        <v/>
      </c>
      <c r="I426" s="322" t="str">
        <f t="shared" ca="1" si="436"/>
        <v/>
      </c>
      <c r="J426" s="323" t="str">
        <f t="shared" ca="1" si="436"/>
        <v/>
      </c>
      <c r="K426" s="296"/>
      <c r="L426" s="326" t="str">
        <f ca="1">IF(W103&gt;0,(W103/$R103),"")</f>
        <v/>
      </c>
    </row>
    <row r="427" spans="3:12" ht="15.75" customHeight="1" x14ac:dyDescent="0.2">
      <c r="C427" s="44"/>
      <c r="D427" s="45"/>
      <c r="E427" s="46"/>
      <c r="F427" s="294"/>
      <c r="G427" s="294"/>
      <c r="H427" s="294"/>
      <c r="I427" s="294"/>
      <c r="J427" s="294"/>
      <c r="K427" s="46"/>
      <c r="L427" s="40"/>
    </row>
    <row r="428" spans="3:12" ht="15.75" customHeight="1" x14ac:dyDescent="0.2">
      <c r="C428" s="44"/>
      <c r="D428" s="45"/>
      <c r="E428" s="46"/>
      <c r="F428" s="294"/>
      <c r="G428" s="294"/>
      <c r="H428" s="294"/>
      <c r="I428" s="294"/>
      <c r="J428" s="294"/>
      <c r="K428" s="46"/>
      <c r="L428" s="40"/>
    </row>
    <row r="429" spans="3:12" ht="15.75" customHeight="1" x14ac:dyDescent="0.2">
      <c r="C429" s="32" t="str">
        <f t="shared" ref="C429:E429" ca="1" si="437">O106</f>
        <v>0</v>
      </c>
      <c r="D429" s="33" t="str">
        <f t="shared" ca="1" si="437"/>
        <v>0</v>
      </c>
      <c r="E429" s="56" t="str">
        <f t="shared" ca="1" si="437"/>
        <v>0</v>
      </c>
      <c r="F429" s="322" t="str">
        <f t="shared" ref="F429:J429" ca="1" si="438">IF(R106&gt;0,(R106/$R106),"")</f>
        <v/>
      </c>
      <c r="G429" s="322" t="str">
        <f t="shared" ca="1" si="438"/>
        <v/>
      </c>
      <c r="H429" s="322" t="str">
        <f t="shared" ca="1" si="438"/>
        <v/>
      </c>
      <c r="I429" s="322" t="str">
        <f t="shared" ca="1" si="438"/>
        <v/>
      </c>
      <c r="J429" s="323" t="str">
        <f t="shared" ca="1" si="438"/>
        <v/>
      </c>
      <c r="K429" s="296"/>
      <c r="L429" s="326" t="str">
        <f ca="1">IF(W106&gt;0,(W106/$R106),"")</f>
        <v/>
      </c>
    </row>
    <row r="430" spans="3:12" ht="15.75" customHeight="1" x14ac:dyDescent="0.2">
      <c r="C430" s="44"/>
      <c r="D430" s="45"/>
      <c r="E430" s="46"/>
      <c r="F430" s="294"/>
      <c r="G430" s="294"/>
      <c r="H430" s="294"/>
      <c r="I430" s="294"/>
      <c r="J430" s="294"/>
      <c r="K430" s="46"/>
      <c r="L430" s="40"/>
    </row>
    <row r="431" spans="3:12" ht="15.75" customHeight="1" x14ac:dyDescent="0.2">
      <c r="C431" s="44"/>
      <c r="D431" s="45"/>
      <c r="E431" s="46"/>
      <c r="F431" s="294"/>
      <c r="G431" s="294"/>
      <c r="H431" s="294"/>
      <c r="I431" s="294"/>
      <c r="J431" s="294"/>
      <c r="K431" s="46"/>
      <c r="L431" s="40"/>
    </row>
    <row r="432" spans="3:12" ht="15.75" customHeight="1" x14ac:dyDescent="0.2">
      <c r="C432" s="32" t="str">
        <f t="shared" ref="C432:E432" ca="1" si="439">O109</f>
        <v>0</v>
      </c>
      <c r="D432" s="33" t="str">
        <f t="shared" ca="1" si="439"/>
        <v>0</v>
      </c>
      <c r="E432" s="56" t="str">
        <f t="shared" ca="1" si="439"/>
        <v>0</v>
      </c>
      <c r="F432" s="322" t="str">
        <f t="shared" ref="F432:J432" ca="1" si="440">IF(R109&gt;0,(R109/$R109),"")</f>
        <v/>
      </c>
      <c r="G432" s="322" t="str">
        <f t="shared" ca="1" si="440"/>
        <v/>
      </c>
      <c r="H432" s="322" t="str">
        <f t="shared" ca="1" si="440"/>
        <v/>
      </c>
      <c r="I432" s="322" t="str">
        <f t="shared" ca="1" si="440"/>
        <v/>
      </c>
      <c r="J432" s="323" t="str">
        <f t="shared" ca="1" si="440"/>
        <v/>
      </c>
      <c r="K432" s="296"/>
      <c r="L432" s="326" t="str">
        <f ca="1">IF(W109&gt;0,(W109/$R109),"")</f>
        <v/>
      </c>
    </row>
    <row r="433" spans="3:12" ht="15.75" customHeight="1" x14ac:dyDescent="0.2">
      <c r="C433" s="44"/>
      <c r="D433" s="45"/>
      <c r="E433" s="46"/>
      <c r="F433" s="294"/>
      <c r="G433" s="294"/>
      <c r="H433" s="294"/>
      <c r="I433" s="294"/>
      <c r="J433" s="294"/>
      <c r="K433" s="46"/>
      <c r="L433" s="40"/>
    </row>
    <row r="434" spans="3:12" ht="15.75" customHeight="1" x14ac:dyDescent="0.2">
      <c r="C434" s="44"/>
      <c r="D434" s="45"/>
      <c r="E434" s="46"/>
      <c r="F434" s="294"/>
      <c r="G434" s="294"/>
      <c r="H434" s="294"/>
      <c r="I434" s="294"/>
      <c r="J434" s="294"/>
      <c r="K434" s="46"/>
      <c r="L434" s="40"/>
    </row>
    <row r="435" spans="3:12" ht="15.75" customHeight="1" x14ac:dyDescent="0.2">
      <c r="C435" s="32" t="str">
        <f t="shared" ref="C435:E435" ca="1" si="441">O112</f>
        <v>0</v>
      </c>
      <c r="D435" s="33" t="str">
        <f t="shared" ca="1" si="441"/>
        <v>0</v>
      </c>
      <c r="E435" s="56" t="str">
        <f t="shared" ca="1" si="441"/>
        <v>0</v>
      </c>
      <c r="F435" s="322" t="str">
        <f t="shared" ref="F435:J435" ca="1" si="442">IF(R112&gt;0,(R112/$R112),"")</f>
        <v/>
      </c>
      <c r="G435" s="322" t="str">
        <f t="shared" ca="1" si="442"/>
        <v/>
      </c>
      <c r="H435" s="322" t="str">
        <f t="shared" ca="1" si="442"/>
        <v/>
      </c>
      <c r="I435" s="322" t="str">
        <f t="shared" ca="1" si="442"/>
        <v/>
      </c>
      <c r="J435" s="323" t="str">
        <f t="shared" ca="1" si="442"/>
        <v/>
      </c>
      <c r="K435" s="296"/>
      <c r="L435" s="326" t="str">
        <f ca="1">IF(W112&gt;0,(W112/$R112),"")</f>
        <v/>
      </c>
    </row>
    <row r="436" spans="3:12" ht="15.75" customHeight="1" x14ac:dyDescent="0.2">
      <c r="C436" s="44"/>
      <c r="D436" s="45"/>
      <c r="E436" s="46"/>
      <c r="F436" s="294"/>
      <c r="G436" s="294"/>
      <c r="H436" s="294"/>
      <c r="I436" s="294"/>
      <c r="J436" s="294"/>
      <c r="K436" s="46"/>
      <c r="L436" s="40"/>
    </row>
    <row r="437" spans="3:12" ht="15.75" customHeight="1" x14ac:dyDescent="0.2">
      <c r="C437" s="44"/>
      <c r="D437" s="45"/>
      <c r="E437" s="46"/>
      <c r="F437" s="294"/>
      <c r="G437" s="294"/>
      <c r="H437" s="294"/>
      <c r="I437" s="294"/>
      <c r="J437" s="294"/>
      <c r="K437" s="46"/>
      <c r="L437" s="40"/>
    </row>
    <row r="438" spans="3:12" ht="15.75" customHeight="1" x14ac:dyDescent="0.2">
      <c r="C438" s="32" t="str">
        <f t="shared" ref="C438:E438" ca="1" si="443">O115</f>
        <v>0</v>
      </c>
      <c r="D438" s="33" t="str">
        <f t="shared" ca="1" si="443"/>
        <v>0</v>
      </c>
      <c r="E438" s="56" t="str">
        <f t="shared" ca="1" si="443"/>
        <v>0</v>
      </c>
      <c r="F438" s="322" t="str">
        <f t="shared" ref="F438:J438" ca="1" si="444">IF(R115&gt;0,(R115/$R115),"")</f>
        <v/>
      </c>
      <c r="G438" s="322" t="str">
        <f t="shared" ca="1" si="444"/>
        <v/>
      </c>
      <c r="H438" s="322" t="str">
        <f t="shared" ca="1" si="444"/>
        <v/>
      </c>
      <c r="I438" s="322" t="str">
        <f t="shared" ca="1" si="444"/>
        <v/>
      </c>
      <c r="J438" s="323" t="str">
        <f t="shared" ca="1" si="444"/>
        <v/>
      </c>
      <c r="K438" s="296"/>
      <c r="L438" s="326" t="str">
        <f ca="1">IF(W115&gt;0,(W115/$R115),"")</f>
        <v/>
      </c>
    </row>
    <row r="439" spans="3:12" ht="15.75" customHeight="1" x14ac:dyDescent="0.2">
      <c r="C439" s="44"/>
      <c r="D439" s="45"/>
      <c r="E439" s="46"/>
      <c r="F439" s="294"/>
      <c r="G439" s="294"/>
      <c r="H439" s="294"/>
      <c r="I439" s="294"/>
      <c r="J439" s="294"/>
      <c r="K439" s="46"/>
      <c r="L439" s="40"/>
    </row>
    <row r="440" spans="3:12" ht="15.75" customHeight="1" x14ac:dyDescent="0.2">
      <c r="C440" s="44"/>
      <c r="D440" s="45"/>
      <c r="E440" s="46"/>
      <c r="F440" s="294"/>
      <c r="G440" s="294"/>
      <c r="H440" s="294"/>
      <c r="I440" s="294"/>
      <c r="J440" s="294"/>
      <c r="K440" s="46"/>
      <c r="L440" s="40"/>
    </row>
    <row r="441" spans="3:12" ht="15.75" customHeight="1" x14ac:dyDescent="0.2">
      <c r="C441" s="32" t="str">
        <f t="shared" ref="C441:E441" ca="1" si="445">O118</f>
        <v>0</v>
      </c>
      <c r="D441" s="33" t="str">
        <f t="shared" ca="1" si="445"/>
        <v>0</v>
      </c>
      <c r="E441" s="56" t="str">
        <f t="shared" ca="1" si="445"/>
        <v>0</v>
      </c>
      <c r="F441" s="322" t="str">
        <f t="shared" ref="F441:J441" ca="1" si="446">IF(R118&gt;0,(R118/$R118),"")</f>
        <v/>
      </c>
      <c r="G441" s="322" t="str">
        <f t="shared" ca="1" si="446"/>
        <v/>
      </c>
      <c r="H441" s="322" t="str">
        <f t="shared" ca="1" si="446"/>
        <v/>
      </c>
      <c r="I441" s="322" t="str">
        <f t="shared" ca="1" si="446"/>
        <v/>
      </c>
      <c r="J441" s="323" t="str">
        <f t="shared" ca="1" si="446"/>
        <v/>
      </c>
      <c r="K441" s="296"/>
      <c r="L441" s="326" t="str">
        <f ca="1">IF(W118&gt;0,(W118/$R118),"")</f>
        <v/>
      </c>
    </row>
    <row r="442" spans="3:12" ht="15.75" customHeight="1" x14ac:dyDescent="0.2">
      <c r="C442" s="44"/>
      <c r="D442" s="45"/>
      <c r="E442" s="46"/>
      <c r="F442" s="294"/>
      <c r="G442" s="294"/>
      <c r="H442" s="294"/>
      <c r="I442" s="294"/>
      <c r="J442" s="294"/>
      <c r="K442" s="46"/>
      <c r="L442" s="40"/>
    </row>
    <row r="443" spans="3:12" ht="15.75" customHeight="1" x14ac:dyDescent="0.2">
      <c r="C443" s="44"/>
      <c r="D443" s="45"/>
      <c r="E443" s="46"/>
      <c r="F443" s="294"/>
      <c r="G443" s="294"/>
      <c r="H443" s="294"/>
      <c r="I443" s="294"/>
      <c r="J443" s="294"/>
      <c r="K443" s="46"/>
      <c r="L443" s="40"/>
    </row>
    <row r="444" spans="3:12" ht="15.75" customHeight="1" x14ac:dyDescent="0.2">
      <c r="C444" s="32" t="str">
        <f t="shared" ref="C444:E444" ca="1" si="447">O121</f>
        <v>0</v>
      </c>
      <c r="D444" s="33" t="str">
        <f t="shared" ca="1" si="447"/>
        <v>0</v>
      </c>
      <c r="E444" s="56" t="str">
        <f t="shared" ca="1" si="447"/>
        <v>0</v>
      </c>
      <c r="F444" s="322" t="str">
        <f t="shared" ref="F444:J444" ca="1" si="448">IF(R121&gt;0,(R121/$R121),"")</f>
        <v/>
      </c>
      <c r="G444" s="322" t="str">
        <f t="shared" ca="1" si="448"/>
        <v/>
      </c>
      <c r="H444" s="322" t="str">
        <f t="shared" ca="1" si="448"/>
        <v/>
      </c>
      <c r="I444" s="322" t="str">
        <f t="shared" ca="1" si="448"/>
        <v/>
      </c>
      <c r="J444" s="323" t="str">
        <f t="shared" ca="1" si="448"/>
        <v/>
      </c>
      <c r="K444" s="296"/>
      <c r="L444" s="326" t="str">
        <f ca="1">IF(W121&gt;0,(W121/$R121),"")</f>
        <v/>
      </c>
    </row>
    <row r="445" spans="3:12" ht="15.75" customHeight="1" x14ac:dyDescent="0.2">
      <c r="C445" s="44"/>
      <c r="D445" s="45"/>
      <c r="E445" s="46"/>
      <c r="F445" s="294"/>
      <c r="G445" s="294"/>
      <c r="H445" s="294"/>
      <c r="I445" s="294"/>
      <c r="J445" s="294"/>
      <c r="K445" s="46"/>
      <c r="L445" s="40"/>
    </row>
    <row r="446" spans="3:12" ht="15.75" customHeight="1" x14ac:dyDescent="0.2">
      <c r="C446" s="44"/>
      <c r="D446" s="45"/>
      <c r="E446" s="46"/>
      <c r="F446" s="294"/>
      <c r="G446" s="294"/>
      <c r="H446" s="294"/>
      <c r="I446" s="294"/>
      <c r="J446" s="294"/>
      <c r="K446" s="46"/>
      <c r="L446" s="40"/>
    </row>
    <row r="447" spans="3:12" ht="15.75" customHeight="1" x14ac:dyDescent="0.2">
      <c r="C447" s="32" t="str">
        <f t="shared" ref="C447:E447" ca="1" si="449">O124</f>
        <v>0</v>
      </c>
      <c r="D447" s="33" t="str">
        <f t="shared" ca="1" si="449"/>
        <v>0</v>
      </c>
      <c r="E447" s="56" t="str">
        <f t="shared" ca="1" si="449"/>
        <v>0</v>
      </c>
      <c r="F447" s="322" t="str">
        <f t="shared" ref="F447:J447" ca="1" si="450">IF(R124&gt;0,(R124/$R124),"")</f>
        <v/>
      </c>
      <c r="G447" s="322" t="str">
        <f t="shared" ca="1" si="450"/>
        <v/>
      </c>
      <c r="H447" s="322" t="str">
        <f t="shared" ca="1" si="450"/>
        <v/>
      </c>
      <c r="I447" s="322" t="str">
        <f t="shared" ca="1" si="450"/>
        <v/>
      </c>
      <c r="J447" s="323" t="str">
        <f t="shared" ca="1" si="450"/>
        <v/>
      </c>
      <c r="K447" s="56"/>
      <c r="L447" s="326" t="str">
        <f ca="1">IF(W124&gt;0,(W124/$R124),"")</f>
        <v/>
      </c>
    </row>
    <row r="448" spans="3:12" ht="15.75" customHeight="1" x14ac:dyDescent="0.2">
      <c r="C448" s="44"/>
      <c r="D448" s="45"/>
      <c r="E448" s="46"/>
      <c r="F448" s="294"/>
      <c r="G448" s="294"/>
      <c r="H448" s="294"/>
      <c r="I448" s="294"/>
      <c r="J448" s="294"/>
      <c r="K448" s="46"/>
      <c r="L448" s="40"/>
    </row>
    <row r="449" spans="3:12" ht="15.75" customHeight="1" x14ac:dyDescent="0.2">
      <c r="C449" s="44"/>
      <c r="D449" s="45"/>
      <c r="E449" s="46"/>
      <c r="F449" s="294"/>
      <c r="G449" s="294"/>
      <c r="H449" s="294"/>
      <c r="I449" s="294"/>
      <c r="J449" s="294"/>
      <c r="K449" s="46"/>
      <c r="L449" s="40"/>
    </row>
    <row r="450" spans="3:12" ht="15.75" customHeight="1" x14ac:dyDescent="0.2">
      <c r="C450" s="32" t="str">
        <f t="shared" ref="C450:E450" ca="1" si="451">O127</f>
        <v>0</v>
      </c>
      <c r="D450" s="33" t="str">
        <f t="shared" ca="1" si="451"/>
        <v>0</v>
      </c>
      <c r="E450" s="56" t="str">
        <f t="shared" ca="1" si="451"/>
        <v>0</v>
      </c>
      <c r="F450" s="322" t="str">
        <f t="shared" ref="F450:J450" ca="1" si="452">IF(R127&gt;0,(R127/$R127),"")</f>
        <v/>
      </c>
      <c r="G450" s="322" t="str">
        <f t="shared" ca="1" si="452"/>
        <v/>
      </c>
      <c r="H450" s="322" t="str">
        <f t="shared" ca="1" si="452"/>
        <v/>
      </c>
      <c r="I450" s="322" t="str">
        <f t="shared" ca="1" si="452"/>
        <v/>
      </c>
      <c r="J450" s="323" t="str">
        <f t="shared" ca="1" si="452"/>
        <v/>
      </c>
      <c r="K450" s="296"/>
      <c r="L450" s="326" t="str">
        <f ca="1">IF(W127&gt;0,(W127/$R127),"")</f>
        <v/>
      </c>
    </row>
    <row r="451" spans="3:12" ht="15.75" customHeight="1" x14ac:dyDescent="0.2">
      <c r="C451" s="44"/>
      <c r="D451" s="45"/>
      <c r="E451" s="46"/>
      <c r="F451" s="294"/>
      <c r="G451" s="294"/>
      <c r="H451" s="294"/>
      <c r="I451" s="294"/>
      <c r="J451" s="294"/>
      <c r="K451" s="46"/>
      <c r="L451" s="40"/>
    </row>
    <row r="452" spans="3:12" ht="15.75" customHeight="1" x14ac:dyDescent="0.2">
      <c r="C452" s="44"/>
      <c r="D452" s="45"/>
      <c r="E452" s="46"/>
      <c r="F452" s="294"/>
      <c r="G452" s="294"/>
      <c r="H452" s="294"/>
      <c r="I452" s="294"/>
      <c r="J452" s="294"/>
      <c r="K452" s="46"/>
      <c r="L452" s="40"/>
    </row>
    <row r="453" spans="3:12" ht="15.75" customHeight="1" x14ac:dyDescent="0.2">
      <c r="C453" s="32" t="str">
        <f t="shared" ref="C453:E453" ca="1" si="453">O130</f>
        <v>0</v>
      </c>
      <c r="D453" s="33" t="str">
        <f t="shared" ca="1" si="453"/>
        <v>0</v>
      </c>
      <c r="E453" s="56" t="str">
        <f t="shared" ca="1" si="453"/>
        <v>0</v>
      </c>
      <c r="F453" s="322" t="str">
        <f t="shared" ref="F453:J453" ca="1" si="454">IF(R130&gt;0,(R130/$R130),"")</f>
        <v/>
      </c>
      <c r="G453" s="322" t="str">
        <f t="shared" ca="1" si="454"/>
        <v/>
      </c>
      <c r="H453" s="322" t="str">
        <f t="shared" ca="1" si="454"/>
        <v/>
      </c>
      <c r="I453" s="322" t="str">
        <f t="shared" ca="1" si="454"/>
        <v/>
      </c>
      <c r="J453" s="323" t="str">
        <f t="shared" ca="1" si="454"/>
        <v/>
      </c>
      <c r="K453" s="296"/>
      <c r="L453" s="326" t="str">
        <f ca="1">IF(W130&gt;0,(W130/$R130),"")</f>
        <v/>
      </c>
    </row>
    <row r="454" spans="3:12" ht="15.75" customHeight="1" x14ac:dyDescent="0.2">
      <c r="C454" s="44"/>
      <c r="D454" s="45"/>
      <c r="E454" s="46"/>
      <c r="F454" s="294"/>
      <c r="G454" s="294"/>
      <c r="H454" s="294"/>
      <c r="I454" s="294"/>
      <c r="J454" s="294"/>
      <c r="K454" s="46"/>
      <c r="L454" s="40"/>
    </row>
    <row r="455" spans="3:12" ht="15.75" customHeight="1" x14ac:dyDescent="0.2">
      <c r="C455" s="44"/>
      <c r="D455" s="45"/>
      <c r="E455" s="46"/>
      <c r="F455" s="294"/>
      <c r="G455" s="294"/>
      <c r="H455" s="294"/>
      <c r="I455" s="294"/>
      <c r="J455" s="294"/>
      <c r="K455" s="46"/>
      <c r="L455" s="40"/>
    </row>
    <row r="456" spans="3:12" ht="15.75" customHeight="1" x14ac:dyDescent="0.2">
      <c r="C456" s="32" t="str">
        <f t="shared" ref="C456:E456" ca="1" si="455">O133</f>
        <v>0</v>
      </c>
      <c r="D456" s="33" t="str">
        <f t="shared" ca="1" si="455"/>
        <v>0</v>
      </c>
      <c r="E456" s="56" t="str">
        <f t="shared" ca="1" si="455"/>
        <v>0</v>
      </c>
      <c r="F456" s="322" t="str">
        <f t="shared" ref="F456:J456" ca="1" si="456">IF(R133&gt;0,(R133/$R133),"")</f>
        <v/>
      </c>
      <c r="G456" s="322" t="str">
        <f t="shared" ca="1" si="456"/>
        <v/>
      </c>
      <c r="H456" s="322" t="str">
        <f t="shared" ca="1" si="456"/>
        <v/>
      </c>
      <c r="I456" s="322" t="str">
        <f t="shared" ca="1" si="456"/>
        <v/>
      </c>
      <c r="J456" s="323" t="str">
        <f t="shared" ca="1" si="456"/>
        <v/>
      </c>
      <c r="K456" s="296"/>
      <c r="L456" s="326" t="str">
        <f ca="1">IF(W133&gt;0,(W133/$R133),"")</f>
        <v/>
      </c>
    </row>
    <row r="457" spans="3:12" ht="15.75" customHeight="1" x14ac:dyDescent="0.2">
      <c r="C457" s="44"/>
      <c r="D457" s="45"/>
      <c r="E457" s="46"/>
      <c r="F457" s="294"/>
      <c r="G457" s="294"/>
      <c r="H457" s="294"/>
      <c r="I457" s="294"/>
      <c r="J457" s="294"/>
      <c r="K457" s="46"/>
      <c r="L457" s="40"/>
    </row>
    <row r="458" spans="3:12" ht="15.75" customHeight="1" x14ac:dyDescent="0.2">
      <c r="C458" s="44"/>
      <c r="D458" s="45"/>
      <c r="E458" s="46"/>
      <c r="F458" s="294"/>
      <c r="G458" s="294"/>
      <c r="H458" s="294"/>
      <c r="I458" s="294"/>
      <c r="J458" s="294"/>
      <c r="K458" s="46"/>
      <c r="L458" s="40"/>
    </row>
    <row r="459" spans="3:12" ht="15.75" customHeight="1" x14ac:dyDescent="0.2">
      <c r="C459" s="32" t="str">
        <f t="shared" ref="C459:E459" ca="1" si="457">O136</f>
        <v>0</v>
      </c>
      <c r="D459" s="33" t="str">
        <f t="shared" ca="1" si="457"/>
        <v>0</v>
      </c>
      <c r="E459" s="56" t="str">
        <f t="shared" ca="1" si="457"/>
        <v>0</v>
      </c>
      <c r="F459" s="322" t="str">
        <f t="shared" ref="F459:J459" ca="1" si="458">IF(R136&gt;0,(R136/$R136),"")</f>
        <v/>
      </c>
      <c r="G459" s="322" t="str">
        <f t="shared" ca="1" si="458"/>
        <v/>
      </c>
      <c r="H459" s="322" t="str">
        <f t="shared" ca="1" si="458"/>
        <v/>
      </c>
      <c r="I459" s="322" t="str">
        <f t="shared" ca="1" si="458"/>
        <v/>
      </c>
      <c r="J459" s="323" t="str">
        <f t="shared" ca="1" si="458"/>
        <v/>
      </c>
      <c r="K459" s="296"/>
      <c r="L459" s="326" t="str">
        <f ca="1">IF(W136&gt;0,(W136/$R136),"")</f>
        <v/>
      </c>
    </row>
    <row r="460" spans="3:12" ht="15.75" customHeight="1" x14ac:dyDescent="0.2">
      <c r="C460" s="44"/>
      <c r="D460" s="45"/>
      <c r="E460" s="46"/>
      <c r="F460" s="294"/>
      <c r="G460" s="294"/>
      <c r="H460" s="294"/>
      <c r="I460" s="294"/>
      <c r="J460" s="294"/>
      <c r="K460" s="46"/>
      <c r="L460" s="40"/>
    </row>
    <row r="461" spans="3:12" ht="15.75" customHeight="1" x14ac:dyDescent="0.2">
      <c r="C461" s="44"/>
      <c r="D461" s="45"/>
      <c r="E461" s="46"/>
      <c r="F461" s="294"/>
      <c r="G461" s="294"/>
      <c r="H461" s="294"/>
      <c r="I461" s="294"/>
      <c r="J461" s="294"/>
      <c r="K461" s="46"/>
      <c r="L461" s="40"/>
    </row>
    <row r="462" spans="3:12" ht="15.75" customHeight="1" x14ac:dyDescent="0.2">
      <c r="C462" s="32" t="str">
        <f t="shared" ref="C462:E462" ca="1" si="459">O139</f>
        <v>0</v>
      </c>
      <c r="D462" s="33" t="str">
        <f t="shared" ca="1" si="459"/>
        <v>0</v>
      </c>
      <c r="E462" s="56" t="str">
        <f t="shared" ca="1" si="459"/>
        <v>0</v>
      </c>
      <c r="F462" s="322" t="str">
        <f t="shared" ref="F462:J462" ca="1" si="460">IF(R139&gt;0,(R139/$R139),"")</f>
        <v/>
      </c>
      <c r="G462" s="322" t="str">
        <f t="shared" ca="1" si="460"/>
        <v/>
      </c>
      <c r="H462" s="322" t="str">
        <f t="shared" ca="1" si="460"/>
        <v/>
      </c>
      <c r="I462" s="322" t="str">
        <f t="shared" ca="1" si="460"/>
        <v/>
      </c>
      <c r="J462" s="323" t="str">
        <f t="shared" ca="1" si="460"/>
        <v/>
      </c>
      <c r="K462" s="296"/>
      <c r="L462" s="326" t="str">
        <f ca="1">IF(W139&gt;0,(W139/$R139),"")</f>
        <v/>
      </c>
    </row>
    <row r="463" spans="3:12" ht="15.75" customHeight="1" x14ac:dyDescent="0.2">
      <c r="C463" s="44"/>
      <c r="D463" s="45"/>
      <c r="E463" s="46"/>
      <c r="F463" s="294"/>
      <c r="G463" s="294"/>
      <c r="H463" s="294"/>
      <c r="I463" s="294"/>
      <c r="J463" s="294"/>
      <c r="K463" s="46"/>
      <c r="L463" s="40"/>
    </row>
    <row r="464" spans="3:12" ht="15.75" customHeight="1" x14ac:dyDescent="0.2">
      <c r="C464" s="44"/>
      <c r="D464" s="45"/>
      <c r="E464" s="46"/>
      <c r="F464" s="294"/>
      <c r="G464" s="294"/>
      <c r="H464" s="294"/>
      <c r="I464" s="294"/>
      <c r="J464" s="294"/>
      <c r="K464" s="46"/>
      <c r="L464" s="40"/>
    </row>
    <row r="465" spans="3:12" ht="15.75" customHeight="1" x14ac:dyDescent="0.2">
      <c r="C465" s="32" t="str">
        <f t="shared" ref="C465:E465" ca="1" si="461">O142</f>
        <v>0</v>
      </c>
      <c r="D465" s="33" t="str">
        <f t="shared" ca="1" si="461"/>
        <v>0</v>
      </c>
      <c r="E465" s="56" t="str">
        <f t="shared" ca="1" si="461"/>
        <v>0</v>
      </c>
      <c r="F465" s="322" t="str">
        <f t="shared" ref="F465:J465" ca="1" si="462">IF(R142&gt;0,(R142/$R142),"")</f>
        <v/>
      </c>
      <c r="G465" s="322" t="str">
        <f t="shared" ca="1" si="462"/>
        <v/>
      </c>
      <c r="H465" s="322" t="str">
        <f t="shared" ca="1" si="462"/>
        <v/>
      </c>
      <c r="I465" s="322" t="str">
        <f t="shared" ca="1" si="462"/>
        <v/>
      </c>
      <c r="J465" s="323" t="str">
        <f t="shared" ca="1" si="462"/>
        <v/>
      </c>
      <c r="K465" s="296"/>
      <c r="L465" s="326" t="str">
        <f ca="1">IF(W142&gt;0,(W142/$R142),"")</f>
        <v/>
      </c>
    </row>
    <row r="466" spans="3:12" ht="15.75" customHeight="1" x14ac:dyDescent="0.2">
      <c r="C466" s="44"/>
      <c r="D466" s="45"/>
      <c r="E466" s="46"/>
      <c r="F466" s="294"/>
      <c r="G466" s="294"/>
      <c r="H466" s="294"/>
      <c r="I466" s="294"/>
      <c r="J466" s="294"/>
      <c r="K466" s="46"/>
      <c r="L466" s="40"/>
    </row>
    <row r="467" spans="3:12" ht="15.75" customHeight="1" x14ac:dyDescent="0.2">
      <c r="C467" s="44"/>
      <c r="D467" s="45"/>
      <c r="E467" s="46"/>
      <c r="F467" s="294"/>
      <c r="G467" s="294"/>
      <c r="H467" s="294"/>
      <c r="I467" s="294"/>
      <c r="J467" s="294"/>
      <c r="K467" s="46"/>
      <c r="L467" s="40"/>
    </row>
    <row r="468" spans="3:12" ht="15.75" customHeight="1" x14ac:dyDescent="0.2">
      <c r="C468" s="32" t="str">
        <f t="shared" ref="C468:E468" ca="1" si="463">O145</f>
        <v>0</v>
      </c>
      <c r="D468" s="33" t="str">
        <f t="shared" ca="1" si="463"/>
        <v>0</v>
      </c>
      <c r="E468" s="56" t="str">
        <f t="shared" ca="1" si="463"/>
        <v>0</v>
      </c>
      <c r="F468" s="322" t="str">
        <f t="shared" ref="F468:J468" ca="1" si="464">IF(R145&gt;0,(R145/$R145),"")</f>
        <v/>
      </c>
      <c r="G468" s="322" t="str">
        <f t="shared" ca="1" si="464"/>
        <v/>
      </c>
      <c r="H468" s="322" t="str">
        <f t="shared" ca="1" si="464"/>
        <v/>
      </c>
      <c r="I468" s="322" t="str">
        <f t="shared" ca="1" si="464"/>
        <v/>
      </c>
      <c r="J468" s="323" t="str">
        <f t="shared" ca="1" si="464"/>
        <v/>
      </c>
      <c r="K468" s="296"/>
      <c r="L468" s="326" t="str">
        <f ca="1">IF(W145&gt;0,(W145/$R145),"")</f>
        <v/>
      </c>
    </row>
    <row r="469" spans="3:12" ht="15.75" customHeight="1" x14ac:dyDescent="0.2">
      <c r="C469" s="44"/>
      <c r="D469" s="45"/>
      <c r="E469" s="46"/>
      <c r="F469" s="294"/>
      <c r="G469" s="294"/>
      <c r="H469" s="294"/>
      <c r="I469" s="294"/>
      <c r="J469" s="294"/>
      <c r="K469" s="46"/>
      <c r="L469" s="40"/>
    </row>
    <row r="470" spans="3:12" ht="15.75" customHeight="1" x14ac:dyDescent="0.2">
      <c r="C470" s="44"/>
      <c r="D470" s="45"/>
      <c r="E470" s="46"/>
      <c r="F470" s="294"/>
      <c r="G470" s="294"/>
      <c r="H470" s="294"/>
      <c r="I470" s="294"/>
      <c r="J470" s="294"/>
      <c r="K470" s="46"/>
      <c r="L470" s="40"/>
    </row>
    <row r="471" spans="3:12" ht="15.75" customHeight="1" x14ac:dyDescent="0.2">
      <c r="C471" s="32" t="str">
        <f t="shared" ref="C471:E471" ca="1" si="465">O148</f>
        <v>0</v>
      </c>
      <c r="D471" s="33" t="str">
        <f t="shared" ca="1" si="465"/>
        <v>0</v>
      </c>
      <c r="E471" s="56" t="str">
        <f t="shared" ca="1" si="465"/>
        <v>0</v>
      </c>
      <c r="F471" s="322" t="str">
        <f t="shared" ref="F471:J471" ca="1" si="466">IF(R148&gt;0,(R148/$R148),"")</f>
        <v/>
      </c>
      <c r="G471" s="322" t="str">
        <f t="shared" ca="1" si="466"/>
        <v/>
      </c>
      <c r="H471" s="322" t="str">
        <f t="shared" ca="1" si="466"/>
        <v/>
      </c>
      <c r="I471" s="322" t="str">
        <f t="shared" ca="1" si="466"/>
        <v/>
      </c>
      <c r="J471" s="323" t="str">
        <f t="shared" ca="1" si="466"/>
        <v/>
      </c>
      <c r="K471" s="296"/>
      <c r="L471" s="326" t="str">
        <f ca="1">IF(W148&gt;0,(W148/$R148),"")</f>
        <v/>
      </c>
    </row>
    <row r="472" spans="3:12" ht="15.75" customHeight="1" x14ac:dyDescent="0.2">
      <c r="C472" s="44"/>
      <c r="D472" s="45"/>
      <c r="E472" s="46"/>
      <c r="F472" s="294"/>
      <c r="G472" s="294"/>
      <c r="H472" s="294"/>
      <c r="I472" s="294"/>
      <c r="J472" s="294"/>
      <c r="K472" s="46"/>
      <c r="L472" s="40"/>
    </row>
    <row r="473" spans="3:12" ht="15.75" customHeight="1" x14ac:dyDescent="0.2">
      <c r="C473" s="44"/>
      <c r="D473" s="45"/>
      <c r="E473" s="46"/>
      <c r="F473" s="294"/>
      <c r="G473" s="294"/>
      <c r="H473" s="294"/>
      <c r="I473" s="294"/>
      <c r="J473" s="294"/>
      <c r="K473" s="46"/>
      <c r="L473" s="40"/>
    </row>
    <row r="474" spans="3:12" ht="15.75" customHeight="1" x14ac:dyDescent="0.2">
      <c r="C474" s="32" t="str">
        <f t="shared" ref="C474:E474" ca="1" si="467">O151</f>
        <v>0</v>
      </c>
      <c r="D474" s="33" t="str">
        <f t="shared" ca="1" si="467"/>
        <v>0</v>
      </c>
      <c r="E474" s="56" t="str">
        <f t="shared" ca="1" si="467"/>
        <v>0</v>
      </c>
      <c r="F474" s="322" t="str">
        <f t="shared" ref="F474:J474" ca="1" si="468">IF(R151&gt;0,(R151/$R151),"")</f>
        <v/>
      </c>
      <c r="G474" s="322" t="str">
        <f t="shared" ca="1" si="468"/>
        <v/>
      </c>
      <c r="H474" s="322" t="str">
        <f t="shared" ca="1" si="468"/>
        <v/>
      </c>
      <c r="I474" s="322" t="str">
        <f t="shared" ca="1" si="468"/>
        <v/>
      </c>
      <c r="J474" s="323" t="str">
        <f t="shared" ca="1" si="468"/>
        <v/>
      </c>
      <c r="K474" s="296"/>
      <c r="L474" s="326" t="str">
        <f ca="1">IF(W151&gt;0,(W151/$R151),"")</f>
        <v/>
      </c>
    </row>
    <row r="475" spans="3:12" ht="15.75" customHeight="1" x14ac:dyDescent="0.2">
      <c r="C475" s="44"/>
      <c r="D475" s="45"/>
      <c r="E475" s="46"/>
      <c r="F475" s="294"/>
      <c r="G475" s="294"/>
      <c r="H475" s="294"/>
      <c r="I475" s="294"/>
      <c r="J475" s="294"/>
      <c r="K475" s="46"/>
      <c r="L475" s="40"/>
    </row>
    <row r="476" spans="3:12" ht="15.75" customHeight="1" x14ac:dyDescent="0.2">
      <c r="C476" s="44"/>
      <c r="D476" s="45"/>
      <c r="E476" s="46"/>
      <c r="F476" s="294"/>
      <c r="G476" s="294"/>
      <c r="H476" s="294"/>
      <c r="I476" s="294"/>
      <c r="J476" s="294"/>
      <c r="K476" s="46"/>
      <c r="L476" s="40"/>
    </row>
    <row r="477" spans="3:12" ht="15.75" customHeight="1" x14ac:dyDescent="0.2">
      <c r="C477" s="32" t="str">
        <f t="shared" ref="C477:E477" ca="1" si="469">O154</f>
        <v>0</v>
      </c>
      <c r="D477" s="33" t="str">
        <f t="shared" ca="1" si="469"/>
        <v>0</v>
      </c>
      <c r="E477" s="56" t="str">
        <f t="shared" ca="1" si="469"/>
        <v>0</v>
      </c>
      <c r="F477" s="322" t="str">
        <f t="shared" ref="F477:J477" ca="1" si="470">IF(R154&gt;0,(R154/$R154),"")</f>
        <v/>
      </c>
      <c r="G477" s="322" t="str">
        <f t="shared" ca="1" si="470"/>
        <v/>
      </c>
      <c r="H477" s="322" t="str">
        <f t="shared" ca="1" si="470"/>
        <v/>
      </c>
      <c r="I477" s="322" t="str">
        <f t="shared" ca="1" si="470"/>
        <v/>
      </c>
      <c r="J477" s="323" t="str">
        <f t="shared" ca="1" si="470"/>
        <v/>
      </c>
      <c r="K477" s="296"/>
      <c r="L477" s="326" t="str">
        <f ca="1">IF(W154&gt;0,(W154/$R154),"")</f>
        <v/>
      </c>
    </row>
    <row r="478" spans="3:12" ht="15.75" customHeight="1" x14ac:dyDescent="0.2">
      <c r="C478" s="44"/>
      <c r="D478" s="45"/>
      <c r="E478" s="46"/>
      <c r="F478" s="294"/>
      <c r="G478" s="294"/>
      <c r="H478" s="294"/>
      <c r="I478" s="294"/>
      <c r="J478" s="294"/>
      <c r="K478" s="46"/>
      <c r="L478" s="40"/>
    </row>
    <row r="479" spans="3:12" ht="15.75" customHeight="1" x14ac:dyDescent="0.2">
      <c r="C479" s="44"/>
      <c r="D479" s="45"/>
      <c r="E479" s="46"/>
      <c r="F479" s="294"/>
      <c r="G479" s="294"/>
      <c r="H479" s="294"/>
      <c r="I479" s="294"/>
      <c r="J479" s="294"/>
      <c r="K479" s="46"/>
      <c r="L479" s="40"/>
    </row>
    <row r="480" spans="3:12" ht="27" customHeight="1" x14ac:dyDescent="0.2">
      <c r="C480" s="327" t="s">
        <v>160</v>
      </c>
      <c r="D480" s="316"/>
      <c r="E480" s="317"/>
      <c r="F480" s="328" t="str">
        <f t="shared" ref="F480:J480" ca="1" si="471">IFERROR(AVERAGEIF(F330:F479,"&gt;0"),"NA")</f>
        <v>NA</v>
      </c>
      <c r="G480" s="328" t="str">
        <f t="shared" ca="1" si="471"/>
        <v>NA</v>
      </c>
      <c r="H480" s="328" t="str">
        <f t="shared" ca="1" si="471"/>
        <v>NA</v>
      </c>
      <c r="I480" s="328" t="str">
        <f t="shared" ca="1" si="471"/>
        <v>NA</v>
      </c>
      <c r="J480" s="328" t="str">
        <f t="shared" ca="1" si="471"/>
        <v>NA</v>
      </c>
      <c r="K480" s="320" t="str">
        <f t="shared" ref="K480:L480" si="472">IFERROR(AVERAGEIF(K329:K479,"&gt;0"),"NA")</f>
        <v>NA</v>
      </c>
      <c r="L480" s="321" t="str">
        <f t="shared" ca="1" si="472"/>
        <v>NA</v>
      </c>
    </row>
    <row r="481" spans="3:12" ht="15.75" customHeight="1" x14ac:dyDescent="0.2"/>
    <row r="482" spans="3:12" ht="15.75" customHeight="1" x14ac:dyDescent="0.2"/>
    <row r="483" spans="3:12" ht="15.75" customHeight="1" x14ac:dyDescent="0.2"/>
    <row r="484" spans="3:12" ht="15.75" customHeight="1" x14ac:dyDescent="0.2"/>
    <row r="485" spans="3:12" ht="15.75" customHeight="1" x14ac:dyDescent="0.2">
      <c r="C485" s="2"/>
      <c r="L485" s="3"/>
    </row>
    <row r="486" spans="3:12" ht="15.75" customHeight="1" x14ac:dyDescent="0.2">
      <c r="C486" s="2"/>
      <c r="L486" s="3"/>
    </row>
    <row r="487" spans="3:12" ht="15.75" customHeight="1" x14ac:dyDescent="0.2">
      <c r="C487" s="2"/>
      <c r="L487" s="3"/>
    </row>
    <row r="488" spans="3:12" ht="15.75" customHeight="1" x14ac:dyDescent="0.2">
      <c r="C488" s="2"/>
      <c r="L488" s="3"/>
    </row>
    <row r="489" spans="3:12" ht="15.75" customHeight="1" x14ac:dyDescent="0.2">
      <c r="C489" s="2"/>
      <c r="L489" s="3"/>
    </row>
    <row r="490" spans="3:12" ht="15.75" customHeight="1" x14ac:dyDescent="0.2">
      <c r="C490" s="2"/>
      <c r="L490" s="3"/>
    </row>
    <row r="491" spans="3:12" ht="15.75" customHeight="1" x14ac:dyDescent="0.2">
      <c r="C491" s="2"/>
      <c r="L491" s="3"/>
    </row>
    <row r="492" spans="3:12" ht="15.75" customHeight="1" x14ac:dyDescent="0.2">
      <c r="C492" s="2"/>
      <c r="L492" s="3"/>
    </row>
    <row r="493" spans="3:12" ht="15.75" customHeight="1" x14ac:dyDescent="0.2">
      <c r="C493" s="2"/>
      <c r="L493" s="3"/>
    </row>
    <row r="494" spans="3:12" ht="15.75" customHeight="1" x14ac:dyDescent="0.2">
      <c r="C494" s="2"/>
      <c r="L494" s="3"/>
    </row>
    <row r="495" spans="3:12" ht="15.75" customHeight="1" x14ac:dyDescent="0.2">
      <c r="C495" s="2"/>
      <c r="L495" s="3"/>
    </row>
    <row r="496" spans="3:12" ht="15.75" customHeight="1" x14ac:dyDescent="0.2">
      <c r="C496" s="2"/>
      <c r="L496" s="3"/>
    </row>
    <row r="497" spans="3:12" ht="15.75" customHeight="1" x14ac:dyDescent="0.2">
      <c r="C497" s="2"/>
      <c r="L497" s="3"/>
    </row>
    <row r="498" spans="3:12" ht="15.75" customHeight="1" x14ac:dyDescent="0.2">
      <c r="C498" s="2"/>
      <c r="L498" s="3"/>
    </row>
    <row r="499" spans="3:12" ht="15.75" customHeight="1" x14ac:dyDescent="0.2">
      <c r="C499" s="2"/>
      <c r="L499" s="3"/>
    </row>
    <row r="500" spans="3:12" ht="15.75" customHeight="1" x14ac:dyDescent="0.2">
      <c r="C500" s="2"/>
      <c r="L500" s="3"/>
    </row>
    <row r="501" spans="3:12" ht="15.75" customHeight="1" x14ac:dyDescent="0.2">
      <c r="C501" s="2"/>
      <c r="L501" s="3"/>
    </row>
    <row r="502" spans="3:12" ht="15.75" customHeight="1" x14ac:dyDescent="0.2">
      <c r="C502" s="2"/>
      <c r="L502" s="3"/>
    </row>
    <row r="503" spans="3:12" ht="15.75" customHeight="1" x14ac:dyDescent="0.2">
      <c r="C503" s="2"/>
      <c r="L503" s="3"/>
    </row>
    <row r="504" spans="3:12" ht="15.75" customHeight="1" x14ac:dyDescent="0.2">
      <c r="C504" s="2"/>
      <c r="L504" s="3"/>
    </row>
    <row r="505" spans="3:12" ht="15.75" customHeight="1" x14ac:dyDescent="0.2">
      <c r="C505" s="2"/>
      <c r="L505" s="3"/>
    </row>
    <row r="506" spans="3:12" ht="15.75" customHeight="1" x14ac:dyDescent="0.2">
      <c r="C506" s="2"/>
      <c r="L506" s="3"/>
    </row>
    <row r="507" spans="3:12" ht="15.75" customHeight="1" x14ac:dyDescent="0.2">
      <c r="C507" s="2"/>
      <c r="L507" s="3"/>
    </row>
    <row r="508" spans="3:12" ht="15.75" customHeight="1" x14ac:dyDescent="0.2">
      <c r="C508" s="2"/>
      <c r="L508" s="3"/>
    </row>
    <row r="509" spans="3:12" ht="15.75" customHeight="1" x14ac:dyDescent="0.2">
      <c r="C509" s="2"/>
      <c r="L509" s="3"/>
    </row>
    <row r="510" spans="3:12" ht="15.75" customHeight="1" x14ac:dyDescent="0.2">
      <c r="C510" s="2"/>
      <c r="L510" s="3"/>
    </row>
    <row r="511" spans="3:12" ht="15.75" customHeight="1" x14ac:dyDescent="0.2">
      <c r="C511" s="2"/>
      <c r="L511" s="3"/>
    </row>
    <row r="512" spans="3:12" ht="15.75" customHeight="1" x14ac:dyDescent="0.2">
      <c r="C512" s="2"/>
      <c r="L512" s="3"/>
    </row>
    <row r="513" spans="3:12" ht="15.75" customHeight="1" x14ac:dyDescent="0.2">
      <c r="C513" s="2"/>
      <c r="L513" s="3"/>
    </row>
    <row r="514" spans="3:12" ht="15.75" customHeight="1" x14ac:dyDescent="0.2">
      <c r="C514" s="2"/>
      <c r="L514" s="3"/>
    </row>
    <row r="515" spans="3:12" ht="15.75" customHeight="1" x14ac:dyDescent="0.2">
      <c r="C515" s="2"/>
      <c r="L515" s="3"/>
    </row>
    <row r="516" spans="3:12" ht="15.75" customHeight="1" x14ac:dyDescent="0.2">
      <c r="C516" s="2"/>
      <c r="L516" s="3"/>
    </row>
    <row r="517" spans="3:12" ht="15.75" customHeight="1" x14ac:dyDescent="0.2">
      <c r="C517" s="2"/>
      <c r="L517" s="3"/>
    </row>
    <row r="518" spans="3:12" ht="15.75" customHeight="1" x14ac:dyDescent="0.2">
      <c r="C518" s="2"/>
      <c r="L518" s="3"/>
    </row>
    <row r="519" spans="3:12" ht="15.75" customHeight="1" x14ac:dyDescent="0.2">
      <c r="C519" s="2"/>
      <c r="L519" s="3"/>
    </row>
    <row r="520" spans="3:12" ht="15.75" customHeight="1" x14ac:dyDescent="0.2">
      <c r="C520" s="2"/>
      <c r="L520" s="3"/>
    </row>
    <row r="521" spans="3:12" ht="15.75" customHeight="1" x14ac:dyDescent="0.2">
      <c r="C521" s="2"/>
      <c r="L521" s="3"/>
    </row>
    <row r="522" spans="3:12" ht="15.75" customHeight="1" x14ac:dyDescent="0.2">
      <c r="C522" s="2"/>
      <c r="L522" s="3"/>
    </row>
    <row r="523" spans="3:12" ht="15.75" customHeight="1" x14ac:dyDescent="0.2">
      <c r="C523" s="2"/>
      <c r="L523" s="3"/>
    </row>
    <row r="524" spans="3:12" ht="15.75" customHeight="1" x14ac:dyDescent="0.2">
      <c r="C524" s="2"/>
      <c r="L524" s="3"/>
    </row>
    <row r="525" spans="3:12" ht="15.75" customHeight="1" x14ac:dyDescent="0.2">
      <c r="C525" s="2"/>
      <c r="L525" s="3"/>
    </row>
    <row r="526" spans="3:12" ht="15.75" customHeight="1" x14ac:dyDescent="0.2">
      <c r="C526" s="2"/>
      <c r="L526" s="3"/>
    </row>
    <row r="527" spans="3:12" ht="15.75" customHeight="1" x14ac:dyDescent="0.2">
      <c r="C527" s="2"/>
      <c r="L527" s="3"/>
    </row>
    <row r="528" spans="3:12" ht="15.75" customHeight="1" x14ac:dyDescent="0.2">
      <c r="C528" s="2"/>
      <c r="L528" s="3"/>
    </row>
    <row r="529" spans="3:12" ht="15.75" customHeight="1" x14ac:dyDescent="0.2">
      <c r="C529" s="2"/>
      <c r="L529" s="3"/>
    </row>
    <row r="530" spans="3:12" ht="15.75" customHeight="1" x14ac:dyDescent="0.2">
      <c r="C530" s="2"/>
      <c r="L530" s="3"/>
    </row>
    <row r="531" spans="3:12" ht="15.75" customHeight="1" x14ac:dyDescent="0.2">
      <c r="C531" s="2"/>
      <c r="L531" s="3"/>
    </row>
    <row r="532" spans="3:12" ht="15.75" customHeight="1" x14ac:dyDescent="0.2">
      <c r="C532" s="2"/>
      <c r="L532" s="3"/>
    </row>
    <row r="533" spans="3:12" ht="15.75" customHeight="1" x14ac:dyDescent="0.2">
      <c r="C533" s="2"/>
      <c r="L533" s="3"/>
    </row>
    <row r="534" spans="3:12" ht="15.75" customHeight="1" x14ac:dyDescent="0.2">
      <c r="C534" s="2"/>
      <c r="L534" s="3"/>
    </row>
    <row r="535" spans="3:12" ht="15.75" customHeight="1" x14ac:dyDescent="0.2">
      <c r="C535" s="2"/>
      <c r="L535" s="3"/>
    </row>
    <row r="536" spans="3:12" ht="15.75" customHeight="1" x14ac:dyDescent="0.2">
      <c r="C536" s="2"/>
      <c r="L536" s="3"/>
    </row>
    <row r="537" spans="3:12" ht="15.75" customHeight="1" x14ac:dyDescent="0.2">
      <c r="C537" s="2"/>
      <c r="L537" s="3"/>
    </row>
    <row r="538" spans="3:12" ht="15.75" customHeight="1" x14ac:dyDescent="0.2">
      <c r="C538" s="2"/>
      <c r="L538" s="3"/>
    </row>
    <row r="539" spans="3:12" ht="15.75" customHeight="1" x14ac:dyDescent="0.2">
      <c r="C539" s="2"/>
      <c r="L539" s="3"/>
    </row>
    <row r="540" spans="3:12" ht="15.75" customHeight="1" x14ac:dyDescent="0.2">
      <c r="C540" s="2"/>
      <c r="L540" s="3"/>
    </row>
    <row r="541" spans="3:12" ht="15.75" customHeight="1" x14ac:dyDescent="0.2">
      <c r="C541" s="2"/>
      <c r="L541" s="3"/>
    </row>
    <row r="542" spans="3:12" ht="15.75" customHeight="1" x14ac:dyDescent="0.2">
      <c r="C542" s="2"/>
      <c r="L542" s="3"/>
    </row>
    <row r="543" spans="3:12" ht="15.75" customHeight="1" x14ac:dyDescent="0.2">
      <c r="C543" s="2"/>
      <c r="L543" s="3"/>
    </row>
    <row r="544" spans="3:12" ht="15.75" customHeight="1" x14ac:dyDescent="0.2">
      <c r="C544" s="2"/>
      <c r="L544" s="3"/>
    </row>
    <row r="545" spans="3:12" ht="15.75" customHeight="1" x14ac:dyDescent="0.2">
      <c r="C545" s="2"/>
      <c r="L545" s="3"/>
    </row>
    <row r="546" spans="3:12" ht="15.75" customHeight="1" x14ac:dyDescent="0.2">
      <c r="C546" s="2"/>
      <c r="L546" s="3"/>
    </row>
    <row r="547" spans="3:12" ht="15.75" customHeight="1" x14ac:dyDescent="0.2">
      <c r="C547" s="2"/>
      <c r="L547" s="3"/>
    </row>
    <row r="548" spans="3:12" ht="15.75" customHeight="1" x14ac:dyDescent="0.2">
      <c r="C548" s="2"/>
      <c r="L548" s="3"/>
    </row>
    <row r="549" spans="3:12" ht="15.75" customHeight="1" x14ac:dyDescent="0.2">
      <c r="C549" s="2"/>
      <c r="L549" s="3"/>
    </row>
    <row r="550" spans="3:12" ht="15.75" customHeight="1" x14ac:dyDescent="0.2">
      <c r="C550" s="2"/>
      <c r="L550" s="3"/>
    </row>
    <row r="551" spans="3:12" ht="15.75" customHeight="1" x14ac:dyDescent="0.2">
      <c r="C551" s="2"/>
      <c r="L551" s="3"/>
    </row>
    <row r="552" spans="3:12" ht="15.75" customHeight="1" x14ac:dyDescent="0.2">
      <c r="C552" s="2"/>
      <c r="L552" s="3"/>
    </row>
    <row r="553" spans="3:12" ht="15.75" customHeight="1" x14ac:dyDescent="0.2">
      <c r="C553" s="2"/>
      <c r="L553" s="3"/>
    </row>
    <row r="554" spans="3:12" ht="15.75" customHeight="1" x14ac:dyDescent="0.2">
      <c r="C554" s="2"/>
      <c r="L554" s="3"/>
    </row>
    <row r="555" spans="3:12" ht="15.75" customHeight="1" x14ac:dyDescent="0.2">
      <c r="C555" s="2"/>
      <c r="L555" s="3"/>
    </row>
    <row r="556" spans="3:12" ht="15.75" customHeight="1" x14ac:dyDescent="0.2">
      <c r="C556" s="2"/>
      <c r="L556" s="3"/>
    </row>
    <row r="557" spans="3:12" ht="15.75" customHeight="1" x14ac:dyDescent="0.2">
      <c r="C557" s="2"/>
      <c r="L557" s="3"/>
    </row>
    <row r="558" spans="3:12" ht="15.75" customHeight="1" x14ac:dyDescent="0.2">
      <c r="C558" s="2"/>
      <c r="L558" s="3"/>
    </row>
    <row r="559" spans="3:12" ht="15.75" customHeight="1" x14ac:dyDescent="0.2">
      <c r="C559" s="2"/>
      <c r="L559" s="3"/>
    </row>
    <row r="560" spans="3:12" ht="15.75" customHeight="1" x14ac:dyDescent="0.2">
      <c r="C560" s="2"/>
      <c r="L560" s="3"/>
    </row>
    <row r="561" spans="3:12" ht="15.75" customHeight="1" x14ac:dyDescent="0.2">
      <c r="C561" s="2"/>
      <c r="L561" s="3"/>
    </row>
    <row r="562" spans="3:12" ht="15.75" customHeight="1" x14ac:dyDescent="0.2">
      <c r="C562" s="2"/>
      <c r="L562" s="3"/>
    </row>
    <row r="563" spans="3:12" ht="15.75" customHeight="1" x14ac:dyDescent="0.2">
      <c r="C563" s="2"/>
      <c r="L563" s="3"/>
    </row>
    <row r="564" spans="3:12" ht="15.75" customHeight="1" x14ac:dyDescent="0.2">
      <c r="C564" s="2"/>
      <c r="L564" s="3"/>
    </row>
    <row r="565" spans="3:12" ht="15.75" customHeight="1" x14ac:dyDescent="0.2">
      <c r="C565" s="2"/>
      <c r="L565" s="3"/>
    </row>
    <row r="566" spans="3:12" ht="15.75" customHeight="1" x14ac:dyDescent="0.2">
      <c r="C566" s="2"/>
      <c r="L566" s="3"/>
    </row>
    <row r="567" spans="3:12" ht="15.75" customHeight="1" x14ac:dyDescent="0.2">
      <c r="C567" s="2"/>
      <c r="L567" s="3"/>
    </row>
    <row r="568" spans="3:12" ht="15.75" customHeight="1" x14ac:dyDescent="0.2">
      <c r="C568" s="2"/>
      <c r="L568" s="3"/>
    </row>
    <row r="569" spans="3:12" ht="15.75" customHeight="1" x14ac:dyDescent="0.2">
      <c r="C569" s="2"/>
      <c r="L569" s="3"/>
    </row>
    <row r="570" spans="3:12" ht="15.75" customHeight="1" x14ac:dyDescent="0.2">
      <c r="C570" s="2"/>
      <c r="L570" s="3"/>
    </row>
    <row r="571" spans="3:12" ht="15.75" customHeight="1" x14ac:dyDescent="0.2">
      <c r="C571" s="2"/>
      <c r="L571" s="3"/>
    </row>
    <row r="572" spans="3:12" ht="15.75" customHeight="1" x14ac:dyDescent="0.2">
      <c r="C572" s="2"/>
      <c r="L572" s="3"/>
    </row>
    <row r="573" spans="3:12" ht="15.75" customHeight="1" x14ac:dyDescent="0.2">
      <c r="C573" s="2"/>
      <c r="L573" s="3"/>
    </row>
    <row r="574" spans="3:12" ht="15.75" customHeight="1" x14ac:dyDescent="0.2">
      <c r="C574" s="2"/>
      <c r="L574" s="3"/>
    </row>
    <row r="575" spans="3:12" ht="15.75" customHeight="1" x14ac:dyDescent="0.2">
      <c r="C575" s="2"/>
      <c r="L575" s="3"/>
    </row>
    <row r="576" spans="3:12" ht="15.75" customHeight="1" x14ac:dyDescent="0.2">
      <c r="C576" s="2"/>
      <c r="L576" s="3"/>
    </row>
    <row r="577" spans="3:12" ht="15.75" customHeight="1" x14ac:dyDescent="0.2">
      <c r="C577" s="2"/>
      <c r="L577" s="3"/>
    </row>
    <row r="578" spans="3:12" ht="15.75" customHeight="1" x14ac:dyDescent="0.2">
      <c r="C578" s="2"/>
      <c r="L578" s="3"/>
    </row>
    <row r="579" spans="3:12" ht="15.75" customHeight="1" x14ac:dyDescent="0.2">
      <c r="C579" s="2"/>
      <c r="L579" s="3"/>
    </row>
    <row r="580" spans="3:12" ht="15.75" customHeight="1" x14ac:dyDescent="0.2">
      <c r="C580" s="2"/>
      <c r="L580" s="3"/>
    </row>
    <row r="581" spans="3:12" ht="15.75" customHeight="1" x14ac:dyDescent="0.2">
      <c r="C581" s="2"/>
      <c r="L581" s="3"/>
    </row>
    <row r="582" spans="3:12" ht="15.75" customHeight="1" x14ac:dyDescent="0.2">
      <c r="C582" s="2"/>
      <c r="L582" s="3"/>
    </row>
    <row r="583" spans="3:12" ht="15.75" customHeight="1" x14ac:dyDescent="0.2">
      <c r="C583" s="2"/>
      <c r="L583" s="3"/>
    </row>
    <row r="584" spans="3:12" ht="15.75" customHeight="1" x14ac:dyDescent="0.2">
      <c r="C584" s="2"/>
      <c r="L584" s="3"/>
    </row>
    <row r="585" spans="3:12" ht="15.75" customHeight="1" x14ac:dyDescent="0.2">
      <c r="C585" s="2"/>
      <c r="L585" s="3"/>
    </row>
    <row r="586" spans="3:12" ht="15.75" customHeight="1" x14ac:dyDescent="0.2">
      <c r="C586" s="2"/>
      <c r="L586" s="3"/>
    </row>
    <row r="587" spans="3:12" ht="15.75" customHeight="1" x14ac:dyDescent="0.2">
      <c r="C587" s="2"/>
      <c r="L587" s="3"/>
    </row>
    <row r="588" spans="3:12" ht="15.75" customHeight="1" x14ac:dyDescent="0.2">
      <c r="C588" s="2"/>
      <c r="L588" s="3"/>
    </row>
    <row r="589" spans="3:12" ht="15.75" customHeight="1" x14ac:dyDescent="0.2">
      <c r="C589" s="2"/>
      <c r="L589" s="3"/>
    </row>
    <row r="590" spans="3:12" ht="15.75" customHeight="1" x14ac:dyDescent="0.2">
      <c r="C590" s="2"/>
      <c r="L590" s="3"/>
    </row>
    <row r="591" spans="3:12" ht="15.75" customHeight="1" x14ac:dyDescent="0.2">
      <c r="C591" s="2"/>
      <c r="L591" s="3"/>
    </row>
    <row r="592" spans="3:12" ht="15.75" customHeight="1" x14ac:dyDescent="0.2">
      <c r="C592" s="2"/>
      <c r="L592" s="3"/>
    </row>
    <row r="593" spans="3:12" ht="15.75" customHeight="1" x14ac:dyDescent="0.2">
      <c r="C593" s="2"/>
      <c r="L593" s="3"/>
    </row>
    <row r="594" spans="3:12" ht="15.75" customHeight="1" x14ac:dyDescent="0.2">
      <c r="C594" s="2"/>
      <c r="L594" s="3"/>
    </row>
    <row r="595" spans="3:12" ht="15.75" customHeight="1" x14ac:dyDescent="0.2">
      <c r="C595" s="2"/>
      <c r="L595" s="3"/>
    </row>
    <row r="596" spans="3:12" ht="15.75" customHeight="1" x14ac:dyDescent="0.2">
      <c r="C596" s="2"/>
      <c r="L596" s="3"/>
    </row>
    <row r="597" spans="3:12" ht="15.75" customHeight="1" x14ac:dyDescent="0.2">
      <c r="C597" s="2"/>
      <c r="L597" s="3"/>
    </row>
    <row r="598" spans="3:12" ht="15.75" customHeight="1" x14ac:dyDescent="0.2">
      <c r="C598" s="2"/>
      <c r="L598" s="3"/>
    </row>
    <row r="599" spans="3:12" ht="15.75" customHeight="1" x14ac:dyDescent="0.2">
      <c r="C599" s="2"/>
      <c r="L599" s="3"/>
    </row>
    <row r="600" spans="3:12" ht="15.75" customHeight="1" x14ac:dyDescent="0.2">
      <c r="C600" s="2"/>
      <c r="L600" s="3"/>
    </row>
    <row r="601" spans="3:12" ht="15.75" customHeight="1" x14ac:dyDescent="0.2">
      <c r="C601" s="2"/>
      <c r="L601" s="3"/>
    </row>
    <row r="602" spans="3:12" ht="15.75" customHeight="1" x14ac:dyDescent="0.2">
      <c r="C602" s="2"/>
      <c r="L602" s="3"/>
    </row>
    <row r="603" spans="3:12" ht="15.75" customHeight="1" x14ac:dyDescent="0.2">
      <c r="C603" s="2"/>
      <c r="L603" s="3"/>
    </row>
    <row r="604" spans="3:12" ht="15.75" customHeight="1" x14ac:dyDescent="0.2">
      <c r="C604" s="2"/>
      <c r="L604" s="3"/>
    </row>
    <row r="605" spans="3:12" ht="15.75" customHeight="1" x14ac:dyDescent="0.2">
      <c r="C605" s="2"/>
      <c r="L605" s="3"/>
    </row>
    <row r="606" spans="3:12" ht="15.75" customHeight="1" x14ac:dyDescent="0.2">
      <c r="C606" s="2"/>
      <c r="L606" s="3"/>
    </row>
    <row r="607" spans="3:12" ht="15.75" customHeight="1" x14ac:dyDescent="0.2">
      <c r="C607" s="2"/>
      <c r="L607" s="3"/>
    </row>
    <row r="608" spans="3:12" ht="15.75" customHeight="1" x14ac:dyDescent="0.2">
      <c r="C608" s="2"/>
      <c r="L608" s="3"/>
    </row>
    <row r="609" spans="3:12" ht="15.75" customHeight="1" x14ac:dyDescent="0.2">
      <c r="C609" s="2"/>
      <c r="L609" s="3"/>
    </row>
    <row r="610" spans="3:12" ht="15.75" customHeight="1" x14ac:dyDescent="0.2">
      <c r="C610" s="2"/>
      <c r="L610" s="3"/>
    </row>
    <row r="611" spans="3:12" ht="15.75" customHeight="1" x14ac:dyDescent="0.2">
      <c r="C611" s="2"/>
      <c r="L611" s="3"/>
    </row>
    <row r="612" spans="3:12" ht="15.75" customHeight="1" x14ac:dyDescent="0.2">
      <c r="C612" s="2"/>
      <c r="L612" s="3"/>
    </row>
    <row r="613" spans="3:12" ht="15.75" customHeight="1" x14ac:dyDescent="0.2">
      <c r="C613" s="2"/>
      <c r="L613" s="3"/>
    </row>
    <row r="614" spans="3:12" ht="15.75" customHeight="1" x14ac:dyDescent="0.2">
      <c r="C614" s="2"/>
      <c r="L614" s="3"/>
    </row>
    <row r="615" spans="3:12" ht="15.75" customHeight="1" x14ac:dyDescent="0.2">
      <c r="C615" s="2"/>
      <c r="L615" s="3"/>
    </row>
    <row r="616" spans="3:12" ht="15.75" customHeight="1" x14ac:dyDescent="0.2">
      <c r="C616" s="2"/>
      <c r="L616" s="3"/>
    </row>
    <row r="617" spans="3:12" ht="15.75" customHeight="1" x14ac:dyDescent="0.2">
      <c r="C617" s="2"/>
      <c r="L617" s="3"/>
    </row>
    <row r="618" spans="3:12" ht="15.75" customHeight="1" x14ac:dyDescent="0.2">
      <c r="C618" s="2"/>
      <c r="L618" s="3"/>
    </row>
    <row r="619" spans="3:12" ht="15.75" customHeight="1" x14ac:dyDescent="0.2">
      <c r="C619" s="2"/>
      <c r="L619" s="3"/>
    </row>
    <row r="620" spans="3:12" ht="15.75" customHeight="1" x14ac:dyDescent="0.2">
      <c r="C620" s="2"/>
      <c r="L620" s="3"/>
    </row>
    <row r="621" spans="3:12" ht="15.75" customHeight="1" x14ac:dyDescent="0.2">
      <c r="C621" s="2"/>
      <c r="L621" s="3"/>
    </row>
    <row r="622" spans="3:12" ht="15.75" customHeight="1" x14ac:dyDescent="0.2">
      <c r="C622" s="2"/>
      <c r="L622" s="3"/>
    </row>
    <row r="623" spans="3:12" ht="15.75" customHeight="1" x14ac:dyDescent="0.2">
      <c r="C623" s="2"/>
      <c r="L623" s="3"/>
    </row>
    <row r="624" spans="3:12" ht="15.75" customHeight="1" x14ac:dyDescent="0.2">
      <c r="C624" s="2"/>
      <c r="L624" s="3"/>
    </row>
    <row r="625" spans="3:12" ht="15.75" customHeight="1" x14ac:dyDescent="0.2">
      <c r="C625" s="2"/>
      <c r="L625" s="3"/>
    </row>
    <row r="626" spans="3:12" ht="15.75" customHeight="1" x14ac:dyDescent="0.2">
      <c r="C626" s="2"/>
      <c r="L626" s="3"/>
    </row>
    <row r="627" spans="3:12" ht="15.75" customHeight="1" x14ac:dyDescent="0.2">
      <c r="C627" s="2"/>
      <c r="L627" s="3"/>
    </row>
    <row r="628" spans="3:12" ht="15.75" customHeight="1" x14ac:dyDescent="0.2">
      <c r="C628" s="2"/>
      <c r="L628" s="3"/>
    </row>
    <row r="629" spans="3:12" ht="15.75" customHeight="1" x14ac:dyDescent="0.2">
      <c r="C629" s="2"/>
      <c r="L629" s="3"/>
    </row>
    <row r="630" spans="3:12" ht="15.75" customHeight="1" x14ac:dyDescent="0.2">
      <c r="C630" s="2"/>
      <c r="L630" s="3"/>
    </row>
    <row r="631" spans="3:12" ht="15.75" customHeight="1" x14ac:dyDescent="0.2">
      <c r="C631" s="2"/>
      <c r="L631" s="3"/>
    </row>
    <row r="632" spans="3:12" ht="15.75" customHeight="1" x14ac:dyDescent="0.2">
      <c r="C632" s="2"/>
      <c r="L632" s="3"/>
    </row>
    <row r="633" spans="3:12" ht="15.75" customHeight="1" x14ac:dyDescent="0.2">
      <c r="C633" s="2"/>
      <c r="L633" s="3"/>
    </row>
    <row r="634" spans="3:12" ht="15.75" customHeight="1" x14ac:dyDescent="0.2">
      <c r="C634" s="2"/>
      <c r="L634" s="3"/>
    </row>
    <row r="635" spans="3:12" ht="15.75" customHeight="1" x14ac:dyDescent="0.2">
      <c r="C635" s="2"/>
      <c r="L635" s="3"/>
    </row>
    <row r="636" spans="3:12" ht="15.75" customHeight="1" x14ac:dyDescent="0.2">
      <c r="C636" s="2"/>
      <c r="L636" s="3"/>
    </row>
    <row r="637" spans="3:12" ht="15.75" customHeight="1" x14ac:dyDescent="0.2">
      <c r="C637" s="2"/>
      <c r="L637" s="3"/>
    </row>
    <row r="638" spans="3:12" ht="15.75" customHeight="1" x14ac:dyDescent="0.2">
      <c r="C638" s="2"/>
      <c r="L638" s="3"/>
    </row>
    <row r="639" spans="3:12" ht="15.75" customHeight="1" x14ac:dyDescent="0.2">
      <c r="C639" s="2"/>
      <c r="L639" s="3"/>
    </row>
    <row r="640" spans="3:12" ht="15.75" customHeight="1" x14ac:dyDescent="0.2">
      <c r="C640" s="2"/>
      <c r="L640" s="3"/>
    </row>
    <row r="641" spans="3:12" ht="15.75" customHeight="1" x14ac:dyDescent="0.2">
      <c r="C641" s="2"/>
      <c r="L641" s="3"/>
    </row>
    <row r="642" spans="3:12" ht="15.75" customHeight="1" x14ac:dyDescent="0.2">
      <c r="C642" s="2"/>
      <c r="L642" s="3"/>
    </row>
    <row r="643" spans="3:12" ht="15.75" customHeight="1" x14ac:dyDescent="0.2">
      <c r="C643" s="2"/>
      <c r="L643" s="3"/>
    </row>
    <row r="644" spans="3:12" ht="15.75" customHeight="1" x14ac:dyDescent="0.2">
      <c r="C644" s="2"/>
      <c r="L644" s="3"/>
    </row>
    <row r="645" spans="3:12" ht="15.75" customHeight="1" x14ac:dyDescent="0.2">
      <c r="C645" s="2"/>
      <c r="L645" s="3"/>
    </row>
    <row r="646" spans="3:12" ht="15.75" customHeight="1" x14ac:dyDescent="0.2">
      <c r="C646" s="2"/>
      <c r="L646" s="3"/>
    </row>
    <row r="647" spans="3:12" ht="15.75" customHeight="1" x14ac:dyDescent="0.2">
      <c r="C647" s="2"/>
      <c r="L647" s="3"/>
    </row>
    <row r="648" spans="3:12" ht="15.75" customHeight="1" x14ac:dyDescent="0.2">
      <c r="C648" s="2"/>
      <c r="L648" s="3"/>
    </row>
    <row r="649" spans="3:12" ht="15.75" customHeight="1" x14ac:dyDescent="0.2">
      <c r="C649" s="2"/>
      <c r="L649" s="3"/>
    </row>
    <row r="650" spans="3:12" ht="15.75" customHeight="1" x14ac:dyDescent="0.2">
      <c r="C650" s="2"/>
      <c r="L650" s="3"/>
    </row>
    <row r="651" spans="3:12" ht="15.75" customHeight="1" x14ac:dyDescent="0.2">
      <c r="C651" s="2"/>
      <c r="L651" s="3"/>
    </row>
    <row r="652" spans="3:12" ht="15.75" customHeight="1" x14ac:dyDescent="0.2">
      <c r="C652" s="2"/>
      <c r="L652" s="3"/>
    </row>
    <row r="653" spans="3:12" ht="15.75" customHeight="1" x14ac:dyDescent="0.2">
      <c r="C653" s="2"/>
      <c r="L653" s="3"/>
    </row>
    <row r="654" spans="3:12" ht="15.75" customHeight="1" x14ac:dyDescent="0.2">
      <c r="C654" s="2"/>
      <c r="L654" s="3"/>
    </row>
    <row r="655" spans="3:12" ht="15.75" customHeight="1" x14ac:dyDescent="0.2">
      <c r="C655" s="2"/>
      <c r="L655" s="3"/>
    </row>
    <row r="656" spans="3:12" ht="15.75" customHeight="1" x14ac:dyDescent="0.2">
      <c r="C656" s="2"/>
      <c r="L656" s="3"/>
    </row>
    <row r="657" spans="3:12" ht="15.75" customHeight="1" x14ac:dyDescent="0.2">
      <c r="C657" s="2"/>
      <c r="L657" s="3"/>
    </row>
    <row r="658" spans="3:12" ht="15.75" customHeight="1" x14ac:dyDescent="0.2">
      <c r="C658" s="2"/>
      <c r="L658" s="3"/>
    </row>
    <row r="659" spans="3:12" ht="15.75" customHeight="1" x14ac:dyDescent="0.2">
      <c r="C659" s="2"/>
      <c r="L659" s="3"/>
    </row>
    <row r="660" spans="3:12" ht="15.75" customHeight="1" x14ac:dyDescent="0.2">
      <c r="C660" s="2"/>
      <c r="L660" s="3"/>
    </row>
    <row r="661" spans="3:12" ht="15.75" customHeight="1" x14ac:dyDescent="0.2">
      <c r="C661" s="2"/>
      <c r="L661" s="3"/>
    </row>
    <row r="662" spans="3:12" ht="15.75" customHeight="1" x14ac:dyDescent="0.2">
      <c r="C662" s="2"/>
      <c r="L662" s="3"/>
    </row>
    <row r="663" spans="3:12" ht="15.75" customHeight="1" x14ac:dyDescent="0.2">
      <c r="C663" s="2"/>
      <c r="L663" s="3"/>
    </row>
    <row r="664" spans="3:12" ht="15.75" customHeight="1" x14ac:dyDescent="0.2">
      <c r="C664" s="2"/>
      <c r="L664" s="3"/>
    </row>
    <row r="665" spans="3:12" ht="15.75" customHeight="1" x14ac:dyDescent="0.2">
      <c r="C665" s="2"/>
      <c r="L665" s="3"/>
    </row>
    <row r="666" spans="3:12" ht="15.75" customHeight="1" x14ac:dyDescent="0.2">
      <c r="C666" s="2"/>
      <c r="L666" s="3"/>
    </row>
    <row r="667" spans="3:12" ht="15.75" customHeight="1" x14ac:dyDescent="0.2">
      <c r="C667" s="2"/>
      <c r="L667" s="3"/>
    </row>
    <row r="668" spans="3:12" ht="15.75" customHeight="1" x14ac:dyDescent="0.2">
      <c r="C668" s="2"/>
      <c r="L668" s="3"/>
    </row>
    <row r="669" spans="3:12" ht="15.75" customHeight="1" x14ac:dyDescent="0.2">
      <c r="C669" s="2"/>
      <c r="L669" s="3"/>
    </row>
    <row r="670" spans="3:12" ht="15.75" customHeight="1" x14ac:dyDescent="0.2">
      <c r="C670" s="2"/>
      <c r="L670" s="3"/>
    </row>
    <row r="671" spans="3:12" ht="15.75" customHeight="1" x14ac:dyDescent="0.2">
      <c r="C671" s="2"/>
      <c r="L671" s="3"/>
    </row>
    <row r="672" spans="3:12" ht="15.75" customHeight="1" x14ac:dyDescent="0.2">
      <c r="C672" s="2"/>
      <c r="L672" s="3"/>
    </row>
    <row r="673" spans="3:12" ht="15.75" customHeight="1" x14ac:dyDescent="0.2">
      <c r="C673" s="2"/>
      <c r="L673" s="3"/>
    </row>
    <row r="674" spans="3:12" ht="15.75" customHeight="1" x14ac:dyDescent="0.2">
      <c r="C674" s="2"/>
      <c r="L674" s="3"/>
    </row>
    <row r="675" spans="3:12" ht="15.75" customHeight="1" x14ac:dyDescent="0.2">
      <c r="C675" s="2"/>
      <c r="L675" s="3"/>
    </row>
    <row r="676" spans="3:12" ht="15.75" customHeight="1" x14ac:dyDescent="0.2">
      <c r="C676" s="2"/>
      <c r="L676" s="3"/>
    </row>
    <row r="677" spans="3:12" ht="15.75" customHeight="1" x14ac:dyDescent="0.2">
      <c r="C677" s="2"/>
      <c r="L677" s="3"/>
    </row>
    <row r="678" spans="3:12" ht="15.75" customHeight="1" x14ac:dyDescent="0.2">
      <c r="C678" s="2"/>
      <c r="L678" s="3"/>
    </row>
    <row r="679" spans="3:12" ht="15.75" customHeight="1" x14ac:dyDescent="0.2">
      <c r="C679" s="2"/>
      <c r="L679" s="3"/>
    </row>
    <row r="680" spans="3:12" ht="15.75" customHeight="1" x14ac:dyDescent="0.2">
      <c r="C680" s="2"/>
      <c r="L680" s="3"/>
    </row>
    <row r="681" spans="3:12" ht="15.75" customHeight="1" x14ac:dyDescent="0.2">
      <c r="C681" s="2"/>
      <c r="L681" s="3"/>
    </row>
    <row r="682" spans="3:12" ht="15.75" customHeight="1" x14ac:dyDescent="0.2">
      <c r="C682" s="2"/>
      <c r="L682" s="3"/>
    </row>
    <row r="683" spans="3:12" ht="15.75" customHeight="1" x14ac:dyDescent="0.2">
      <c r="C683" s="2"/>
      <c r="L683" s="3"/>
    </row>
    <row r="684" spans="3:12" ht="15.75" customHeight="1" x14ac:dyDescent="0.2">
      <c r="C684" s="2"/>
      <c r="L684" s="3"/>
    </row>
    <row r="685" spans="3:12" ht="15.75" customHeight="1" x14ac:dyDescent="0.2">
      <c r="C685" s="2"/>
      <c r="L685" s="3"/>
    </row>
    <row r="686" spans="3:12" ht="15.75" customHeight="1" x14ac:dyDescent="0.2">
      <c r="C686" s="2"/>
      <c r="L686" s="3"/>
    </row>
    <row r="687" spans="3:12" ht="15.75" customHeight="1" x14ac:dyDescent="0.2">
      <c r="C687" s="2"/>
      <c r="L687" s="3"/>
    </row>
    <row r="688" spans="3:12" ht="15.75" customHeight="1" x14ac:dyDescent="0.2">
      <c r="C688" s="2"/>
      <c r="L688" s="3"/>
    </row>
    <row r="689" spans="3:12" ht="15.75" customHeight="1" x14ac:dyDescent="0.2">
      <c r="C689" s="2"/>
      <c r="L689" s="3"/>
    </row>
    <row r="690" spans="3:12" ht="15.75" customHeight="1" x14ac:dyDescent="0.2">
      <c r="C690" s="2"/>
      <c r="L690" s="3"/>
    </row>
    <row r="691" spans="3:12" ht="15.75" customHeight="1" x14ac:dyDescent="0.2">
      <c r="C691" s="2"/>
      <c r="L691" s="3"/>
    </row>
    <row r="692" spans="3:12" ht="15.75" customHeight="1" x14ac:dyDescent="0.2">
      <c r="C692" s="2"/>
      <c r="L692" s="3"/>
    </row>
    <row r="693" spans="3:12" ht="15.75" customHeight="1" x14ac:dyDescent="0.2">
      <c r="C693" s="2"/>
      <c r="L693" s="3"/>
    </row>
    <row r="694" spans="3:12" ht="15.75" customHeight="1" x14ac:dyDescent="0.2">
      <c r="C694" s="2"/>
      <c r="L694" s="3"/>
    </row>
    <row r="695" spans="3:12" ht="15.75" customHeight="1" x14ac:dyDescent="0.2">
      <c r="C695" s="2"/>
      <c r="L695" s="3"/>
    </row>
    <row r="696" spans="3:12" ht="15.75" customHeight="1" x14ac:dyDescent="0.2">
      <c r="C696" s="2"/>
      <c r="L696" s="3"/>
    </row>
    <row r="697" spans="3:12" ht="15.75" customHeight="1" x14ac:dyDescent="0.2">
      <c r="C697" s="2"/>
      <c r="L697" s="3"/>
    </row>
    <row r="698" spans="3:12" ht="15.75" customHeight="1" x14ac:dyDescent="0.2">
      <c r="C698" s="2"/>
      <c r="L698" s="3"/>
    </row>
    <row r="699" spans="3:12" ht="15.75" customHeight="1" x14ac:dyDescent="0.2">
      <c r="C699" s="2"/>
      <c r="L699" s="3"/>
    </row>
    <row r="700" spans="3:12" ht="15.75" customHeight="1" x14ac:dyDescent="0.2">
      <c r="C700" s="2"/>
      <c r="L700" s="3"/>
    </row>
    <row r="701" spans="3:12" ht="15.75" customHeight="1" x14ac:dyDescent="0.2">
      <c r="C701" s="2"/>
      <c r="L701" s="3"/>
    </row>
    <row r="702" spans="3:12" ht="15.75" customHeight="1" x14ac:dyDescent="0.2">
      <c r="C702" s="2"/>
      <c r="L702" s="3"/>
    </row>
    <row r="703" spans="3:12" ht="15.75" customHeight="1" x14ac:dyDescent="0.2">
      <c r="C703" s="2"/>
      <c r="L703" s="3"/>
    </row>
    <row r="704" spans="3:12" ht="15.75" customHeight="1" x14ac:dyDescent="0.2">
      <c r="C704" s="2"/>
      <c r="L704" s="3"/>
    </row>
    <row r="705" spans="3:12" ht="15.75" customHeight="1" x14ac:dyDescent="0.2">
      <c r="C705" s="2"/>
      <c r="L705" s="3"/>
    </row>
    <row r="706" spans="3:12" ht="15.75" customHeight="1" x14ac:dyDescent="0.2">
      <c r="C706" s="2"/>
      <c r="L706" s="3"/>
    </row>
    <row r="707" spans="3:12" ht="15.75" customHeight="1" x14ac:dyDescent="0.2">
      <c r="C707" s="2"/>
      <c r="L707" s="3"/>
    </row>
    <row r="708" spans="3:12" ht="15.75" customHeight="1" x14ac:dyDescent="0.2">
      <c r="C708" s="2"/>
      <c r="L708" s="3"/>
    </row>
    <row r="709" spans="3:12" ht="15.75" customHeight="1" x14ac:dyDescent="0.2">
      <c r="C709" s="2"/>
      <c r="L709" s="3"/>
    </row>
    <row r="710" spans="3:12" ht="15.75" customHeight="1" x14ac:dyDescent="0.2">
      <c r="C710" s="2"/>
      <c r="L710" s="3"/>
    </row>
    <row r="711" spans="3:12" ht="15.75" customHeight="1" x14ac:dyDescent="0.2">
      <c r="C711" s="2"/>
      <c r="L711" s="3"/>
    </row>
    <row r="712" spans="3:12" ht="15.75" customHeight="1" x14ac:dyDescent="0.2">
      <c r="C712" s="2"/>
      <c r="L712" s="3"/>
    </row>
    <row r="713" spans="3:12" ht="15.75" customHeight="1" x14ac:dyDescent="0.2">
      <c r="C713" s="2"/>
      <c r="L713" s="3"/>
    </row>
    <row r="714" spans="3:12" ht="15.75" customHeight="1" x14ac:dyDescent="0.2">
      <c r="C714" s="2"/>
      <c r="L714" s="3"/>
    </row>
    <row r="715" spans="3:12" ht="15.75" customHeight="1" x14ac:dyDescent="0.2">
      <c r="C715" s="2"/>
      <c r="L715" s="3"/>
    </row>
    <row r="716" spans="3:12" ht="15.75" customHeight="1" x14ac:dyDescent="0.2">
      <c r="C716" s="2"/>
      <c r="L716" s="3"/>
    </row>
    <row r="717" spans="3:12" ht="15.75" customHeight="1" x14ac:dyDescent="0.2">
      <c r="C717" s="2"/>
      <c r="L717" s="3"/>
    </row>
    <row r="718" spans="3:12" ht="15.75" customHeight="1" x14ac:dyDescent="0.2">
      <c r="C718" s="2"/>
      <c r="L718" s="3"/>
    </row>
    <row r="719" spans="3:12" ht="15.75" customHeight="1" x14ac:dyDescent="0.2">
      <c r="C719" s="2"/>
      <c r="L719" s="3"/>
    </row>
    <row r="720" spans="3:12" ht="15.75" customHeight="1" x14ac:dyDescent="0.2">
      <c r="C720" s="2"/>
      <c r="L720" s="3"/>
    </row>
    <row r="721" spans="3:12" ht="15.75" customHeight="1" x14ac:dyDescent="0.2">
      <c r="C721" s="2"/>
      <c r="L721" s="3"/>
    </row>
    <row r="722" spans="3:12" ht="15.75" customHeight="1" x14ac:dyDescent="0.2">
      <c r="C722" s="2"/>
      <c r="L722" s="3"/>
    </row>
    <row r="723" spans="3:12" ht="15.75" customHeight="1" x14ac:dyDescent="0.2">
      <c r="C723" s="2"/>
      <c r="L723" s="3"/>
    </row>
    <row r="724" spans="3:12" ht="15.75" customHeight="1" x14ac:dyDescent="0.2">
      <c r="C724" s="2"/>
      <c r="L724" s="3"/>
    </row>
    <row r="725" spans="3:12" ht="15.75" customHeight="1" x14ac:dyDescent="0.2">
      <c r="C725" s="2"/>
      <c r="L725" s="3"/>
    </row>
    <row r="726" spans="3:12" ht="15.75" customHeight="1" x14ac:dyDescent="0.2">
      <c r="C726" s="2"/>
      <c r="L726" s="3"/>
    </row>
    <row r="727" spans="3:12" ht="15.75" customHeight="1" x14ac:dyDescent="0.2">
      <c r="C727" s="2"/>
      <c r="L727" s="3"/>
    </row>
    <row r="728" spans="3:12" ht="15.75" customHeight="1" x14ac:dyDescent="0.2">
      <c r="C728" s="2"/>
      <c r="L728" s="3"/>
    </row>
    <row r="729" spans="3:12" ht="15.75" customHeight="1" x14ac:dyDescent="0.2">
      <c r="C729" s="2"/>
      <c r="L729" s="3"/>
    </row>
    <row r="730" spans="3:12" ht="15.75" customHeight="1" x14ac:dyDescent="0.2">
      <c r="C730" s="2"/>
      <c r="L730" s="3"/>
    </row>
    <row r="731" spans="3:12" ht="15.75" customHeight="1" x14ac:dyDescent="0.2">
      <c r="C731" s="2"/>
      <c r="L731" s="3"/>
    </row>
    <row r="732" spans="3:12" ht="15.75" customHeight="1" x14ac:dyDescent="0.2">
      <c r="C732" s="2"/>
      <c r="L732" s="3"/>
    </row>
    <row r="733" spans="3:12" ht="15.75" customHeight="1" x14ac:dyDescent="0.2">
      <c r="C733" s="2"/>
      <c r="L733" s="3"/>
    </row>
    <row r="734" spans="3:12" ht="15.75" customHeight="1" x14ac:dyDescent="0.2">
      <c r="C734" s="2"/>
      <c r="L734" s="3"/>
    </row>
    <row r="735" spans="3:12" ht="15.75" customHeight="1" x14ac:dyDescent="0.2">
      <c r="C735" s="2"/>
      <c r="L735" s="3"/>
    </row>
    <row r="736" spans="3:12" ht="15.75" customHeight="1" x14ac:dyDescent="0.2">
      <c r="C736" s="2"/>
      <c r="L736" s="3"/>
    </row>
    <row r="737" spans="3:12" ht="15.75" customHeight="1" x14ac:dyDescent="0.2">
      <c r="C737" s="2"/>
      <c r="L737" s="3"/>
    </row>
    <row r="738" spans="3:12" ht="15.75" customHeight="1" x14ac:dyDescent="0.2">
      <c r="C738" s="2"/>
      <c r="L738" s="3"/>
    </row>
    <row r="739" spans="3:12" ht="15.75" customHeight="1" x14ac:dyDescent="0.2">
      <c r="C739" s="2"/>
      <c r="L739" s="3"/>
    </row>
    <row r="740" spans="3:12" ht="15.75" customHeight="1" x14ac:dyDescent="0.2">
      <c r="C740" s="2"/>
      <c r="L740" s="3"/>
    </row>
    <row r="741" spans="3:12" ht="15.75" customHeight="1" x14ac:dyDescent="0.2">
      <c r="C741" s="2"/>
      <c r="L741" s="3"/>
    </row>
    <row r="742" spans="3:12" ht="15.75" customHeight="1" x14ac:dyDescent="0.2">
      <c r="C742" s="2"/>
      <c r="L742" s="3"/>
    </row>
    <row r="743" spans="3:12" ht="15.75" customHeight="1" x14ac:dyDescent="0.2">
      <c r="C743" s="2"/>
      <c r="L743" s="3"/>
    </row>
    <row r="744" spans="3:12" ht="15.75" customHeight="1" x14ac:dyDescent="0.2">
      <c r="C744" s="2"/>
      <c r="L744" s="3"/>
    </row>
    <row r="745" spans="3:12" ht="15.75" customHeight="1" x14ac:dyDescent="0.2">
      <c r="C745" s="2"/>
      <c r="L745" s="3"/>
    </row>
    <row r="746" spans="3:12" ht="15.75" customHeight="1" x14ac:dyDescent="0.2">
      <c r="C746" s="2"/>
      <c r="L746" s="3"/>
    </row>
    <row r="747" spans="3:12" ht="15.75" customHeight="1" x14ac:dyDescent="0.2">
      <c r="C747" s="2"/>
      <c r="L747" s="3"/>
    </row>
    <row r="748" spans="3:12" ht="15.75" customHeight="1" x14ac:dyDescent="0.2">
      <c r="C748" s="2"/>
      <c r="L748" s="3"/>
    </row>
    <row r="749" spans="3:12" ht="15.75" customHeight="1" x14ac:dyDescent="0.2">
      <c r="C749" s="2"/>
      <c r="L749" s="3"/>
    </row>
    <row r="750" spans="3:12" ht="15.75" customHeight="1" x14ac:dyDescent="0.2">
      <c r="C750" s="2"/>
      <c r="L750" s="3"/>
    </row>
    <row r="751" spans="3:12" ht="15.75" customHeight="1" x14ac:dyDescent="0.2">
      <c r="C751" s="2"/>
      <c r="L751" s="3"/>
    </row>
    <row r="752" spans="3:12" ht="15.75" customHeight="1" x14ac:dyDescent="0.2">
      <c r="C752" s="2"/>
      <c r="L752" s="3"/>
    </row>
    <row r="753" spans="3:12" ht="15.75" customHeight="1" x14ac:dyDescent="0.2">
      <c r="C753" s="2"/>
      <c r="L753" s="3"/>
    </row>
    <row r="754" spans="3:12" ht="15.75" customHeight="1" x14ac:dyDescent="0.2">
      <c r="C754" s="2"/>
      <c r="L754" s="3"/>
    </row>
    <row r="755" spans="3:12" ht="15.75" customHeight="1" x14ac:dyDescent="0.2">
      <c r="C755" s="2"/>
      <c r="L755" s="3"/>
    </row>
    <row r="756" spans="3:12" ht="15.75" customHeight="1" x14ac:dyDescent="0.2">
      <c r="C756" s="2"/>
      <c r="L756" s="3"/>
    </row>
    <row r="757" spans="3:12" ht="15.75" customHeight="1" x14ac:dyDescent="0.2">
      <c r="C757" s="2"/>
      <c r="L757" s="3"/>
    </row>
    <row r="758" spans="3:12" ht="15.75" customHeight="1" x14ac:dyDescent="0.2">
      <c r="C758" s="2"/>
      <c r="L758" s="3"/>
    </row>
    <row r="759" spans="3:12" ht="15.75" customHeight="1" x14ac:dyDescent="0.2">
      <c r="C759" s="2"/>
      <c r="L759" s="3"/>
    </row>
    <row r="760" spans="3:12" ht="15.75" customHeight="1" x14ac:dyDescent="0.2">
      <c r="C760" s="2"/>
      <c r="L760" s="3"/>
    </row>
    <row r="761" spans="3:12" ht="15.75" customHeight="1" x14ac:dyDescent="0.2">
      <c r="C761" s="2"/>
      <c r="L761" s="3"/>
    </row>
    <row r="762" spans="3:12" ht="15.75" customHeight="1" x14ac:dyDescent="0.2">
      <c r="C762" s="2"/>
      <c r="L762" s="3"/>
    </row>
    <row r="763" spans="3:12" ht="15.75" customHeight="1" x14ac:dyDescent="0.2">
      <c r="C763" s="2"/>
      <c r="L763" s="3"/>
    </row>
    <row r="764" spans="3:12" ht="15.75" customHeight="1" x14ac:dyDescent="0.2">
      <c r="C764" s="2"/>
      <c r="L764" s="3"/>
    </row>
    <row r="765" spans="3:12" ht="15.75" customHeight="1" x14ac:dyDescent="0.2">
      <c r="C765" s="2"/>
      <c r="L765" s="3"/>
    </row>
    <row r="766" spans="3:12" ht="15.75" customHeight="1" x14ac:dyDescent="0.2">
      <c r="C766" s="2"/>
      <c r="L766" s="3"/>
    </row>
    <row r="767" spans="3:12" ht="15.75" customHeight="1" x14ac:dyDescent="0.2">
      <c r="C767" s="2"/>
      <c r="L767" s="3"/>
    </row>
    <row r="768" spans="3:12" ht="15.75" customHeight="1" x14ac:dyDescent="0.2">
      <c r="C768" s="2"/>
      <c r="L768" s="3"/>
    </row>
    <row r="769" spans="3:12" ht="15.75" customHeight="1" x14ac:dyDescent="0.2">
      <c r="C769" s="2"/>
      <c r="L769" s="3"/>
    </row>
    <row r="770" spans="3:12" ht="15.75" customHeight="1" x14ac:dyDescent="0.2">
      <c r="C770" s="2"/>
      <c r="L770" s="3"/>
    </row>
    <row r="771" spans="3:12" ht="15.75" customHeight="1" x14ac:dyDescent="0.2">
      <c r="C771" s="2"/>
      <c r="L771" s="3"/>
    </row>
    <row r="772" spans="3:12" ht="15.75" customHeight="1" x14ac:dyDescent="0.2">
      <c r="C772" s="2"/>
      <c r="L772" s="3"/>
    </row>
    <row r="773" spans="3:12" ht="15.75" customHeight="1" x14ac:dyDescent="0.2">
      <c r="C773" s="2"/>
      <c r="L773" s="3"/>
    </row>
    <row r="774" spans="3:12" ht="15.75" customHeight="1" x14ac:dyDescent="0.2">
      <c r="C774" s="2"/>
      <c r="L774" s="3"/>
    </row>
    <row r="775" spans="3:12" ht="15.75" customHeight="1" x14ac:dyDescent="0.2">
      <c r="C775" s="2"/>
      <c r="L775" s="3"/>
    </row>
    <row r="776" spans="3:12" ht="15.75" customHeight="1" x14ac:dyDescent="0.2">
      <c r="C776" s="2"/>
      <c r="L776" s="3"/>
    </row>
    <row r="777" spans="3:12" ht="15.75" customHeight="1" x14ac:dyDescent="0.2">
      <c r="C777" s="2"/>
      <c r="L777" s="3"/>
    </row>
    <row r="778" spans="3:12" ht="15.75" customHeight="1" x14ac:dyDescent="0.2">
      <c r="C778" s="2"/>
      <c r="L778" s="3"/>
    </row>
    <row r="779" spans="3:12" ht="15.75" customHeight="1" x14ac:dyDescent="0.2">
      <c r="C779" s="2"/>
      <c r="L779" s="3"/>
    </row>
    <row r="780" spans="3:12" ht="15.75" customHeight="1" x14ac:dyDescent="0.2">
      <c r="C780" s="2"/>
      <c r="L780" s="3"/>
    </row>
    <row r="781" spans="3:12" ht="15.75" customHeight="1" x14ac:dyDescent="0.2">
      <c r="C781" s="2"/>
      <c r="L781" s="3"/>
    </row>
    <row r="782" spans="3:12" ht="15.75" customHeight="1" x14ac:dyDescent="0.2">
      <c r="C782" s="2"/>
      <c r="L782" s="3"/>
    </row>
    <row r="783" spans="3:12" ht="15.75" customHeight="1" x14ac:dyDescent="0.2">
      <c r="C783" s="2"/>
      <c r="L783" s="3"/>
    </row>
    <row r="784" spans="3:12" ht="15.75" customHeight="1" x14ac:dyDescent="0.2">
      <c r="C784" s="2"/>
      <c r="L784" s="3"/>
    </row>
    <row r="785" spans="3:12" ht="15.75" customHeight="1" x14ac:dyDescent="0.2">
      <c r="C785" s="2"/>
      <c r="L785" s="3"/>
    </row>
    <row r="786" spans="3:12" ht="15.75" customHeight="1" x14ac:dyDescent="0.2">
      <c r="C786" s="2"/>
      <c r="L786" s="3"/>
    </row>
    <row r="787" spans="3:12" ht="15.75" customHeight="1" x14ac:dyDescent="0.2">
      <c r="C787" s="2"/>
      <c r="L787" s="3"/>
    </row>
    <row r="788" spans="3:12" ht="15.75" customHeight="1" x14ac:dyDescent="0.2">
      <c r="C788" s="2"/>
      <c r="L788" s="3"/>
    </row>
    <row r="789" spans="3:12" ht="15.75" customHeight="1" x14ac:dyDescent="0.2">
      <c r="C789" s="2"/>
      <c r="L789" s="3"/>
    </row>
    <row r="790" spans="3:12" ht="15.75" customHeight="1" x14ac:dyDescent="0.2">
      <c r="C790" s="2"/>
      <c r="L790" s="3"/>
    </row>
    <row r="791" spans="3:12" ht="15.75" customHeight="1" x14ac:dyDescent="0.2">
      <c r="C791" s="2"/>
      <c r="L791" s="3"/>
    </row>
    <row r="792" spans="3:12" ht="15.75" customHeight="1" x14ac:dyDescent="0.2">
      <c r="C792" s="2"/>
      <c r="L792" s="3"/>
    </row>
    <row r="793" spans="3:12" ht="15.75" customHeight="1" x14ac:dyDescent="0.2">
      <c r="C793" s="2"/>
      <c r="L793" s="3"/>
    </row>
    <row r="794" spans="3:12" ht="15.75" customHeight="1" x14ac:dyDescent="0.2">
      <c r="C794" s="2"/>
      <c r="L794" s="3"/>
    </row>
    <row r="795" spans="3:12" ht="15.75" customHeight="1" x14ac:dyDescent="0.2">
      <c r="C795" s="2"/>
      <c r="L795" s="3"/>
    </row>
    <row r="796" spans="3:12" ht="15.75" customHeight="1" x14ac:dyDescent="0.2">
      <c r="C796" s="2"/>
      <c r="L796" s="3"/>
    </row>
    <row r="797" spans="3:12" ht="15.75" customHeight="1" x14ac:dyDescent="0.2">
      <c r="C797" s="2"/>
      <c r="L797" s="3"/>
    </row>
    <row r="798" spans="3:12" ht="15.75" customHeight="1" x14ac:dyDescent="0.2">
      <c r="C798" s="2"/>
      <c r="L798" s="3"/>
    </row>
    <row r="799" spans="3:12" ht="15.75" customHeight="1" x14ac:dyDescent="0.2">
      <c r="C799" s="2"/>
      <c r="L799" s="3"/>
    </row>
    <row r="800" spans="3:12" ht="15.75" customHeight="1" x14ac:dyDescent="0.2">
      <c r="C800" s="2"/>
      <c r="L800" s="3"/>
    </row>
    <row r="801" spans="3:12" ht="15.75" customHeight="1" x14ac:dyDescent="0.2">
      <c r="C801" s="2"/>
      <c r="L801" s="3"/>
    </row>
    <row r="802" spans="3:12" ht="15.75" customHeight="1" x14ac:dyDescent="0.2">
      <c r="C802" s="2"/>
      <c r="L802" s="3"/>
    </row>
    <row r="803" spans="3:12" ht="15.75" customHeight="1" x14ac:dyDescent="0.2">
      <c r="C803" s="2"/>
      <c r="L803" s="3"/>
    </row>
    <row r="804" spans="3:12" ht="15.75" customHeight="1" x14ac:dyDescent="0.2">
      <c r="C804" s="2"/>
      <c r="L804" s="3"/>
    </row>
    <row r="805" spans="3:12" ht="15.75" customHeight="1" x14ac:dyDescent="0.2">
      <c r="C805" s="2"/>
      <c r="L805" s="3"/>
    </row>
    <row r="806" spans="3:12" ht="15.75" customHeight="1" x14ac:dyDescent="0.2">
      <c r="C806" s="2"/>
      <c r="L806" s="3"/>
    </row>
    <row r="807" spans="3:12" ht="15.75" customHeight="1" x14ac:dyDescent="0.2">
      <c r="C807" s="2"/>
      <c r="L807" s="3"/>
    </row>
    <row r="808" spans="3:12" ht="15.75" customHeight="1" x14ac:dyDescent="0.2">
      <c r="C808" s="2"/>
      <c r="L808" s="3"/>
    </row>
    <row r="809" spans="3:12" ht="15.75" customHeight="1" x14ac:dyDescent="0.2">
      <c r="C809" s="2"/>
      <c r="L809" s="3"/>
    </row>
    <row r="810" spans="3:12" ht="15.75" customHeight="1" x14ac:dyDescent="0.2">
      <c r="C810" s="2"/>
      <c r="L810" s="3"/>
    </row>
    <row r="811" spans="3:12" ht="15.75" customHeight="1" x14ac:dyDescent="0.2">
      <c r="C811" s="2"/>
      <c r="L811" s="3"/>
    </row>
    <row r="812" spans="3:12" ht="15.75" customHeight="1" x14ac:dyDescent="0.2">
      <c r="C812" s="2"/>
      <c r="L812" s="3"/>
    </row>
    <row r="813" spans="3:12" ht="15.75" customHeight="1" x14ac:dyDescent="0.2">
      <c r="C813" s="2"/>
      <c r="L813" s="3"/>
    </row>
    <row r="814" spans="3:12" ht="15.75" customHeight="1" x14ac:dyDescent="0.2">
      <c r="C814" s="2"/>
      <c r="L814" s="3"/>
    </row>
    <row r="815" spans="3:12" ht="15.75" customHeight="1" x14ac:dyDescent="0.2">
      <c r="C815" s="2"/>
      <c r="L815" s="3"/>
    </row>
    <row r="816" spans="3:12" ht="15.75" customHeight="1" x14ac:dyDescent="0.2">
      <c r="C816" s="2"/>
      <c r="L816" s="3"/>
    </row>
    <row r="817" spans="3:12" ht="15.75" customHeight="1" x14ac:dyDescent="0.2">
      <c r="C817" s="2"/>
      <c r="L817" s="3"/>
    </row>
    <row r="818" spans="3:12" ht="15.75" customHeight="1" x14ac:dyDescent="0.2">
      <c r="C818" s="2"/>
      <c r="L818" s="3"/>
    </row>
    <row r="819" spans="3:12" ht="15.75" customHeight="1" x14ac:dyDescent="0.2">
      <c r="C819" s="2"/>
      <c r="L819" s="3"/>
    </row>
    <row r="820" spans="3:12" ht="15.75" customHeight="1" x14ac:dyDescent="0.2">
      <c r="C820" s="2"/>
      <c r="L820" s="3"/>
    </row>
    <row r="821" spans="3:12" ht="15.75" customHeight="1" x14ac:dyDescent="0.2">
      <c r="C821" s="2"/>
      <c r="L821" s="3"/>
    </row>
    <row r="822" spans="3:12" ht="15.75" customHeight="1" x14ac:dyDescent="0.2">
      <c r="C822" s="2"/>
      <c r="L822" s="3"/>
    </row>
    <row r="823" spans="3:12" ht="15.75" customHeight="1" x14ac:dyDescent="0.2">
      <c r="C823" s="2"/>
      <c r="L823" s="3"/>
    </row>
    <row r="824" spans="3:12" ht="15.75" customHeight="1" x14ac:dyDescent="0.2">
      <c r="C824" s="2"/>
      <c r="L824" s="3"/>
    </row>
    <row r="825" spans="3:12" ht="15.75" customHeight="1" x14ac:dyDescent="0.2">
      <c r="C825" s="2"/>
      <c r="L825" s="3"/>
    </row>
    <row r="826" spans="3:12" ht="15.75" customHeight="1" x14ac:dyDescent="0.2">
      <c r="C826" s="2"/>
      <c r="L826" s="3"/>
    </row>
    <row r="827" spans="3:12" ht="15.75" customHeight="1" x14ac:dyDescent="0.2">
      <c r="C827" s="2"/>
      <c r="L827" s="3"/>
    </row>
    <row r="828" spans="3:12" ht="15.75" customHeight="1" x14ac:dyDescent="0.2">
      <c r="C828" s="2"/>
      <c r="L828" s="3"/>
    </row>
    <row r="829" spans="3:12" ht="15.75" customHeight="1" x14ac:dyDescent="0.2">
      <c r="C829" s="2"/>
      <c r="L829" s="3"/>
    </row>
    <row r="830" spans="3:12" ht="15.75" customHeight="1" x14ac:dyDescent="0.2">
      <c r="C830" s="2"/>
      <c r="L830" s="3"/>
    </row>
    <row r="831" spans="3:12" ht="15.75" customHeight="1" x14ac:dyDescent="0.2">
      <c r="C831" s="2"/>
      <c r="L831" s="3"/>
    </row>
    <row r="832" spans="3:12" ht="15.75" customHeight="1" x14ac:dyDescent="0.2">
      <c r="C832" s="2"/>
      <c r="L832" s="3"/>
    </row>
    <row r="833" spans="3:12" ht="15.75" customHeight="1" x14ac:dyDescent="0.2">
      <c r="C833" s="2"/>
      <c r="L833" s="3"/>
    </row>
    <row r="834" spans="3:12" ht="15.75" customHeight="1" x14ac:dyDescent="0.2">
      <c r="C834" s="2"/>
      <c r="L834" s="3"/>
    </row>
    <row r="835" spans="3:12" ht="15.75" customHeight="1" x14ac:dyDescent="0.2">
      <c r="C835" s="2"/>
      <c r="L835" s="3"/>
    </row>
    <row r="836" spans="3:12" ht="15.75" customHeight="1" x14ac:dyDescent="0.2">
      <c r="C836" s="2"/>
      <c r="L836" s="3"/>
    </row>
    <row r="837" spans="3:12" ht="15.75" customHeight="1" x14ac:dyDescent="0.2">
      <c r="C837" s="2"/>
      <c r="L837" s="3"/>
    </row>
    <row r="838" spans="3:12" ht="15.75" customHeight="1" x14ac:dyDescent="0.2">
      <c r="C838" s="2"/>
      <c r="L838" s="3"/>
    </row>
    <row r="839" spans="3:12" ht="15.75" customHeight="1" x14ac:dyDescent="0.2">
      <c r="C839" s="2"/>
      <c r="L839" s="3"/>
    </row>
    <row r="840" spans="3:12" ht="15.75" customHeight="1" x14ac:dyDescent="0.2">
      <c r="C840" s="2"/>
      <c r="L840" s="3"/>
    </row>
    <row r="841" spans="3:12" ht="15.75" customHeight="1" x14ac:dyDescent="0.2">
      <c r="C841" s="2"/>
      <c r="L841" s="3"/>
    </row>
    <row r="842" spans="3:12" ht="15.75" customHeight="1" x14ac:dyDescent="0.2">
      <c r="C842" s="2"/>
      <c r="L842" s="3"/>
    </row>
    <row r="843" spans="3:12" ht="15.75" customHeight="1" x14ac:dyDescent="0.2">
      <c r="C843" s="2"/>
      <c r="L843" s="3"/>
    </row>
    <row r="844" spans="3:12" ht="15.75" customHeight="1" x14ac:dyDescent="0.2">
      <c r="C844" s="2"/>
      <c r="L844" s="3"/>
    </row>
    <row r="845" spans="3:12" ht="15.75" customHeight="1" x14ac:dyDescent="0.2">
      <c r="C845" s="2"/>
      <c r="L845" s="3"/>
    </row>
    <row r="846" spans="3:12" ht="15.75" customHeight="1" x14ac:dyDescent="0.2">
      <c r="C846" s="2"/>
      <c r="L846" s="3"/>
    </row>
    <row r="847" spans="3:12" ht="15.75" customHeight="1" x14ac:dyDescent="0.2">
      <c r="C847" s="2"/>
      <c r="L847" s="3"/>
    </row>
    <row r="848" spans="3:12" ht="15.75" customHeight="1" x14ac:dyDescent="0.2">
      <c r="C848" s="2"/>
      <c r="L848" s="3"/>
    </row>
    <row r="849" spans="3:12" ht="15.75" customHeight="1" x14ac:dyDescent="0.2">
      <c r="C849" s="2"/>
      <c r="L849" s="3"/>
    </row>
    <row r="850" spans="3:12" ht="15.75" customHeight="1" x14ac:dyDescent="0.2">
      <c r="C850" s="2"/>
      <c r="L850" s="3"/>
    </row>
    <row r="851" spans="3:12" ht="15.75" customHeight="1" x14ac:dyDescent="0.2">
      <c r="C851" s="2"/>
      <c r="L851" s="3"/>
    </row>
    <row r="852" spans="3:12" ht="15.75" customHeight="1" x14ac:dyDescent="0.2">
      <c r="C852" s="2"/>
      <c r="L852" s="3"/>
    </row>
    <row r="853" spans="3:12" ht="15.75" customHeight="1" x14ac:dyDescent="0.2">
      <c r="C853" s="2"/>
      <c r="L853" s="3"/>
    </row>
    <row r="854" spans="3:12" ht="15.75" customHeight="1" x14ac:dyDescent="0.2">
      <c r="C854" s="2"/>
      <c r="L854" s="3"/>
    </row>
    <row r="855" spans="3:12" ht="15.75" customHeight="1" x14ac:dyDescent="0.2">
      <c r="C855" s="2"/>
      <c r="L855" s="3"/>
    </row>
    <row r="856" spans="3:12" ht="15.75" customHeight="1" x14ac:dyDescent="0.2">
      <c r="C856" s="2"/>
      <c r="L856" s="3"/>
    </row>
    <row r="857" spans="3:12" ht="15.75" customHeight="1" x14ac:dyDescent="0.2">
      <c r="C857" s="2"/>
      <c r="L857" s="3"/>
    </row>
    <row r="858" spans="3:12" ht="15.75" customHeight="1" x14ac:dyDescent="0.2">
      <c r="C858" s="2"/>
      <c r="L858" s="3"/>
    </row>
    <row r="859" spans="3:12" ht="15.75" customHeight="1" x14ac:dyDescent="0.2">
      <c r="C859" s="2"/>
      <c r="L859" s="3"/>
    </row>
    <row r="860" spans="3:12" ht="15.75" customHeight="1" x14ac:dyDescent="0.2">
      <c r="C860" s="2"/>
      <c r="L860" s="3"/>
    </row>
    <row r="861" spans="3:12" ht="15.75" customHeight="1" x14ac:dyDescent="0.2">
      <c r="C861" s="2"/>
      <c r="L861" s="3"/>
    </row>
    <row r="862" spans="3:12" ht="15.75" customHeight="1" x14ac:dyDescent="0.2">
      <c r="C862" s="2"/>
      <c r="L862" s="3"/>
    </row>
    <row r="863" spans="3:12" ht="15.75" customHeight="1" x14ac:dyDescent="0.2">
      <c r="C863" s="2"/>
      <c r="L863" s="3"/>
    </row>
    <row r="864" spans="3:12" ht="15.75" customHeight="1" x14ac:dyDescent="0.2">
      <c r="C864" s="2"/>
      <c r="L864" s="3"/>
    </row>
    <row r="865" spans="3:12" ht="15.75" customHeight="1" x14ac:dyDescent="0.2">
      <c r="C865" s="2"/>
      <c r="L865" s="3"/>
    </row>
    <row r="866" spans="3:12" ht="15.75" customHeight="1" x14ac:dyDescent="0.2">
      <c r="C866" s="2"/>
      <c r="L866" s="3"/>
    </row>
    <row r="867" spans="3:12" ht="15.75" customHeight="1" x14ac:dyDescent="0.2">
      <c r="C867" s="2"/>
      <c r="L867" s="3"/>
    </row>
    <row r="868" spans="3:12" ht="15.75" customHeight="1" x14ac:dyDescent="0.2">
      <c r="C868" s="2"/>
      <c r="L868" s="3"/>
    </row>
    <row r="869" spans="3:12" ht="15.75" customHeight="1" x14ac:dyDescent="0.2">
      <c r="C869" s="2"/>
      <c r="L869" s="3"/>
    </row>
    <row r="870" spans="3:12" ht="15.75" customHeight="1" x14ac:dyDescent="0.2">
      <c r="C870" s="2"/>
      <c r="L870" s="3"/>
    </row>
    <row r="871" spans="3:12" ht="15.75" customHeight="1" x14ac:dyDescent="0.2">
      <c r="C871" s="2"/>
      <c r="L871" s="3"/>
    </row>
    <row r="872" spans="3:12" ht="15.75" customHeight="1" x14ac:dyDescent="0.2">
      <c r="C872" s="2"/>
      <c r="L872" s="3"/>
    </row>
    <row r="873" spans="3:12" ht="15.75" customHeight="1" x14ac:dyDescent="0.2">
      <c r="C873" s="2"/>
      <c r="L873" s="3"/>
    </row>
    <row r="874" spans="3:12" ht="15.75" customHeight="1" x14ac:dyDescent="0.2">
      <c r="C874" s="2"/>
      <c r="L874" s="3"/>
    </row>
    <row r="875" spans="3:12" ht="15.75" customHeight="1" x14ac:dyDescent="0.2">
      <c r="C875" s="2"/>
      <c r="L875" s="3"/>
    </row>
    <row r="876" spans="3:12" ht="15.75" customHeight="1" x14ac:dyDescent="0.2">
      <c r="C876" s="2"/>
      <c r="L876" s="3"/>
    </row>
    <row r="877" spans="3:12" ht="15.75" customHeight="1" x14ac:dyDescent="0.2">
      <c r="C877" s="2"/>
      <c r="L877" s="3"/>
    </row>
    <row r="878" spans="3:12" ht="15.75" customHeight="1" x14ac:dyDescent="0.2">
      <c r="C878" s="2"/>
      <c r="L878" s="3"/>
    </row>
    <row r="879" spans="3:12" ht="15.75" customHeight="1" x14ac:dyDescent="0.2">
      <c r="C879" s="2"/>
      <c r="L879" s="3"/>
    </row>
    <row r="880" spans="3:12" ht="15.75" customHeight="1" x14ac:dyDescent="0.2">
      <c r="C880" s="2"/>
      <c r="L880" s="3"/>
    </row>
    <row r="881" spans="3:12" ht="15.75" customHeight="1" x14ac:dyDescent="0.2">
      <c r="C881" s="2"/>
      <c r="L881" s="3"/>
    </row>
    <row r="882" spans="3:12" ht="15.75" customHeight="1" x14ac:dyDescent="0.2">
      <c r="C882" s="2"/>
      <c r="L882" s="3"/>
    </row>
    <row r="883" spans="3:12" ht="15.75" customHeight="1" x14ac:dyDescent="0.2">
      <c r="C883" s="2"/>
      <c r="L883" s="3"/>
    </row>
    <row r="884" spans="3:12" ht="15.75" customHeight="1" x14ac:dyDescent="0.2">
      <c r="C884" s="2"/>
      <c r="L884" s="3"/>
    </row>
    <row r="885" spans="3:12" ht="15.75" customHeight="1" x14ac:dyDescent="0.2">
      <c r="C885" s="2"/>
      <c r="L885" s="3"/>
    </row>
    <row r="886" spans="3:12" ht="15.75" customHeight="1" x14ac:dyDescent="0.2">
      <c r="C886" s="2"/>
      <c r="L886" s="3"/>
    </row>
    <row r="887" spans="3:12" ht="15.75" customHeight="1" x14ac:dyDescent="0.2">
      <c r="C887" s="2"/>
      <c r="L887" s="3"/>
    </row>
    <row r="888" spans="3:12" ht="15.75" customHeight="1" x14ac:dyDescent="0.2">
      <c r="C888" s="2"/>
      <c r="L888" s="3"/>
    </row>
    <row r="889" spans="3:12" ht="15.75" customHeight="1" x14ac:dyDescent="0.2">
      <c r="C889" s="2"/>
      <c r="L889" s="3"/>
    </row>
    <row r="890" spans="3:12" ht="15.75" customHeight="1" x14ac:dyDescent="0.2">
      <c r="C890" s="2"/>
      <c r="L890" s="3"/>
    </row>
    <row r="891" spans="3:12" ht="15.75" customHeight="1" x14ac:dyDescent="0.2">
      <c r="C891" s="2"/>
      <c r="L891" s="3"/>
    </row>
    <row r="892" spans="3:12" ht="15.75" customHeight="1" x14ac:dyDescent="0.2">
      <c r="C892" s="2"/>
      <c r="L892" s="3"/>
    </row>
    <row r="893" spans="3:12" ht="15.75" customHeight="1" x14ac:dyDescent="0.2">
      <c r="C893" s="2"/>
      <c r="L893" s="3"/>
    </row>
    <row r="894" spans="3:12" ht="15.75" customHeight="1" x14ac:dyDescent="0.2">
      <c r="C894" s="2"/>
      <c r="L894" s="3"/>
    </row>
    <row r="895" spans="3:12" ht="15.75" customHeight="1" x14ac:dyDescent="0.2">
      <c r="C895" s="2"/>
      <c r="L895" s="3"/>
    </row>
    <row r="896" spans="3:12" ht="15.75" customHeight="1" x14ac:dyDescent="0.2">
      <c r="C896" s="2"/>
      <c r="L896" s="3"/>
    </row>
    <row r="897" spans="3:12" ht="15.75" customHeight="1" x14ac:dyDescent="0.2">
      <c r="C897" s="2"/>
      <c r="L897" s="3"/>
    </row>
    <row r="898" spans="3:12" ht="15.75" customHeight="1" x14ac:dyDescent="0.2">
      <c r="C898" s="2"/>
      <c r="L898" s="3"/>
    </row>
    <row r="899" spans="3:12" ht="15.75" customHeight="1" x14ac:dyDescent="0.2">
      <c r="C899" s="2"/>
      <c r="L899" s="3"/>
    </row>
    <row r="900" spans="3:12" ht="15.75" customHeight="1" x14ac:dyDescent="0.2">
      <c r="C900" s="2"/>
      <c r="L900" s="3"/>
    </row>
    <row r="901" spans="3:12" ht="15.75" customHeight="1" x14ac:dyDescent="0.2">
      <c r="C901" s="2"/>
      <c r="L901" s="3"/>
    </row>
    <row r="902" spans="3:12" ht="15.75" customHeight="1" x14ac:dyDescent="0.2">
      <c r="C902" s="2"/>
      <c r="L902" s="3"/>
    </row>
    <row r="903" spans="3:12" ht="15.75" customHeight="1" x14ac:dyDescent="0.2">
      <c r="C903" s="2"/>
      <c r="L903" s="3"/>
    </row>
    <row r="904" spans="3:12" ht="15.75" customHeight="1" x14ac:dyDescent="0.2">
      <c r="C904" s="2"/>
      <c r="L904" s="3"/>
    </row>
    <row r="905" spans="3:12" ht="15.75" customHeight="1" x14ac:dyDescent="0.2">
      <c r="C905" s="2"/>
      <c r="L905" s="3"/>
    </row>
    <row r="906" spans="3:12" ht="15.75" customHeight="1" x14ac:dyDescent="0.2">
      <c r="C906" s="2"/>
      <c r="L906" s="3"/>
    </row>
    <row r="907" spans="3:12" ht="15.75" customHeight="1" x14ac:dyDescent="0.2">
      <c r="C907" s="2"/>
      <c r="L907" s="3"/>
    </row>
    <row r="908" spans="3:12" ht="15.75" customHeight="1" x14ac:dyDescent="0.2">
      <c r="C908" s="2"/>
      <c r="L908" s="3"/>
    </row>
    <row r="909" spans="3:12" ht="15.75" customHeight="1" x14ac:dyDescent="0.2">
      <c r="C909" s="2"/>
      <c r="L909" s="3"/>
    </row>
    <row r="910" spans="3:12" ht="15.75" customHeight="1" x14ac:dyDescent="0.2">
      <c r="C910" s="2"/>
      <c r="L910" s="3"/>
    </row>
    <row r="911" spans="3:12" ht="15.75" customHeight="1" x14ac:dyDescent="0.2">
      <c r="C911" s="2"/>
      <c r="L911" s="3"/>
    </row>
    <row r="912" spans="3:12" ht="15.75" customHeight="1" x14ac:dyDescent="0.2">
      <c r="C912" s="2"/>
      <c r="L912" s="3"/>
    </row>
    <row r="913" spans="3:12" ht="15.75" customHeight="1" x14ac:dyDescent="0.2">
      <c r="C913" s="2"/>
      <c r="L913" s="3"/>
    </row>
    <row r="914" spans="3:12" ht="15.75" customHeight="1" x14ac:dyDescent="0.2">
      <c r="C914" s="2"/>
      <c r="L914" s="3"/>
    </row>
    <row r="915" spans="3:12" ht="15.75" customHeight="1" x14ac:dyDescent="0.2">
      <c r="C915" s="2"/>
      <c r="L915" s="3"/>
    </row>
    <row r="916" spans="3:12" ht="15.75" customHeight="1" x14ac:dyDescent="0.2">
      <c r="C916" s="2"/>
      <c r="L916" s="3"/>
    </row>
    <row r="917" spans="3:12" ht="15.75" customHeight="1" x14ac:dyDescent="0.2">
      <c r="C917" s="2"/>
      <c r="L917" s="3"/>
    </row>
    <row r="918" spans="3:12" ht="15.75" customHeight="1" x14ac:dyDescent="0.2">
      <c r="C918" s="2"/>
      <c r="L918" s="3"/>
    </row>
    <row r="919" spans="3:12" ht="15.75" customHeight="1" x14ac:dyDescent="0.2">
      <c r="C919" s="2"/>
      <c r="L919" s="3"/>
    </row>
    <row r="920" spans="3:12" ht="15.75" customHeight="1" x14ac:dyDescent="0.2">
      <c r="C920" s="2"/>
      <c r="L920" s="3"/>
    </row>
    <row r="921" spans="3:12" ht="15.75" customHeight="1" x14ac:dyDescent="0.2">
      <c r="C921" s="2"/>
      <c r="L921" s="3"/>
    </row>
    <row r="922" spans="3:12" ht="15.75" customHeight="1" x14ac:dyDescent="0.2">
      <c r="C922" s="2"/>
      <c r="L922" s="3"/>
    </row>
    <row r="923" spans="3:12" ht="15.75" customHeight="1" x14ac:dyDescent="0.2">
      <c r="C923" s="2"/>
      <c r="L923" s="3"/>
    </row>
    <row r="924" spans="3:12" ht="15.75" customHeight="1" x14ac:dyDescent="0.2">
      <c r="C924" s="2"/>
      <c r="L924" s="3"/>
    </row>
    <row r="925" spans="3:12" ht="15.75" customHeight="1" x14ac:dyDescent="0.2">
      <c r="C925" s="2"/>
      <c r="L925" s="3"/>
    </row>
    <row r="926" spans="3:12" ht="15.75" customHeight="1" x14ac:dyDescent="0.2">
      <c r="C926" s="2"/>
      <c r="L926" s="3"/>
    </row>
    <row r="927" spans="3:12" ht="15.75" customHeight="1" x14ac:dyDescent="0.2">
      <c r="C927" s="2"/>
      <c r="L927" s="3"/>
    </row>
    <row r="928" spans="3:12" ht="15.75" customHeight="1" x14ac:dyDescent="0.2">
      <c r="C928" s="2"/>
      <c r="L928" s="3"/>
    </row>
    <row r="929" spans="3:12" ht="15.75" customHeight="1" x14ac:dyDescent="0.2">
      <c r="C929" s="2"/>
      <c r="L929" s="3"/>
    </row>
    <row r="930" spans="3:12" ht="15.75" customHeight="1" x14ac:dyDescent="0.2">
      <c r="C930" s="2"/>
      <c r="L930" s="3"/>
    </row>
    <row r="931" spans="3:12" ht="15.75" customHeight="1" x14ac:dyDescent="0.2">
      <c r="C931" s="2"/>
      <c r="L931" s="3"/>
    </row>
    <row r="932" spans="3:12" ht="15.75" customHeight="1" x14ac:dyDescent="0.2">
      <c r="C932" s="2"/>
      <c r="L932" s="3"/>
    </row>
    <row r="933" spans="3:12" ht="15.75" customHeight="1" x14ac:dyDescent="0.2">
      <c r="C933" s="2"/>
      <c r="L933" s="3"/>
    </row>
    <row r="934" spans="3:12" ht="15.75" customHeight="1" x14ac:dyDescent="0.2">
      <c r="C934" s="2"/>
      <c r="L934" s="3"/>
    </row>
    <row r="935" spans="3:12" ht="15.75" customHeight="1" x14ac:dyDescent="0.2">
      <c r="C935" s="2"/>
      <c r="L935" s="3"/>
    </row>
    <row r="936" spans="3:12" ht="15.75" customHeight="1" x14ac:dyDescent="0.2">
      <c r="C936" s="2"/>
      <c r="L936" s="3"/>
    </row>
    <row r="937" spans="3:12" ht="15.75" customHeight="1" x14ac:dyDescent="0.2">
      <c r="C937" s="2"/>
      <c r="L937" s="3"/>
    </row>
    <row r="938" spans="3:12" ht="15.75" customHeight="1" x14ac:dyDescent="0.2">
      <c r="C938" s="2"/>
      <c r="L938" s="3"/>
    </row>
    <row r="939" spans="3:12" ht="15.75" customHeight="1" x14ac:dyDescent="0.2">
      <c r="C939" s="2"/>
      <c r="L939" s="3"/>
    </row>
    <row r="940" spans="3:12" ht="15.75" customHeight="1" x14ac:dyDescent="0.2">
      <c r="C940" s="2"/>
      <c r="L940" s="3"/>
    </row>
    <row r="941" spans="3:12" ht="15.75" customHeight="1" x14ac:dyDescent="0.2">
      <c r="C941" s="2"/>
      <c r="L941" s="3"/>
    </row>
    <row r="942" spans="3:12" ht="15.75" customHeight="1" x14ac:dyDescent="0.2">
      <c r="C942" s="2"/>
      <c r="L942" s="3"/>
    </row>
    <row r="943" spans="3:12" ht="15.75" customHeight="1" x14ac:dyDescent="0.2">
      <c r="C943" s="2"/>
      <c r="L943" s="3"/>
    </row>
    <row r="944" spans="3:12" ht="15.75" customHeight="1" x14ac:dyDescent="0.2">
      <c r="C944" s="2"/>
      <c r="L944" s="3"/>
    </row>
    <row r="945" spans="3:12" ht="15.75" customHeight="1" x14ac:dyDescent="0.2">
      <c r="C945" s="2"/>
      <c r="L945" s="3"/>
    </row>
    <row r="946" spans="3:12" ht="15.75" customHeight="1" x14ac:dyDescent="0.2">
      <c r="C946" s="2"/>
      <c r="L946" s="3"/>
    </row>
    <row r="947" spans="3:12" ht="15.75" customHeight="1" x14ac:dyDescent="0.2">
      <c r="C947" s="2"/>
      <c r="L947" s="3"/>
    </row>
    <row r="948" spans="3:12" ht="15.75" customHeight="1" x14ac:dyDescent="0.2">
      <c r="C948" s="2"/>
      <c r="L948" s="3"/>
    </row>
    <row r="949" spans="3:12" ht="15.75" customHeight="1" x14ac:dyDescent="0.2">
      <c r="C949" s="2"/>
      <c r="L949" s="3"/>
    </row>
    <row r="950" spans="3:12" ht="15.75" customHeight="1" x14ac:dyDescent="0.2">
      <c r="C950" s="2"/>
      <c r="L950" s="3"/>
    </row>
    <row r="951" spans="3:12" ht="15.75" customHeight="1" x14ac:dyDescent="0.2">
      <c r="C951" s="2"/>
      <c r="L951" s="3"/>
    </row>
    <row r="952" spans="3:12" ht="15.75" customHeight="1" x14ac:dyDescent="0.2">
      <c r="C952" s="2"/>
      <c r="L952" s="3"/>
    </row>
    <row r="953" spans="3:12" ht="15.75" customHeight="1" x14ac:dyDescent="0.2">
      <c r="C953" s="2"/>
      <c r="L953" s="3"/>
    </row>
    <row r="954" spans="3:12" ht="15.75" customHeight="1" x14ac:dyDescent="0.2">
      <c r="C954" s="2"/>
      <c r="L954" s="3"/>
    </row>
    <row r="955" spans="3:12" ht="15.75" customHeight="1" x14ac:dyDescent="0.2">
      <c r="C955" s="2"/>
      <c r="L955" s="3"/>
    </row>
    <row r="956" spans="3:12" ht="15.75" customHeight="1" x14ac:dyDescent="0.2">
      <c r="C956" s="2"/>
      <c r="L956" s="3"/>
    </row>
    <row r="957" spans="3:12" ht="15.75" customHeight="1" x14ac:dyDescent="0.2">
      <c r="C957" s="2"/>
      <c r="L957" s="3"/>
    </row>
    <row r="958" spans="3:12" ht="15.75" customHeight="1" x14ac:dyDescent="0.2">
      <c r="C958" s="2"/>
      <c r="L958" s="3"/>
    </row>
    <row r="959" spans="3:12" ht="15.75" customHeight="1" x14ac:dyDescent="0.2">
      <c r="C959" s="2"/>
      <c r="L959" s="3"/>
    </row>
    <row r="960" spans="3:12" ht="15.75" customHeight="1" x14ac:dyDescent="0.2">
      <c r="C960" s="2"/>
      <c r="L960" s="3"/>
    </row>
    <row r="961" spans="3:12" ht="15.75" customHeight="1" x14ac:dyDescent="0.2">
      <c r="C961" s="2"/>
      <c r="L961" s="3"/>
    </row>
    <row r="962" spans="3:12" ht="15.75" customHeight="1" x14ac:dyDescent="0.2">
      <c r="C962" s="2"/>
      <c r="L962" s="3"/>
    </row>
    <row r="963" spans="3:12" ht="15.75" customHeight="1" x14ac:dyDescent="0.2">
      <c r="C963" s="2"/>
      <c r="L963" s="3"/>
    </row>
    <row r="964" spans="3:12" ht="15.75" customHeight="1" x14ac:dyDescent="0.2">
      <c r="C964" s="2"/>
      <c r="L964" s="3"/>
    </row>
    <row r="965" spans="3:12" ht="15.75" customHeight="1" x14ac:dyDescent="0.2">
      <c r="C965" s="2"/>
      <c r="L965" s="3"/>
    </row>
    <row r="966" spans="3:12" ht="15.75" customHeight="1" x14ac:dyDescent="0.2">
      <c r="C966" s="2"/>
      <c r="L966" s="3"/>
    </row>
    <row r="967" spans="3:12" ht="15.75" customHeight="1" x14ac:dyDescent="0.2">
      <c r="C967" s="2"/>
      <c r="L967" s="3"/>
    </row>
    <row r="968" spans="3:12" ht="15.75" customHeight="1" x14ac:dyDescent="0.2">
      <c r="C968" s="2"/>
      <c r="L968" s="3"/>
    </row>
    <row r="969" spans="3:12" ht="15.75" customHeight="1" x14ac:dyDescent="0.2">
      <c r="C969" s="2"/>
      <c r="L969" s="3"/>
    </row>
    <row r="970" spans="3:12" ht="15.75" customHeight="1" x14ac:dyDescent="0.2">
      <c r="C970" s="2"/>
      <c r="L970" s="3"/>
    </row>
    <row r="971" spans="3:12" ht="15.75" customHeight="1" x14ac:dyDescent="0.2">
      <c r="C971" s="2"/>
      <c r="L971" s="3"/>
    </row>
    <row r="972" spans="3:12" ht="15.75" customHeight="1" x14ac:dyDescent="0.2">
      <c r="C972" s="2"/>
      <c r="L972" s="3"/>
    </row>
    <row r="973" spans="3:12" ht="15.75" customHeight="1" x14ac:dyDescent="0.2">
      <c r="C973" s="2"/>
      <c r="L973" s="3"/>
    </row>
    <row r="974" spans="3:12" ht="15.75" customHeight="1" x14ac:dyDescent="0.2">
      <c r="C974" s="2"/>
      <c r="L974" s="3"/>
    </row>
    <row r="975" spans="3:12" ht="15.75" customHeight="1" x14ac:dyDescent="0.2">
      <c r="C975" s="2"/>
      <c r="L975" s="3"/>
    </row>
    <row r="976" spans="3:12" ht="15.75" customHeight="1" x14ac:dyDescent="0.2">
      <c r="C976" s="2"/>
      <c r="L976" s="3"/>
    </row>
    <row r="977" spans="3:12" ht="15.75" customHeight="1" x14ac:dyDescent="0.2">
      <c r="C977" s="2"/>
      <c r="L977" s="3"/>
    </row>
    <row r="978" spans="3:12" ht="15.75" customHeight="1" x14ac:dyDescent="0.2">
      <c r="C978" s="2"/>
      <c r="L978" s="3"/>
    </row>
    <row r="979" spans="3:12" ht="15.75" customHeight="1" x14ac:dyDescent="0.2">
      <c r="C979" s="2"/>
      <c r="L979" s="3"/>
    </row>
    <row r="980" spans="3:12" ht="15.75" customHeight="1" x14ac:dyDescent="0.2">
      <c r="C980" s="2"/>
      <c r="L980" s="3"/>
    </row>
    <row r="981" spans="3:12" ht="15.75" customHeight="1" x14ac:dyDescent="0.2">
      <c r="C981" s="2"/>
      <c r="L981" s="3"/>
    </row>
    <row r="982" spans="3:12" ht="15.75" customHeight="1" x14ac:dyDescent="0.2">
      <c r="C982" s="2"/>
      <c r="L982" s="3"/>
    </row>
    <row r="983" spans="3:12" ht="15.75" customHeight="1" x14ac:dyDescent="0.2">
      <c r="C983" s="2"/>
      <c r="L983" s="3"/>
    </row>
    <row r="984" spans="3:12" ht="15.75" customHeight="1" x14ac:dyDescent="0.2">
      <c r="C984" s="2"/>
      <c r="L984" s="3"/>
    </row>
    <row r="985" spans="3:12" ht="15.75" customHeight="1" x14ac:dyDescent="0.2">
      <c r="C985" s="2"/>
      <c r="L985" s="3"/>
    </row>
    <row r="986" spans="3:12" ht="15.75" customHeight="1" x14ac:dyDescent="0.2">
      <c r="C986" s="2"/>
      <c r="L986" s="3"/>
    </row>
    <row r="987" spans="3:12" ht="15.75" customHeight="1" x14ac:dyDescent="0.2">
      <c r="C987" s="2"/>
      <c r="L987" s="3"/>
    </row>
    <row r="988" spans="3:12" ht="15.75" customHeight="1" x14ac:dyDescent="0.2">
      <c r="C988" s="2"/>
      <c r="L988" s="3"/>
    </row>
    <row r="989" spans="3:12" ht="15.75" customHeight="1" x14ac:dyDescent="0.2">
      <c r="C989" s="2"/>
      <c r="L989" s="3"/>
    </row>
    <row r="990" spans="3:12" ht="15.75" customHeight="1" x14ac:dyDescent="0.2">
      <c r="C990" s="2"/>
      <c r="L990" s="3"/>
    </row>
    <row r="991" spans="3:12" ht="15.75" customHeight="1" x14ac:dyDescent="0.2">
      <c r="C991" s="2"/>
      <c r="L991" s="3"/>
    </row>
    <row r="992" spans="3:12" ht="15.75" customHeight="1" x14ac:dyDescent="0.2">
      <c r="C992" s="2"/>
      <c r="L992" s="3"/>
    </row>
    <row r="993" spans="3:12" ht="15.75" customHeight="1" x14ac:dyDescent="0.2">
      <c r="C993" s="2"/>
      <c r="L993" s="3"/>
    </row>
    <row r="994" spans="3:12" ht="15.75" customHeight="1" x14ac:dyDescent="0.2">
      <c r="C994" s="2"/>
      <c r="L994" s="3"/>
    </row>
    <row r="995" spans="3:12" ht="15.75" customHeight="1" x14ac:dyDescent="0.2">
      <c r="C995" s="2"/>
      <c r="L995" s="3"/>
    </row>
    <row r="996" spans="3:12" ht="15.75" customHeight="1" x14ac:dyDescent="0.2">
      <c r="C996" s="2"/>
      <c r="L996" s="3"/>
    </row>
    <row r="997" spans="3:12" ht="15.75" customHeight="1" x14ac:dyDescent="0.2">
      <c r="C997" s="2"/>
      <c r="L997" s="3"/>
    </row>
    <row r="998" spans="3:12" ht="15.75" customHeight="1" x14ac:dyDescent="0.2">
      <c r="C998" s="2"/>
      <c r="L998" s="3"/>
    </row>
    <row r="999" spans="3:12" ht="15.75" customHeight="1" x14ac:dyDescent="0.2">
      <c r="C999" s="2"/>
      <c r="L999" s="3"/>
    </row>
    <row r="1000" spans="3:12" ht="15.75" customHeight="1" x14ac:dyDescent="0.2">
      <c r="C1000" s="2"/>
      <c r="L1000" s="3"/>
    </row>
  </sheetData>
  <mergeCells count="9">
    <mergeCell ref="C328:L328"/>
    <mergeCell ref="C329:D329"/>
    <mergeCell ref="O5:X5"/>
    <mergeCell ref="Z5:AH5"/>
    <mergeCell ref="O6:P6"/>
    <mergeCell ref="Z6:AA6"/>
    <mergeCell ref="C172:L172"/>
    <mergeCell ref="O172:X172"/>
    <mergeCell ref="C173:D17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935"/>
  <sheetViews>
    <sheetView showGridLines="0" workbookViewId="0">
      <pane xSplit="3" ySplit="5" topLeftCell="D188" activePane="bottomRight" state="frozen"/>
      <selection pane="topRight" activeCell="D1" sqref="D1"/>
      <selection pane="bottomLeft" activeCell="A6" sqref="A6"/>
      <selection pane="bottomRight" activeCell="D237" sqref="D237"/>
    </sheetView>
  </sheetViews>
  <sheetFormatPr baseColWidth="10" defaultColWidth="11.28515625" defaultRowHeight="15" customHeight="1" outlineLevelRow="1" x14ac:dyDescent="0.2"/>
  <cols>
    <col min="1" max="1" width="1.28515625" customWidth="1"/>
    <col min="2" max="2" width="7.28515625" customWidth="1"/>
    <col min="3" max="3" width="19.7109375" customWidth="1"/>
    <col min="4" max="51" width="12.42578125" customWidth="1"/>
  </cols>
  <sheetData>
    <row r="1" spans="1:51" ht="51" customHeight="1" x14ac:dyDescent="0.45">
      <c r="B1" s="1" t="str">
        <f>'Summary and Assumptions'!D9</f>
        <v>Fund Name</v>
      </c>
      <c r="AV1" s="6"/>
      <c r="AW1" s="6"/>
      <c r="AX1" s="6"/>
      <c r="AY1" s="6"/>
    </row>
    <row r="2" spans="1:51" ht="24" customHeight="1" x14ac:dyDescent="0.25">
      <c r="B2" s="58" t="s">
        <v>22</v>
      </c>
      <c r="AV2" s="6"/>
      <c r="AW2" s="6"/>
      <c r="AX2" s="6"/>
      <c r="AY2" s="6"/>
    </row>
    <row r="3" spans="1:51" ht="18.75" customHeight="1" x14ac:dyDescent="0.2">
      <c r="B3" s="59" t="s">
        <v>23</v>
      </c>
      <c r="C3" s="60">
        <f>DATE(YEAR('Summary and Assumptions'!D10),1,1)</f>
        <v>44197</v>
      </c>
      <c r="G3" s="2" t="str">
        <f>"FY "&amp;YEAR(G4)</f>
        <v>FY 2021</v>
      </c>
      <c r="K3" s="2" t="str">
        <f>"FY "&amp;YEAR(K4)</f>
        <v>FY 2022</v>
      </c>
      <c r="O3" s="2" t="str">
        <f>"FY "&amp;YEAR(O4)&amp;"E"</f>
        <v>FY 2023E</v>
      </c>
      <c r="S3" s="2" t="str">
        <f>"FY "&amp;YEAR(S4)&amp;"E"</f>
        <v>FY 2024E</v>
      </c>
      <c r="W3" s="2" t="str">
        <f>"FY "&amp;YEAR(W4)&amp;"E"</f>
        <v>FY 2025E</v>
      </c>
      <c r="AA3" s="2" t="str">
        <f>"FY "&amp;YEAR(AA4)&amp;"E"</f>
        <v>FY 2026E</v>
      </c>
      <c r="AE3" s="2" t="str">
        <f>"FY "&amp;YEAR(AE4)&amp;"E"</f>
        <v>FY 2027E</v>
      </c>
      <c r="AI3" s="2" t="str">
        <f>"FY "&amp;YEAR(AI4)&amp;"E"</f>
        <v>FY 2028E</v>
      </c>
      <c r="AM3" s="2" t="str">
        <f>"FY "&amp;YEAR(AM4)&amp;"E"</f>
        <v>FY 2029E</v>
      </c>
      <c r="AQ3" s="2" t="str">
        <f>"FY "&amp;YEAR(AQ4)&amp;"E"</f>
        <v>FY 2030E</v>
      </c>
      <c r="AU3" s="2" t="str">
        <f>"FY "&amp;YEAR(AU4)&amp;"E"</f>
        <v>FY 2031E</v>
      </c>
      <c r="AV3" s="6"/>
      <c r="AW3" s="6"/>
      <c r="AX3" s="6"/>
      <c r="AY3" s="61"/>
    </row>
    <row r="4" spans="1:51" ht="15.75" customHeight="1" x14ac:dyDescent="0.2">
      <c r="B4" s="59" t="s">
        <v>1</v>
      </c>
      <c r="C4" s="60">
        <f ca="1">'Summary and Assumptions'!D13</f>
        <v>43958</v>
      </c>
      <c r="D4" s="62">
        <f>DATE(YEAR(C3),((INT((MONTH(C3)-1)/3)+1)*3)+1,1)-1</f>
        <v>44286</v>
      </c>
      <c r="E4" s="62">
        <f t="shared" ref="E4:G4" si="0">DATE(YEAR(D4),((INT((MONTH(D4+3)-1)/3)+1)*3)+1,1)-1</f>
        <v>44377</v>
      </c>
      <c r="F4" s="62">
        <f t="shared" si="0"/>
        <v>44469</v>
      </c>
      <c r="G4" s="63">
        <f t="shared" si="0"/>
        <v>44561</v>
      </c>
      <c r="H4" s="62">
        <f>DATE(YEAR(G4+1),((INT((MONTH(G4+3)-1)/3)+1)*3)+1,1)-1</f>
        <v>44651</v>
      </c>
      <c r="I4" s="62">
        <f t="shared" ref="I4:K4" si="1">DATE(YEAR(H4),((INT((MONTH(H4+3)-1)/3)+1)*3)+1,1)-1</f>
        <v>44742</v>
      </c>
      <c r="J4" s="62">
        <f t="shared" si="1"/>
        <v>44834</v>
      </c>
      <c r="K4" s="63">
        <f t="shared" si="1"/>
        <v>44926</v>
      </c>
      <c r="L4" s="62">
        <f>DATE(YEAR(K4+1),((INT((MONTH(K4+3)-1)/3)+1)*3)+1,1)-1</f>
        <v>45016</v>
      </c>
      <c r="M4" s="62">
        <f t="shared" ref="M4:O4" si="2">DATE(YEAR(L4),((INT((MONTH(L4+3)-1)/3)+1)*3)+1,1)-1</f>
        <v>45107</v>
      </c>
      <c r="N4" s="62">
        <f t="shared" si="2"/>
        <v>45199</v>
      </c>
      <c r="O4" s="63">
        <f t="shared" si="2"/>
        <v>45291</v>
      </c>
      <c r="P4" s="62">
        <f>DATE(YEAR(O4+1),((INT((MONTH(O4+3)-1)/3)+1)*3)+1,1)-1</f>
        <v>45382</v>
      </c>
      <c r="Q4" s="62">
        <f t="shared" ref="Q4:S4" si="3">DATE(YEAR(P4),((INT((MONTH(P4+3)-1)/3)+1)*3)+1,1)-1</f>
        <v>45473</v>
      </c>
      <c r="R4" s="62">
        <f t="shared" si="3"/>
        <v>45565</v>
      </c>
      <c r="S4" s="63">
        <f t="shared" si="3"/>
        <v>45657</v>
      </c>
      <c r="T4" s="62">
        <f>DATE(YEAR(S4+1),((INT((MONTH(S4+3)-1)/3)+1)*3)+1,1)-1</f>
        <v>45747</v>
      </c>
      <c r="U4" s="62">
        <f t="shared" ref="U4:W4" si="4">DATE(YEAR(T4),((INT((MONTH(T4+3)-1)/3)+1)*3)+1,1)-1</f>
        <v>45838</v>
      </c>
      <c r="V4" s="62">
        <f t="shared" si="4"/>
        <v>45930</v>
      </c>
      <c r="W4" s="63">
        <f t="shared" si="4"/>
        <v>46022</v>
      </c>
      <c r="X4" s="62">
        <f>DATE(YEAR(W4+1),((INT((MONTH(W4+3)-1)/3)+1)*3)+1,1)-1</f>
        <v>46112</v>
      </c>
      <c r="Y4" s="62">
        <f t="shared" ref="Y4:AA4" si="5">DATE(YEAR(X4),((INT((MONTH(X4+3)-1)/3)+1)*3)+1,1)-1</f>
        <v>46203</v>
      </c>
      <c r="Z4" s="62">
        <f t="shared" si="5"/>
        <v>46295</v>
      </c>
      <c r="AA4" s="63">
        <f t="shared" si="5"/>
        <v>46387</v>
      </c>
      <c r="AB4" s="62">
        <f>DATE(YEAR(AA4+1),((INT((MONTH(AA4+3)-1)/3)+1)*3)+1,1)-1</f>
        <v>46477</v>
      </c>
      <c r="AC4" s="62">
        <f t="shared" ref="AC4:AE4" si="6">DATE(YEAR(AB4),((INT((MONTH(AB4+3)-1)/3)+1)*3)+1,1)-1</f>
        <v>46568</v>
      </c>
      <c r="AD4" s="62">
        <f t="shared" si="6"/>
        <v>46660</v>
      </c>
      <c r="AE4" s="63">
        <f t="shared" si="6"/>
        <v>46752</v>
      </c>
      <c r="AF4" s="62">
        <f>DATE(YEAR(AE4+1),((INT((MONTH(AE4+3)-1)/3)+1)*3)+1,1)-1</f>
        <v>46843</v>
      </c>
      <c r="AG4" s="62">
        <f t="shared" ref="AG4:AI4" si="7">DATE(YEAR(AF4),((INT((MONTH(AF4+3)-1)/3)+1)*3)+1,1)-1</f>
        <v>46934</v>
      </c>
      <c r="AH4" s="62">
        <f t="shared" si="7"/>
        <v>47026</v>
      </c>
      <c r="AI4" s="63">
        <f t="shared" si="7"/>
        <v>47118</v>
      </c>
      <c r="AJ4" s="62">
        <f>DATE(YEAR(AI4+1),((INT((MONTH(AI4+3)-1)/3)+1)*3)+1,1)-1</f>
        <v>47208</v>
      </c>
      <c r="AK4" s="62">
        <f t="shared" ref="AK4:AM4" si="8">DATE(YEAR(AJ4),((INT((MONTH(AJ4+3)-1)/3)+1)*3)+1,1)-1</f>
        <v>47299</v>
      </c>
      <c r="AL4" s="62">
        <f t="shared" si="8"/>
        <v>47391</v>
      </c>
      <c r="AM4" s="63">
        <f t="shared" si="8"/>
        <v>47483</v>
      </c>
      <c r="AN4" s="62">
        <f>DATE(YEAR(AM4+1),((INT((MONTH(AM4+3)-1)/3)+1)*3)+1,1)-1</f>
        <v>47573</v>
      </c>
      <c r="AO4" s="62">
        <f t="shared" ref="AO4:AQ4" si="9">DATE(YEAR(AN4),((INT((MONTH(AN4+3)-1)/3)+1)*3)+1,1)-1</f>
        <v>47664</v>
      </c>
      <c r="AP4" s="62">
        <f t="shared" si="9"/>
        <v>47756</v>
      </c>
      <c r="AQ4" s="63">
        <f t="shared" si="9"/>
        <v>47848</v>
      </c>
      <c r="AR4" s="62">
        <f>DATE(YEAR(AQ4+1),((INT((MONTH(AQ4+3)-1)/3)+1)*3)+1,1)-1</f>
        <v>47938</v>
      </c>
      <c r="AS4" s="62">
        <f t="shared" ref="AS4:AU4" si="10">DATE(YEAR(AR4),((INT((MONTH(AR4+3)-1)/3)+1)*3)+1,1)-1</f>
        <v>48029</v>
      </c>
      <c r="AT4" s="62">
        <f t="shared" si="10"/>
        <v>48121</v>
      </c>
      <c r="AU4" s="63">
        <f t="shared" si="10"/>
        <v>48213</v>
      </c>
      <c r="AV4" s="64"/>
      <c r="AW4" s="64"/>
      <c r="AX4" s="64"/>
      <c r="AY4" s="65"/>
    </row>
    <row r="5" spans="1:51" ht="15.75" customHeight="1" x14ac:dyDescent="0.2">
      <c r="A5" s="3"/>
      <c r="B5" s="66" t="s">
        <v>24</v>
      </c>
      <c r="C5" s="67">
        <f>'Summary and Assumptions'!D11</f>
        <v>100000000</v>
      </c>
      <c r="D5" s="68" t="s">
        <v>25</v>
      </c>
      <c r="E5" s="68" t="s">
        <v>26</v>
      </c>
      <c r="F5" s="68" t="s">
        <v>27</v>
      </c>
      <c r="G5" s="69" t="s">
        <v>28</v>
      </c>
      <c r="H5" s="68" t="s">
        <v>25</v>
      </c>
      <c r="I5" s="68" t="s">
        <v>26</v>
      </c>
      <c r="J5" s="68" t="s">
        <v>27</v>
      </c>
      <c r="K5" s="69" t="s">
        <v>28</v>
      </c>
      <c r="L5" s="68" t="s">
        <v>25</v>
      </c>
      <c r="M5" s="68" t="s">
        <v>26</v>
      </c>
      <c r="N5" s="68" t="s">
        <v>27</v>
      </c>
      <c r="O5" s="69" t="s">
        <v>28</v>
      </c>
      <c r="P5" s="68" t="s">
        <v>25</v>
      </c>
      <c r="Q5" s="68" t="s">
        <v>26</v>
      </c>
      <c r="R5" s="68" t="s">
        <v>27</v>
      </c>
      <c r="S5" s="69" t="s">
        <v>28</v>
      </c>
      <c r="T5" s="68" t="s">
        <v>25</v>
      </c>
      <c r="U5" s="68" t="s">
        <v>26</v>
      </c>
      <c r="V5" s="68" t="s">
        <v>27</v>
      </c>
      <c r="W5" s="69" t="s">
        <v>28</v>
      </c>
      <c r="X5" s="68" t="s">
        <v>25</v>
      </c>
      <c r="Y5" s="68" t="s">
        <v>26</v>
      </c>
      <c r="Z5" s="68" t="s">
        <v>27</v>
      </c>
      <c r="AA5" s="69" t="s">
        <v>28</v>
      </c>
      <c r="AB5" s="68" t="s">
        <v>25</v>
      </c>
      <c r="AC5" s="68" t="s">
        <v>26</v>
      </c>
      <c r="AD5" s="68" t="s">
        <v>27</v>
      </c>
      <c r="AE5" s="69" t="s">
        <v>28</v>
      </c>
      <c r="AF5" s="68" t="s">
        <v>25</v>
      </c>
      <c r="AG5" s="68" t="s">
        <v>26</v>
      </c>
      <c r="AH5" s="68" t="s">
        <v>27</v>
      </c>
      <c r="AI5" s="69" t="s">
        <v>28</v>
      </c>
      <c r="AJ5" s="68" t="s">
        <v>25</v>
      </c>
      <c r="AK5" s="68" t="s">
        <v>26</v>
      </c>
      <c r="AL5" s="68" t="s">
        <v>27</v>
      </c>
      <c r="AM5" s="69" t="s">
        <v>28</v>
      </c>
      <c r="AN5" s="68" t="s">
        <v>25</v>
      </c>
      <c r="AO5" s="68" t="s">
        <v>26</v>
      </c>
      <c r="AP5" s="68" t="s">
        <v>27</v>
      </c>
      <c r="AQ5" s="69" t="s">
        <v>28</v>
      </c>
      <c r="AR5" s="68" t="s">
        <v>25</v>
      </c>
      <c r="AS5" s="68" t="s">
        <v>26</v>
      </c>
      <c r="AT5" s="68" t="s">
        <v>27</v>
      </c>
      <c r="AU5" s="69" t="s">
        <v>28</v>
      </c>
      <c r="AV5" s="70"/>
      <c r="AW5" s="70"/>
      <c r="AX5" s="70"/>
      <c r="AY5" s="71"/>
    </row>
    <row r="6" spans="1:51" ht="15.75" customHeight="1" x14ac:dyDescent="0.25">
      <c r="A6" s="72" t="s">
        <v>29</v>
      </c>
      <c r="B6" s="72"/>
      <c r="C6" s="73"/>
      <c r="D6" s="74"/>
      <c r="E6" s="74"/>
      <c r="F6" s="74"/>
      <c r="G6" s="75"/>
      <c r="H6" s="74"/>
      <c r="I6" s="74"/>
      <c r="J6" s="74"/>
      <c r="K6" s="75"/>
      <c r="L6" s="74"/>
      <c r="M6" s="74"/>
      <c r="N6" s="74"/>
      <c r="O6" s="75"/>
      <c r="P6" s="74"/>
      <c r="Q6" s="74"/>
      <c r="R6" s="74"/>
      <c r="S6" s="75"/>
      <c r="T6" s="74"/>
      <c r="U6" s="74"/>
      <c r="V6" s="74"/>
      <c r="W6" s="75"/>
      <c r="X6" s="74"/>
      <c r="Y6" s="74"/>
      <c r="Z6" s="74"/>
      <c r="AA6" s="75"/>
      <c r="AB6" s="74"/>
      <c r="AC6" s="74"/>
      <c r="AD6" s="74"/>
      <c r="AE6" s="75"/>
      <c r="AF6" s="74"/>
      <c r="AG6" s="74"/>
      <c r="AH6" s="74"/>
      <c r="AI6" s="75"/>
      <c r="AJ6" s="74"/>
      <c r="AK6" s="74"/>
      <c r="AL6" s="74"/>
      <c r="AM6" s="75"/>
      <c r="AN6" s="74"/>
      <c r="AO6" s="74"/>
      <c r="AP6" s="74"/>
      <c r="AQ6" s="75"/>
      <c r="AR6" s="74"/>
      <c r="AS6" s="74"/>
      <c r="AT6" s="74"/>
      <c r="AU6" s="75"/>
      <c r="AV6" s="76"/>
      <c r="AW6" s="76"/>
      <c r="AX6" s="76"/>
      <c r="AY6" s="77"/>
    </row>
    <row r="7" spans="1:51" ht="3" customHeight="1" x14ac:dyDescent="0.2">
      <c r="A7" s="78"/>
      <c r="B7" s="78"/>
      <c r="C7" s="79"/>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82"/>
      <c r="AW7" s="82"/>
      <c r="AX7" s="82"/>
      <c r="AY7" s="82"/>
    </row>
    <row r="8" spans="1:51" ht="15.75" customHeight="1" x14ac:dyDescent="0.2">
      <c r="A8" s="83" t="s">
        <v>30</v>
      </c>
      <c r="B8" s="39" t="s">
        <v>31</v>
      </c>
      <c r="C8" s="73"/>
      <c r="D8" s="74"/>
      <c r="E8" s="74"/>
      <c r="F8" s="74"/>
      <c r="G8" s="85"/>
      <c r="H8" s="74"/>
      <c r="I8" s="74"/>
      <c r="J8" s="74"/>
      <c r="K8" s="86"/>
      <c r="L8" s="87"/>
      <c r="M8" s="87"/>
      <c r="N8" s="87"/>
      <c r="O8" s="86"/>
      <c r="P8" s="87"/>
      <c r="Q8" s="87"/>
      <c r="R8" s="87"/>
      <c r="S8" s="88"/>
      <c r="T8" s="87"/>
      <c r="U8" s="87"/>
      <c r="V8" s="87"/>
      <c r="W8" s="88"/>
      <c r="X8" s="87"/>
      <c r="Y8" s="87"/>
      <c r="Z8" s="89"/>
      <c r="AA8" s="88"/>
      <c r="AB8" s="87"/>
      <c r="AC8" s="87"/>
      <c r="AD8" s="89"/>
      <c r="AE8" s="90"/>
      <c r="AF8" s="87"/>
      <c r="AG8" s="87"/>
      <c r="AH8" s="89"/>
      <c r="AI8" s="90"/>
      <c r="AJ8" s="87"/>
      <c r="AK8" s="87"/>
      <c r="AL8" s="89"/>
      <c r="AM8" s="90"/>
      <c r="AN8" s="87"/>
      <c r="AO8" s="87"/>
      <c r="AP8" s="89"/>
      <c r="AQ8" s="90"/>
      <c r="AR8" s="87"/>
      <c r="AS8" s="87"/>
      <c r="AT8" s="89"/>
      <c r="AU8" s="90"/>
      <c r="AV8" s="87"/>
      <c r="AW8" s="76"/>
      <c r="AX8" s="76"/>
      <c r="AY8" s="91"/>
    </row>
    <row r="9" spans="1:51" ht="15.75" customHeight="1" x14ac:dyDescent="0.2">
      <c r="A9" s="83"/>
      <c r="B9" s="92">
        <f>IF(Portfolio!C7&lt;&gt;"",Portfolio!C7,"")</f>
        <v>1</v>
      </c>
      <c r="C9" s="93" t="str">
        <f>IF(Portfolio!D7&lt;&gt;"",Portfolio!D7,"")</f>
        <v>Company 1</v>
      </c>
      <c r="D9" s="94">
        <f ca="1">SUMPRODUCT((Portfolio!$F$7:$J$7=D$4)*(Portfolio!$F$9:$J$9))</f>
        <v>1250000</v>
      </c>
      <c r="E9" s="94">
        <f ca="1">SUMPRODUCT((Portfolio!$F$7:$J$7=E$4)*(Portfolio!$F$9:$J$9))</f>
        <v>0</v>
      </c>
      <c r="F9" s="94">
        <f ca="1">SUMPRODUCT((Portfolio!$F$7:$J$7=F$4)*(Portfolio!$F$9:$J$9))</f>
        <v>0</v>
      </c>
      <c r="G9" s="95">
        <f ca="1">SUMPRODUCT((Portfolio!$F$7:$J$7=G$4)*(Portfolio!$F$9:$J$9))</f>
        <v>0</v>
      </c>
      <c r="H9" s="94">
        <f ca="1">SUMPRODUCT((Portfolio!$F$7:$J$7=H$4)*(Portfolio!$F$9:$J$9))</f>
        <v>0</v>
      </c>
      <c r="I9" s="94">
        <f ca="1">SUMPRODUCT((Portfolio!$F$7:$J$7=I$4)*(Portfolio!$F$9:$J$9))</f>
        <v>112500</v>
      </c>
      <c r="J9" s="94">
        <f ca="1">SUMPRODUCT((Portfolio!$F$7:$J$7=J$4)*(Portfolio!$F$9:$J$9))</f>
        <v>937500</v>
      </c>
      <c r="K9" s="95">
        <f ca="1">SUMPRODUCT((Portfolio!$F$7:$J$7=K$4)*(Portfolio!$F$9:$J$9))</f>
        <v>0</v>
      </c>
      <c r="L9" s="96">
        <f ca="1">SUMPRODUCT((Portfolio!$F$7:$J$7=L$4)*(Portfolio!$F$9:$J$9))</f>
        <v>0</v>
      </c>
      <c r="M9" s="96">
        <f ca="1">SUMPRODUCT((Portfolio!$F$7:$J$7=M$4)*(Portfolio!$F$9:$J$9))</f>
        <v>0</v>
      </c>
      <c r="N9" s="96">
        <f ca="1">SUMPRODUCT((Portfolio!$F$7:$J$7=N$4)*(Portfolio!$F$9:$J$9))</f>
        <v>0</v>
      </c>
      <c r="O9" s="95">
        <f ca="1">SUMPRODUCT((Portfolio!$F$7:$J$7=O$4)*(Portfolio!$F$9:$J$9))</f>
        <v>750000</v>
      </c>
      <c r="P9" s="96">
        <f ca="1">SUMPRODUCT((Portfolio!$F$7:$J$7=P$4)*(Portfolio!$F$9:$J$9))</f>
        <v>0</v>
      </c>
      <c r="Q9" s="96">
        <f ca="1">SUMPRODUCT((Portfolio!$F$7:$J$7=Q$4)*(Portfolio!$F$9:$J$9))</f>
        <v>0</v>
      </c>
      <c r="R9" s="96">
        <f ca="1">SUMPRODUCT((Portfolio!$F$7:$J$7=R$4)*(Portfolio!$F$9:$J$9))</f>
        <v>0</v>
      </c>
      <c r="S9" s="97">
        <f ca="1">SUMPRODUCT((Portfolio!$F$7:$J$7=S$4)*(Portfolio!$F$9:$J$9))</f>
        <v>0</v>
      </c>
      <c r="T9" s="96">
        <f ca="1">SUMPRODUCT((Portfolio!$F$7:$J$7=T$4)*(Portfolio!$F$9:$J$9))</f>
        <v>0</v>
      </c>
      <c r="U9" s="96">
        <f ca="1">SUMPRODUCT((Portfolio!$F$7:$J$7=U$4)*(Portfolio!$F$9:$J$9))</f>
        <v>0</v>
      </c>
      <c r="V9" s="96">
        <f ca="1">SUMPRODUCT((Portfolio!$F$7:$J$7=V$4)*(Portfolio!$F$9:$J$9))</f>
        <v>0</v>
      </c>
      <c r="W9" s="97">
        <f ca="1">SUMPRODUCT((Portfolio!$F$7:$J$7=W$4)*(Portfolio!$F$9:$J$9))</f>
        <v>0</v>
      </c>
      <c r="X9" s="96">
        <f ca="1">SUMPRODUCT((Portfolio!$F$7:$J$7=X$4)*(Portfolio!$F$9:$J$9))</f>
        <v>0</v>
      </c>
      <c r="Y9" s="96">
        <f ca="1">SUMPRODUCT((Portfolio!$F$7:$J$7=Y$4)*(Portfolio!$F$9:$J$9))</f>
        <v>0</v>
      </c>
      <c r="Z9" s="96">
        <f ca="1">SUMPRODUCT((Portfolio!$F$7:$J$7=Z$4)*(Portfolio!$F$9:$J$9))</f>
        <v>0</v>
      </c>
      <c r="AA9" s="97">
        <f ca="1">SUMPRODUCT((Portfolio!$F$7:$J$7=AA$4)*(Portfolio!$F$9:$J$9))</f>
        <v>0</v>
      </c>
      <c r="AB9" s="96">
        <f ca="1">SUMPRODUCT((Portfolio!$F$7:$J$7=AB$4)*(Portfolio!$F$9:$J$9))</f>
        <v>0</v>
      </c>
      <c r="AC9" s="96">
        <f ca="1">SUMPRODUCT((Portfolio!$F$7:$J$7=AC$4)*(Portfolio!$F$9:$J$9))</f>
        <v>0</v>
      </c>
      <c r="AD9" s="96">
        <f ca="1">SUMPRODUCT((Portfolio!$F$7:$J$7=AD$4)*(Portfolio!$F$9:$J$9))</f>
        <v>0</v>
      </c>
      <c r="AE9" s="97">
        <f ca="1">SUMPRODUCT((Portfolio!$F$7:$J$7=AE$4)*(Portfolio!$F$9:$J$9))</f>
        <v>0</v>
      </c>
      <c r="AF9" s="96">
        <f ca="1">SUMPRODUCT((Portfolio!$F$7:$J$7=AF$4)*(Portfolio!$F$9:$J$9))</f>
        <v>0</v>
      </c>
      <c r="AG9" s="96">
        <f ca="1">SUMPRODUCT((Portfolio!$F$7:$J$7=AG$4)*(Portfolio!$F$9:$J$9))</f>
        <v>0</v>
      </c>
      <c r="AH9" s="96">
        <f ca="1">SUMPRODUCT((Portfolio!$F$7:$J$7=AH$4)*(Portfolio!$F$9:$J$9))</f>
        <v>0</v>
      </c>
      <c r="AI9" s="97">
        <f ca="1">SUMPRODUCT((Portfolio!$F$7:$J$7=AI$4)*(Portfolio!$F$9:$J$9))</f>
        <v>0</v>
      </c>
      <c r="AJ9" s="96">
        <f ca="1">SUMPRODUCT((Portfolio!$F$7:$J$7=AJ$4)*(Portfolio!$F$9:$J$9))</f>
        <v>0</v>
      </c>
      <c r="AK9" s="96">
        <f ca="1">SUMPRODUCT((Portfolio!$F$7:$J$7=AK$4)*(Portfolio!$F$9:$J$9))</f>
        <v>0</v>
      </c>
      <c r="AL9" s="96">
        <f ca="1">SUMPRODUCT((Portfolio!$F$7:$J$7=AL$4)*(Portfolio!$F$9:$J$9))</f>
        <v>0</v>
      </c>
      <c r="AM9" s="97">
        <f ca="1">SUMPRODUCT((Portfolio!$F$7:$J$7=AM$4)*(Portfolio!$F$9:$J$9))</f>
        <v>0</v>
      </c>
      <c r="AN9" s="96">
        <f ca="1">SUMPRODUCT((Portfolio!$F$7:$J$7=AN$4)*(Portfolio!$F$9:$J$9))</f>
        <v>0</v>
      </c>
      <c r="AO9" s="96">
        <f ca="1">SUMPRODUCT((Portfolio!$F$7:$J$7=AO$4)*(Portfolio!$F$9:$J$9))</f>
        <v>0</v>
      </c>
      <c r="AP9" s="96">
        <f ca="1">SUMPRODUCT((Portfolio!$F$7:$J$7=AP$4)*(Portfolio!$F$9:$J$9))</f>
        <v>0</v>
      </c>
      <c r="AQ9" s="97">
        <f ca="1">SUMPRODUCT((Portfolio!$F$7:$J$7=AQ$4)*(Portfolio!$F$9:$J$9))</f>
        <v>0</v>
      </c>
      <c r="AR9" s="96">
        <f ca="1">SUMPRODUCT((Portfolio!$F$7:$J$7=AR$4)*(Portfolio!$F$9:$J$9))</f>
        <v>0</v>
      </c>
      <c r="AS9" s="96">
        <f ca="1">SUMPRODUCT((Portfolio!$F$7:$J$7=AS$4)*(Portfolio!$F$9:$J$9))</f>
        <v>0</v>
      </c>
      <c r="AT9" s="96">
        <f ca="1">SUMPRODUCT((Portfolio!$F$7:$J$7=AT$4)*(Portfolio!$F$9:$J$9))</f>
        <v>0</v>
      </c>
      <c r="AU9" s="97">
        <f ca="1">SUMPRODUCT((Portfolio!$F$7:$J$7=AU$4)*(Portfolio!$F$9:$J$9))</f>
        <v>0</v>
      </c>
      <c r="AV9" s="96"/>
      <c r="AW9" s="98"/>
      <c r="AX9" s="98"/>
      <c r="AY9" s="99"/>
    </row>
    <row r="10" spans="1:51" ht="15.75" customHeight="1" x14ac:dyDescent="0.2">
      <c r="A10" s="83"/>
      <c r="B10" s="92">
        <f>IF(Portfolio!C10&lt;&gt;"",Portfolio!C10,"")</f>
        <v>2</v>
      </c>
      <c r="C10" s="93" t="str">
        <f>IF(Portfolio!D10&lt;&gt;"",Portfolio!D10,"")</f>
        <v>Company 2</v>
      </c>
      <c r="D10" s="94">
        <f ca="1">SUMPRODUCT((Portfolio!$F$10:$J$10=D$4)*(Portfolio!$F$12:$J$12))</f>
        <v>1250000</v>
      </c>
      <c r="E10" s="94">
        <f ca="1">SUMPRODUCT((Portfolio!$F$10:$J$10=E$4)*(Portfolio!$F$12:$J$12))</f>
        <v>0</v>
      </c>
      <c r="F10" s="94">
        <f ca="1">SUMPRODUCT((Portfolio!$F$10:$J$10=F$4)*(Portfolio!$F$12:$J$12))</f>
        <v>0</v>
      </c>
      <c r="G10" s="95">
        <f ca="1">SUMPRODUCT((Portfolio!$F$10:$J$10=G$4)*(Portfolio!$F$12:$J$12))</f>
        <v>0</v>
      </c>
      <c r="H10" s="94">
        <f ca="1">SUMPRODUCT((Portfolio!$F$10:$J$10=H$4)*(Portfolio!$F$12:$J$12))</f>
        <v>0</v>
      </c>
      <c r="I10" s="94">
        <f ca="1">SUMPRODUCT((Portfolio!$F$10:$J$10=I$4)*(Portfolio!$F$12:$J$12))</f>
        <v>112500</v>
      </c>
      <c r="J10" s="94">
        <f ca="1">SUMPRODUCT((Portfolio!$F$10:$J$10=J$4)*(Portfolio!$F$12:$J$12))</f>
        <v>937500</v>
      </c>
      <c r="K10" s="95">
        <f ca="1">SUMPRODUCT((Portfolio!$F$10:$J$10=K$4)*(Portfolio!$F$12:$J$12))</f>
        <v>0</v>
      </c>
      <c r="L10" s="96">
        <f ca="1">SUMPRODUCT((Portfolio!$F$10:$J$10=L$4)*(Portfolio!$F$12:$J$12))</f>
        <v>0</v>
      </c>
      <c r="M10" s="96">
        <f ca="1">SUMPRODUCT((Portfolio!$F$10:$J$10=M$4)*(Portfolio!$F$12:$J$12))</f>
        <v>0</v>
      </c>
      <c r="N10" s="96">
        <f ca="1">SUMPRODUCT((Portfolio!$F$10:$J$10=N$4)*(Portfolio!$F$12:$J$12))</f>
        <v>0</v>
      </c>
      <c r="O10" s="95">
        <f ca="1">SUMPRODUCT((Portfolio!$F$10:$J$10=O$4)*(Portfolio!$F$12:$J$12))</f>
        <v>0</v>
      </c>
      <c r="P10" s="96">
        <f ca="1">SUMPRODUCT((Portfolio!$F$10:$J$10=P$4)*(Portfolio!$F$12:$J$12))</f>
        <v>750000</v>
      </c>
      <c r="Q10" s="96">
        <f ca="1">SUMPRODUCT((Portfolio!$F$10:$J$10=Q$4)*(Portfolio!$F$12:$J$12))</f>
        <v>0</v>
      </c>
      <c r="R10" s="96">
        <f ca="1">SUMPRODUCT((Portfolio!$F$10:$J$10=R$4)*(Portfolio!$F$12:$J$12))</f>
        <v>0</v>
      </c>
      <c r="S10" s="97">
        <f ca="1">SUMPRODUCT((Portfolio!$F$10:$J$10=S$4)*(Portfolio!$F$12:$J$12))</f>
        <v>0</v>
      </c>
      <c r="T10" s="96">
        <f ca="1">SUMPRODUCT((Portfolio!$F$10:$J$10=T$4)*(Portfolio!$F$12:$J$12))</f>
        <v>0</v>
      </c>
      <c r="U10" s="96">
        <f ca="1">SUMPRODUCT((Portfolio!$F$10:$J$10=U$4)*(Portfolio!$F$12:$J$12))</f>
        <v>0</v>
      </c>
      <c r="V10" s="96">
        <f ca="1">SUMPRODUCT((Portfolio!$F$10:$J$10=V$4)*(Portfolio!$F$12:$J$12))</f>
        <v>0</v>
      </c>
      <c r="W10" s="97">
        <f ca="1">SUMPRODUCT((Portfolio!$F$10:$J$10=W$4)*(Portfolio!$F$12:$J$12))</f>
        <v>0</v>
      </c>
      <c r="X10" s="96">
        <f ca="1">SUMPRODUCT((Portfolio!$F$10:$J$10=X$4)*(Portfolio!$F$12:$J$12))</f>
        <v>0</v>
      </c>
      <c r="Y10" s="96">
        <f ca="1">SUMPRODUCT((Portfolio!$F$10:$J$10=Y$4)*(Portfolio!$F$12:$J$12))</f>
        <v>0</v>
      </c>
      <c r="Z10" s="96">
        <f ca="1">SUMPRODUCT((Portfolio!$F$10:$J$10=Z$4)*(Portfolio!$F$12:$J$12))</f>
        <v>0</v>
      </c>
      <c r="AA10" s="97">
        <f ca="1">SUMPRODUCT((Portfolio!$F$10:$J$10=AA$4)*(Portfolio!$F$12:$J$12))</f>
        <v>0</v>
      </c>
      <c r="AB10" s="96">
        <f ca="1">SUMPRODUCT((Portfolio!$F$10:$J$10=AB$4)*(Portfolio!$F$12:$J$12))</f>
        <v>0</v>
      </c>
      <c r="AC10" s="96">
        <f ca="1">SUMPRODUCT((Portfolio!$F$10:$J$10=AC$4)*(Portfolio!$F$12:$J$12))</f>
        <v>0</v>
      </c>
      <c r="AD10" s="96">
        <f ca="1">SUMPRODUCT((Portfolio!$F$10:$J$10=AD$4)*(Portfolio!$F$12:$J$12))</f>
        <v>0</v>
      </c>
      <c r="AE10" s="97">
        <f ca="1">SUMPRODUCT((Portfolio!$F$10:$J$10=AE$4)*(Portfolio!$F$12:$J$12))</f>
        <v>0</v>
      </c>
      <c r="AF10" s="96">
        <f ca="1">SUMPRODUCT((Portfolio!$F$10:$J$10=AF$4)*(Portfolio!$F$12:$J$12))</f>
        <v>0</v>
      </c>
      <c r="AG10" s="96">
        <f ca="1">SUMPRODUCT((Portfolio!$F$10:$J$10=AG$4)*(Portfolio!$F$12:$J$12))</f>
        <v>0</v>
      </c>
      <c r="AH10" s="96">
        <f ca="1">SUMPRODUCT((Portfolio!$F$10:$J$10=AH$4)*(Portfolio!$F$12:$J$12))</f>
        <v>0</v>
      </c>
      <c r="AI10" s="97">
        <f ca="1">SUMPRODUCT((Portfolio!$F$10:$J$10=AI$4)*(Portfolio!$F$12:$J$12))</f>
        <v>0</v>
      </c>
      <c r="AJ10" s="96">
        <f ca="1">SUMPRODUCT((Portfolio!$F$10:$J$10=AJ$4)*(Portfolio!$F$12:$J$12))</f>
        <v>0</v>
      </c>
      <c r="AK10" s="96">
        <f ca="1">SUMPRODUCT((Portfolio!$F$10:$J$10=AK$4)*(Portfolio!$F$12:$J$12))</f>
        <v>0</v>
      </c>
      <c r="AL10" s="96">
        <f ca="1">SUMPRODUCT((Portfolio!$F$10:$J$10=AL$4)*(Portfolio!$F$12:$J$12))</f>
        <v>0</v>
      </c>
      <c r="AM10" s="97">
        <f ca="1">SUMPRODUCT((Portfolio!$F$10:$J$10=AM$4)*(Portfolio!$F$12:$J$12))</f>
        <v>0</v>
      </c>
      <c r="AN10" s="96">
        <f ca="1">SUMPRODUCT((Portfolio!$F$10:$J$10=AN$4)*(Portfolio!$F$12:$J$12))</f>
        <v>0</v>
      </c>
      <c r="AO10" s="96">
        <f ca="1">SUMPRODUCT((Portfolio!$F$10:$J$10=AO$4)*(Portfolio!$F$12:$J$12))</f>
        <v>0</v>
      </c>
      <c r="AP10" s="96">
        <f ca="1">SUMPRODUCT((Portfolio!$F$10:$J$10=AP$4)*(Portfolio!$F$12:$J$12))</f>
        <v>0</v>
      </c>
      <c r="AQ10" s="97">
        <f ca="1">SUMPRODUCT((Portfolio!$F$10:$J$10=AQ$4)*(Portfolio!$F$12:$J$12))</f>
        <v>0</v>
      </c>
      <c r="AR10" s="96">
        <f ca="1">SUMPRODUCT((Portfolio!$F$10:$J$10=AR$4)*(Portfolio!$F$12:$J$12))</f>
        <v>0</v>
      </c>
      <c r="AS10" s="96">
        <f ca="1">SUMPRODUCT((Portfolio!$F$10:$J$10=AS$4)*(Portfolio!$F$12:$J$12))</f>
        <v>0</v>
      </c>
      <c r="AT10" s="96">
        <f ca="1">SUMPRODUCT((Portfolio!$F$10:$J$10=AT$4)*(Portfolio!$F$12:$J$12))</f>
        <v>0</v>
      </c>
      <c r="AU10" s="97">
        <f ca="1">SUMPRODUCT((Portfolio!$F$10:$J$10=AU$4)*(Portfolio!$F$12:$J$12))</f>
        <v>0</v>
      </c>
      <c r="AV10" s="96"/>
      <c r="AW10" s="98"/>
      <c r="AX10" s="98"/>
      <c r="AY10" s="99"/>
    </row>
    <row r="11" spans="1:51" ht="15.75" customHeight="1" x14ac:dyDescent="0.2">
      <c r="A11" s="83"/>
      <c r="B11" s="92">
        <f>IF(Portfolio!C13&lt;&gt;"",Portfolio!C13,"")</f>
        <v>3</v>
      </c>
      <c r="C11" s="93" t="str">
        <f>IF(Portfolio!D13&lt;&gt;"",Portfolio!D13,"")</f>
        <v>Company 3</v>
      </c>
      <c r="D11" s="94">
        <f ca="1">SUMPRODUCT((Portfolio!$F$13:$J$13=D$4)*(Portfolio!$F$15:$J$15))</f>
        <v>0</v>
      </c>
      <c r="E11" s="94">
        <f ca="1">SUMPRODUCT((Portfolio!$F$13:$J$13=E$4)*(Portfolio!$F$15:$J$15))</f>
        <v>1250000</v>
      </c>
      <c r="F11" s="94">
        <f ca="1">SUMPRODUCT((Portfolio!$F$13:$J$13=F$4)*(Portfolio!$F$15:$J$15))</f>
        <v>0</v>
      </c>
      <c r="G11" s="95">
        <f ca="1">SUMPRODUCT((Portfolio!$F$13:$J$13=G$4)*(Portfolio!$F$15:$J$15))</f>
        <v>0</v>
      </c>
      <c r="H11" s="94">
        <f ca="1">SUMPRODUCT((Portfolio!$F$13:$J$13=H$4)*(Portfolio!$F$15:$J$15))</f>
        <v>0</v>
      </c>
      <c r="I11" s="94">
        <f ca="1">SUMPRODUCT((Portfolio!$F$13:$J$13=I$4)*(Portfolio!$F$15:$J$15))</f>
        <v>0</v>
      </c>
      <c r="J11" s="94">
        <f ca="1">SUMPRODUCT((Portfolio!$F$13:$J$13=J$4)*(Portfolio!$F$15:$J$15))</f>
        <v>1050000</v>
      </c>
      <c r="K11" s="95">
        <f ca="1">SUMPRODUCT((Portfolio!$F$13:$J$13=K$4)*(Portfolio!$F$15:$J$15))</f>
        <v>0</v>
      </c>
      <c r="L11" s="96">
        <f ca="1">SUMPRODUCT((Portfolio!$F$13:$J$13=L$4)*(Portfolio!$F$15:$J$15))</f>
        <v>0</v>
      </c>
      <c r="M11" s="96">
        <f ca="1">SUMPRODUCT((Portfolio!$F$13:$J$13=M$4)*(Portfolio!$F$15:$J$15))</f>
        <v>0</v>
      </c>
      <c r="N11" s="96">
        <f ca="1">SUMPRODUCT((Portfolio!$F$13:$J$13=N$4)*(Portfolio!$F$15:$J$15))</f>
        <v>0</v>
      </c>
      <c r="O11" s="95">
        <f ca="1">SUMPRODUCT((Portfolio!$F$13:$J$13=O$4)*(Portfolio!$F$15:$J$15))</f>
        <v>0</v>
      </c>
      <c r="P11" s="96">
        <f ca="1">SUMPRODUCT((Portfolio!$F$13:$J$13=P$4)*(Portfolio!$F$15:$J$15))</f>
        <v>750000</v>
      </c>
      <c r="Q11" s="96">
        <f ca="1">SUMPRODUCT((Portfolio!$F$13:$J$13=Q$4)*(Portfolio!$F$15:$J$15))</f>
        <v>0</v>
      </c>
      <c r="R11" s="96">
        <f ca="1">SUMPRODUCT((Portfolio!$F$13:$J$13=R$4)*(Portfolio!$F$15:$J$15))</f>
        <v>0</v>
      </c>
      <c r="S11" s="97">
        <f ca="1">SUMPRODUCT((Portfolio!$F$13:$J$13=S$4)*(Portfolio!$F$15:$J$15))</f>
        <v>0</v>
      </c>
      <c r="T11" s="96">
        <f ca="1">SUMPRODUCT((Portfolio!$F$13:$J$13=T$4)*(Portfolio!$F$15:$J$15))</f>
        <v>0</v>
      </c>
      <c r="U11" s="96">
        <f ca="1">SUMPRODUCT((Portfolio!$F$13:$J$13=U$4)*(Portfolio!$F$15:$J$15))</f>
        <v>0</v>
      </c>
      <c r="V11" s="96">
        <f ca="1">SUMPRODUCT((Portfolio!$F$13:$J$13=V$4)*(Portfolio!$F$15:$J$15))</f>
        <v>0</v>
      </c>
      <c r="W11" s="97">
        <f ca="1">SUMPRODUCT((Portfolio!$F$13:$J$13=W$4)*(Portfolio!$F$15:$J$15))</f>
        <v>0</v>
      </c>
      <c r="X11" s="96">
        <f ca="1">SUMPRODUCT((Portfolio!$F$13:$J$13=X$4)*(Portfolio!$F$15:$J$15))</f>
        <v>0</v>
      </c>
      <c r="Y11" s="96">
        <f ca="1">SUMPRODUCT((Portfolio!$F$13:$J$13=Y$4)*(Portfolio!$F$15:$J$15))</f>
        <v>0</v>
      </c>
      <c r="Z11" s="96">
        <f ca="1">SUMPRODUCT((Portfolio!$F$13:$J$13=Z$4)*(Portfolio!$F$15:$J$15))</f>
        <v>0</v>
      </c>
      <c r="AA11" s="97">
        <f ca="1">SUMPRODUCT((Portfolio!$F$13:$J$13=AA$4)*(Portfolio!$F$15:$J$15))</f>
        <v>0</v>
      </c>
      <c r="AB11" s="96">
        <f ca="1">SUMPRODUCT((Portfolio!$F$13:$J$13=AB$4)*(Portfolio!$F$15:$J$15))</f>
        <v>0</v>
      </c>
      <c r="AC11" s="96">
        <f ca="1">SUMPRODUCT((Portfolio!$F$13:$J$13=AC$4)*(Portfolio!$F$15:$J$15))</f>
        <v>0</v>
      </c>
      <c r="AD11" s="96">
        <f ca="1">SUMPRODUCT((Portfolio!$F$13:$J$13=AD$4)*(Portfolio!$F$15:$J$15))</f>
        <v>0</v>
      </c>
      <c r="AE11" s="97">
        <f ca="1">SUMPRODUCT((Portfolio!$F$13:$J$13=AE$4)*(Portfolio!$F$15:$J$15))</f>
        <v>0</v>
      </c>
      <c r="AF11" s="96">
        <f ca="1">SUMPRODUCT((Portfolio!$F$13:$J$13=AF$4)*(Portfolio!$F$15:$J$15))</f>
        <v>0</v>
      </c>
      <c r="AG11" s="96">
        <f ca="1">SUMPRODUCT((Portfolio!$F$13:$J$13=AG$4)*(Portfolio!$F$15:$J$15))</f>
        <v>0</v>
      </c>
      <c r="AH11" s="96">
        <f ca="1">SUMPRODUCT((Portfolio!$F$13:$J$13=AH$4)*(Portfolio!$F$15:$J$15))</f>
        <v>0</v>
      </c>
      <c r="AI11" s="97">
        <f ca="1">SUMPRODUCT((Portfolio!$F$13:$J$13=AI$4)*(Portfolio!$F$15:$J$15))</f>
        <v>0</v>
      </c>
      <c r="AJ11" s="96">
        <f ca="1">SUMPRODUCT((Portfolio!$F$13:$J$13=AJ$4)*(Portfolio!$F$15:$J$15))</f>
        <v>0</v>
      </c>
      <c r="AK11" s="96">
        <f ca="1">SUMPRODUCT((Portfolio!$F$13:$J$13=AK$4)*(Portfolio!$F$15:$J$15))</f>
        <v>0</v>
      </c>
      <c r="AL11" s="96">
        <f ca="1">SUMPRODUCT((Portfolio!$F$13:$J$13=AL$4)*(Portfolio!$F$15:$J$15))</f>
        <v>0</v>
      </c>
      <c r="AM11" s="97">
        <f ca="1">SUMPRODUCT((Portfolio!$F$13:$J$13=AM$4)*(Portfolio!$F$15:$J$15))</f>
        <v>0</v>
      </c>
      <c r="AN11" s="96">
        <f ca="1">SUMPRODUCT((Portfolio!$F$13:$J$13=AN$4)*(Portfolio!$F$15:$J$15))</f>
        <v>0</v>
      </c>
      <c r="AO11" s="96">
        <f ca="1">SUMPRODUCT((Portfolio!$F$13:$J$13=AO$4)*(Portfolio!$F$15:$J$15))</f>
        <v>0</v>
      </c>
      <c r="AP11" s="96">
        <f ca="1">SUMPRODUCT((Portfolio!$F$13:$J$13=AP$4)*(Portfolio!$F$15:$J$15))</f>
        <v>0</v>
      </c>
      <c r="AQ11" s="97">
        <f ca="1">SUMPRODUCT((Portfolio!$F$13:$J$13=AQ$4)*(Portfolio!$F$15:$J$15))</f>
        <v>0</v>
      </c>
      <c r="AR11" s="96">
        <f ca="1">SUMPRODUCT((Portfolio!$F$13:$J$13=AR$4)*(Portfolio!$F$15:$J$15))</f>
        <v>0</v>
      </c>
      <c r="AS11" s="96">
        <f ca="1">SUMPRODUCT((Portfolio!$F$13:$J$13=AS$4)*(Portfolio!$F$15:$J$15))</f>
        <v>0</v>
      </c>
      <c r="AT11" s="96">
        <f ca="1">SUMPRODUCT((Portfolio!$F$13:$J$13=AT$4)*(Portfolio!$F$15:$J$15))</f>
        <v>0</v>
      </c>
      <c r="AU11" s="97">
        <f ca="1">SUMPRODUCT((Portfolio!$F$13:$J$13=AU$4)*(Portfolio!$F$15:$J$15))</f>
        <v>0</v>
      </c>
      <c r="AV11" s="96"/>
      <c r="AW11" s="98"/>
      <c r="AX11" s="98"/>
      <c r="AY11" s="99"/>
    </row>
    <row r="12" spans="1:51" ht="15.75" customHeight="1" x14ac:dyDescent="0.2">
      <c r="A12" s="83"/>
      <c r="B12" s="92">
        <f>IF(Portfolio!C16&lt;&gt;"",Portfolio!C16,"")</f>
        <v>4</v>
      </c>
      <c r="C12" s="93" t="str">
        <f>IF(Portfolio!D16&lt;&gt;"",Portfolio!D16,"")</f>
        <v>Company 4</v>
      </c>
      <c r="D12" s="94">
        <f ca="1">SUMPRODUCT((Portfolio!$F$16:$J$16=D$4)*(Portfolio!$F$18:$J$18))</f>
        <v>0</v>
      </c>
      <c r="E12" s="94">
        <f ca="1">SUMPRODUCT((Portfolio!$F$16:$J$16=E$4)*(Portfolio!$F$18:$J$18))</f>
        <v>1250000</v>
      </c>
      <c r="F12" s="94">
        <f ca="1">SUMPRODUCT((Portfolio!$F$16:$J$16=F$4)*(Portfolio!$F$18:$J$18))</f>
        <v>0</v>
      </c>
      <c r="G12" s="95">
        <f ca="1">SUMPRODUCT((Portfolio!$F$16:$J$16=G$4)*(Portfolio!$F$18:$J$18))</f>
        <v>0</v>
      </c>
      <c r="H12" s="94">
        <f ca="1">SUMPRODUCT((Portfolio!$F$16:$J$16=H$4)*(Portfolio!$F$18:$J$18))</f>
        <v>0</v>
      </c>
      <c r="I12" s="94">
        <f ca="1">SUMPRODUCT((Portfolio!$F$16:$J$16=I$4)*(Portfolio!$F$18:$J$18))</f>
        <v>0</v>
      </c>
      <c r="J12" s="94">
        <f ca="1">SUMPRODUCT((Portfolio!$F$16:$J$16=J$4)*(Portfolio!$F$18:$J$18))</f>
        <v>112500</v>
      </c>
      <c r="K12" s="95">
        <f ca="1">SUMPRODUCT((Portfolio!$F$16:$J$16=K$4)*(Portfolio!$F$18:$J$18))</f>
        <v>937500</v>
      </c>
      <c r="L12" s="96">
        <f ca="1">SUMPRODUCT((Portfolio!$F$16:$J$16=L$4)*(Portfolio!$F$18:$J$18))</f>
        <v>0</v>
      </c>
      <c r="M12" s="96">
        <f ca="1">SUMPRODUCT((Portfolio!$F$16:$J$16=M$4)*(Portfolio!$F$18:$J$18))</f>
        <v>0</v>
      </c>
      <c r="N12" s="96">
        <f ca="1">SUMPRODUCT((Portfolio!$F$16:$J$16=N$4)*(Portfolio!$F$18:$J$18))</f>
        <v>0</v>
      </c>
      <c r="O12" s="95">
        <f ca="1">SUMPRODUCT((Portfolio!$F$16:$J$16=O$4)*(Portfolio!$F$18:$J$18))</f>
        <v>0</v>
      </c>
      <c r="P12" s="96">
        <f ca="1">SUMPRODUCT((Portfolio!$F$16:$J$16=P$4)*(Portfolio!$F$18:$J$18))</f>
        <v>0</v>
      </c>
      <c r="Q12" s="96">
        <f ca="1">SUMPRODUCT((Portfolio!$F$16:$J$16=Q$4)*(Portfolio!$F$18:$J$18))</f>
        <v>750000</v>
      </c>
      <c r="R12" s="96">
        <f ca="1">SUMPRODUCT((Portfolio!$F$16:$J$16=R$4)*(Portfolio!$F$18:$J$18))</f>
        <v>0</v>
      </c>
      <c r="S12" s="97">
        <f ca="1">SUMPRODUCT((Portfolio!$F$16:$J$16=S$4)*(Portfolio!$F$18:$J$18))</f>
        <v>0</v>
      </c>
      <c r="T12" s="96">
        <f ca="1">SUMPRODUCT((Portfolio!$F$16:$J$16=T$4)*(Portfolio!$F$18:$J$18))</f>
        <v>0</v>
      </c>
      <c r="U12" s="96">
        <f ca="1">SUMPRODUCT((Portfolio!$F$16:$J$16=U$4)*(Portfolio!$F$18:$J$18))</f>
        <v>0</v>
      </c>
      <c r="V12" s="96">
        <f ca="1">SUMPRODUCT((Portfolio!$F$16:$J$16=V$4)*(Portfolio!$F$18:$J$18))</f>
        <v>0</v>
      </c>
      <c r="W12" s="97">
        <f ca="1">SUMPRODUCT((Portfolio!$F$16:$J$16=W$4)*(Portfolio!$F$18:$J$18))</f>
        <v>0</v>
      </c>
      <c r="X12" s="96">
        <f ca="1">SUMPRODUCT((Portfolio!$F$16:$J$16=X$4)*(Portfolio!$F$18:$J$18))</f>
        <v>0</v>
      </c>
      <c r="Y12" s="96">
        <f ca="1">SUMPRODUCT((Portfolio!$F$16:$J$16=Y$4)*(Portfolio!$F$18:$J$18))</f>
        <v>0</v>
      </c>
      <c r="Z12" s="96">
        <f ca="1">SUMPRODUCT((Portfolio!$F$16:$J$16=Z$4)*(Portfolio!$F$18:$J$18))</f>
        <v>0</v>
      </c>
      <c r="AA12" s="97">
        <f ca="1">SUMPRODUCT((Portfolio!$F$16:$J$16=AA$4)*(Portfolio!$F$18:$J$18))</f>
        <v>0</v>
      </c>
      <c r="AB12" s="96">
        <f ca="1">SUMPRODUCT((Portfolio!$F$16:$J$16=AB$4)*(Portfolio!$F$18:$J$18))</f>
        <v>0</v>
      </c>
      <c r="AC12" s="96">
        <f ca="1">SUMPRODUCT((Portfolio!$F$16:$J$16=AC$4)*(Portfolio!$F$18:$J$18))</f>
        <v>0</v>
      </c>
      <c r="AD12" s="96">
        <f ca="1">SUMPRODUCT((Portfolio!$F$16:$J$16=AD$4)*(Portfolio!$F$18:$J$18))</f>
        <v>0</v>
      </c>
      <c r="AE12" s="97">
        <f ca="1">SUMPRODUCT((Portfolio!$F$16:$J$16=AE$4)*(Portfolio!$F$18:$J$18))</f>
        <v>0</v>
      </c>
      <c r="AF12" s="96">
        <f ca="1">SUMPRODUCT((Portfolio!$F$16:$J$16=AF$4)*(Portfolio!$F$18:$J$18))</f>
        <v>0</v>
      </c>
      <c r="AG12" s="96">
        <f ca="1">SUMPRODUCT((Portfolio!$F$16:$J$16=AG$4)*(Portfolio!$F$18:$J$18))</f>
        <v>0</v>
      </c>
      <c r="AH12" s="96">
        <f ca="1">SUMPRODUCT((Portfolio!$F$16:$J$16=AH$4)*(Portfolio!$F$18:$J$18))</f>
        <v>0</v>
      </c>
      <c r="AI12" s="97">
        <f ca="1">SUMPRODUCT((Portfolio!$F$16:$J$16=AI$4)*(Portfolio!$F$18:$J$18))</f>
        <v>0</v>
      </c>
      <c r="AJ12" s="96">
        <f ca="1">SUMPRODUCT((Portfolio!$F$16:$J$16=AJ$4)*(Portfolio!$F$18:$J$18))</f>
        <v>0</v>
      </c>
      <c r="AK12" s="96">
        <f ca="1">SUMPRODUCT((Portfolio!$F$16:$J$16=AK$4)*(Portfolio!$F$18:$J$18))</f>
        <v>0</v>
      </c>
      <c r="AL12" s="96">
        <f ca="1">SUMPRODUCT((Portfolio!$F$16:$J$16=AL$4)*(Portfolio!$F$18:$J$18))</f>
        <v>0</v>
      </c>
      <c r="AM12" s="97">
        <f ca="1">SUMPRODUCT((Portfolio!$F$16:$J$16=AM$4)*(Portfolio!$F$18:$J$18))</f>
        <v>0</v>
      </c>
      <c r="AN12" s="96">
        <f ca="1">SUMPRODUCT((Portfolio!$F$16:$J$16=AN$4)*(Portfolio!$F$18:$J$18))</f>
        <v>0</v>
      </c>
      <c r="AO12" s="96">
        <f ca="1">SUMPRODUCT((Portfolio!$F$16:$J$16=AO$4)*(Portfolio!$F$18:$J$18))</f>
        <v>0</v>
      </c>
      <c r="AP12" s="96">
        <f ca="1">SUMPRODUCT((Portfolio!$F$16:$J$16=AP$4)*(Portfolio!$F$18:$J$18))</f>
        <v>0</v>
      </c>
      <c r="AQ12" s="97">
        <f ca="1">SUMPRODUCT((Portfolio!$F$16:$J$16=AQ$4)*(Portfolio!$F$18:$J$18))</f>
        <v>0</v>
      </c>
      <c r="AR12" s="96">
        <f ca="1">SUMPRODUCT((Portfolio!$F$16:$J$16=AR$4)*(Portfolio!$F$18:$J$18))</f>
        <v>0</v>
      </c>
      <c r="AS12" s="96">
        <f ca="1">SUMPRODUCT((Portfolio!$F$16:$J$16=AS$4)*(Portfolio!$F$18:$J$18))</f>
        <v>0</v>
      </c>
      <c r="AT12" s="96">
        <f ca="1">SUMPRODUCT((Portfolio!$F$16:$J$16=AT$4)*(Portfolio!$F$18:$J$18))</f>
        <v>0</v>
      </c>
      <c r="AU12" s="97">
        <f ca="1">SUMPRODUCT((Portfolio!$F$16:$J$16=AU$4)*(Portfolio!$F$18:$J$18))</f>
        <v>0</v>
      </c>
      <c r="AV12" s="96"/>
      <c r="AW12" s="98"/>
      <c r="AX12" s="98"/>
      <c r="AY12" s="99"/>
    </row>
    <row r="13" spans="1:51" ht="15.75" hidden="1" customHeight="1" outlineLevel="1" x14ac:dyDescent="0.2">
      <c r="A13" s="83"/>
      <c r="B13" s="92">
        <f>IF(Portfolio!C19&lt;&gt;"",Portfolio!C19,"")</f>
        <v>5</v>
      </c>
      <c r="C13" s="93" t="str">
        <f>IF(Portfolio!D19&lt;&gt;"",Portfolio!D19,"")</f>
        <v>Company 5</v>
      </c>
      <c r="D13" s="94">
        <f ca="1">SUMPRODUCT((Portfolio!$F19:$J19=D$4)*(Portfolio!$F21:$J21))</f>
        <v>0</v>
      </c>
      <c r="E13" s="94">
        <f ca="1">SUMPRODUCT((Portfolio!$F19:$J19=E$4)*(Portfolio!$F21:$J21))</f>
        <v>1250000</v>
      </c>
      <c r="F13" s="94">
        <f ca="1">SUMPRODUCT((Portfolio!$F19:$J19=F$4)*(Portfolio!$F21:$J21))</f>
        <v>0</v>
      </c>
      <c r="G13" s="95">
        <f ca="1">SUMPRODUCT((Portfolio!$F19:$J19=G$4)*(Portfolio!$F21:$J21))</f>
        <v>0</v>
      </c>
      <c r="H13" s="94">
        <f ca="1">SUMPRODUCT((Portfolio!$F19:$J19=H$4)*(Portfolio!$F21:$J21))</f>
        <v>0</v>
      </c>
      <c r="I13" s="94">
        <f ca="1">SUMPRODUCT((Portfolio!$F19:$J19=I$4)*(Portfolio!$F21:$J21))</f>
        <v>0</v>
      </c>
      <c r="J13" s="94">
        <f ca="1">SUMPRODUCT((Portfolio!$F19:$J19=J$4)*(Portfolio!$F21:$J21))</f>
        <v>112500</v>
      </c>
      <c r="K13" s="95">
        <f ca="1">SUMPRODUCT((Portfolio!$F19:$J19=K$4)*(Portfolio!$F21:$J21))</f>
        <v>937500</v>
      </c>
      <c r="L13" s="96">
        <f ca="1">SUMPRODUCT((Portfolio!$F19:$J19=L$4)*(Portfolio!$F21:$J21))</f>
        <v>0</v>
      </c>
      <c r="M13" s="96">
        <f ca="1">SUMPRODUCT((Portfolio!$F19:$J19=M$4)*(Portfolio!$F21:$J21))</f>
        <v>0</v>
      </c>
      <c r="N13" s="96">
        <f ca="1">SUMPRODUCT((Portfolio!$F19:$J19=N$4)*(Portfolio!$F21:$J21))</f>
        <v>0</v>
      </c>
      <c r="O13" s="95">
        <f ca="1">SUMPRODUCT((Portfolio!$F19:$J19=O$4)*(Portfolio!$F21:$J21))</f>
        <v>0</v>
      </c>
      <c r="P13" s="96">
        <f ca="1">SUMPRODUCT((Portfolio!$F19:$J19=P$4)*(Portfolio!$F21:$J21))</f>
        <v>0</v>
      </c>
      <c r="Q13" s="96">
        <f ca="1">SUMPRODUCT((Portfolio!$F19:$J19=Q$4)*(Portfolio!$F21:$J21))</f>
        <v>750000</v>
      </c>
      <c r="R13" s="96">
        <f ca="1">SUMPRODUCT((Portfolio!$F19:$J19=R$4)*(Portfolio!$F21:$J21))</f>
        <v>0</v>
      </c>
      <c r="S13" s="97">
        <f ca="1">SUMPRODUCT((Portfolio!$F19:$J19=S$4)*(Portfolio!$F21:$J21))</f>
        <v>0</v>
      </c>
      <c r="T13" s="96">
        <f ca="1">SUMPRODUCT((Portfolio!$F19:$J19=T$4)*(Portfolio!$F21:$J21))</f>
        <v>0</v>
      </c>
      <c r="U13" s="96">
        <f ca="1">SUMPRODUCT((Portfolio!$F19:$J19=U$4)*(Portfolio!$F21:$J21))</f>
        <v>0</v>
      </c>
      <c r="V13" s="96">
        <f ca="1">SUMPRODUCT((Portfolio!$F19:$J19=V$4)*(Portfolio!$F21:$J21))</f>
        <v>0</v>
      </c>
      <c r="W13" s="97">
        <f ca="1">SUMPRODUCT((Portfolio!$F19:$J19=W$4)*(Portfolio!$F21:$J21))</f>
        <v>0</v>
      </c>
      <c r="X13" s="96">
        <f ca="1">SUMPRODUCT((Portfolio!$F19:$J19=X$4)*(Portfolio!$F21:$J21))</f>
        <v>0</v>
      </c>
      <c r="Y13" s="96">
        <f ca="1">SUMPRODUCT((Portfolio!$F19:$J19=Y$4)*(Portfolio!$F21:$J21))</f>
        <v>0</v>
      </c>
      <c r="Z13" s="96">
        <f ca="1">SUMPRODUCT((Portfolio!$F19:$J19=Z$4)*(Portfolio!$F21:$J21))</f>
        <v>0</v>
      </c>
      <c r="AA13" s="97">
        <f ca="1">SUMPRODUCT((Portfolio!$F19:$J19=AA$4)*(Portfolio!$F21:$J21))</f>
        <v>0</v>
      </c>
      <c r="AB13" s="96">
        <f ca="1">SUMPRODUCT((Portfolio!$F19:$J19=AB$4)*(Portfolio!$F21:$J21))</f>
        <v>0</v>
      </c>
      <c r="AC13" s="96">
        <f ca="1">SUMPRODUCT((Portfolio!$F19:$J19=AC$4)*(Portfolio!$F21:$J21))</f>
        <v>0</v>
      </c>
      <c r="AD13" s="96">
        <f ca="1">SUMPRODUCT((Portfolio!$F19:$J19=AD$4)*(Portfolio!$F21:$J21))</f>
        <v>0</v>
      </c>
      <c r="AE13" s="97">
        <f ca="1">SUMPRODUCT((Portfolio!$F19:$J19=AE$4)*(Portfolio!$F21:$J21))</f>
        <v>0</v>
      </c>
      <c r="AF13" s="96">
        <f ca="1">SUMPRODUCT((Portfolio!$F19:$J19=AF$4)*(Portfolio!$F21:$J21))</f>
        <v>0</v>
      </c>
      <c r="AG13" s="96">
        <f ca="1">SUMPRODUCT((Portfolio!$F19:$J19=AG$4)*(Portfolio!$F21:$J21))</f>
        <v>0</v>
      </c>
      <c r="AH13" s="96">
        <f ca="1">SUMPRODUCT((Portfolio!$F19:$J19=AH$4)*(Portfolio!$F21:$J21))</f>
        <v>0</v>
      </c>
      <c r="AI13" s="97">
        <f ca="1">SUMPRODUCT((Portfolio!$F19:$J19=AI$4)*(Portfolio!$F21:$J21))</f>
        <v>0</v>
      </c>
      <c r="AJ13" s="96">
        <f ca="1">SUMPRODUCT((Portfolio!$F19:$J19=AJ$4)*(Portfolio!$F21:$J21))</f>
        <v>0</v>
      </c>
      <c r="AK13" s="96">
        <f ca="1">SUMPRODUCT((Portfolio!$F19:$J19=AK$4)*(Portfolio!$F21:$J21))</f>
        <v>0</v>
      </c>
      <c r="AL13" s="96">
        <f ca="1">SUMPRODUCT((Portfolio!$F19:$J19=AL$4)*(Portfolio!$F21:$J21))</f>
        <v>0</v>
      </c>
      <c r="AM13" s="97">
        <f ca="1">SUMPRODUCT((Portfolio!$F19:$J19=AM$4)*(Portfolio!$F21:$J21))</f>
        <v>0</v>
      </c>
      <c r="AN13" s="96">
        <f ca="1">SUMPRODUCT((Portfolio!$F19:$J19=AN$4)*(Portfolio!$F21:$J21))</f>
        <v>0</v>
      </c>
      <c r="AO13" s="96">
        <f ca="1">SUMPRODUCT((Portfolio!$F19:$J19=AO$4)*(Portfolio!$F21:$J21))</f>
        <v>0</v>
      </c>
      <c r="AP13" s="96">
        <f ca="1">SUMPRODUCT((Portfolio!$F19:$J19=AP$4)*(Portfolio!$F21:$J21))</f>
        <v>0</v>
      </c>
      <c r="AQ13" s="97">
        <f ca="1">SUMPRODUCT((Portfolio!$F19:$J19=AQ$4)*(Portfolio!$F21:$J21))</f>
        <v>0</v>
      </c>
      <c r="AR13" s="96">
        <f ca="1">SUMPRODUCT((Portfolio!$F19:$J19=AR$4)*(Portfolio!$F21:$J21))</f>
        <v>0</v>
      </c>
      <c r="AS13" s="96">
        <f ca="1">SUMPRODUCT((Portfolio!$F19:$J19=AS$4)*(Portfolio!$F21:$J21))</f>
        <v>0</v>
      </c>
      <c r="AT13" s="96">
        <f ca="1">SUMPRODUCT((Portfolio!$F19:$J19=AT$4)*(Portfolio!$F21:$J21))</f>
        <v>0</v>
      </c>
      <c r="AU13" s="97">
        <f ca="1">SUMPRODUCT((Portfolio!$F19:$J19=AU$4)*(Portfolio!$F21:$J21))</f>
        <v>0</v>
      </c>
      <c r="AV13" s="96"/>
      <c r="AW13" s="98"/>
      <c r="AX13" s="98"/>
      <c r="AY13" s="99"/>
    </row>
    <row r="14" spans="1:51" ht="15.75" hidden="1" customHeight="1" outlineLevel="1" x14ac:dyDescent="0.2">
      <c r="A14" s="83"/>
      <c r="B14" s="92">
        <f>IF(Portfolio!C22&lt;&gt;"",Portfolio!C22,"")</f>
        <v>6</v>
      </c>
      <c r="C14" s="93" t="str">
        <f>IF(Portfolio!D22&lt;&gt;"",Portfolio!D22,"")</f>
        <v>Company 6</v>
      </c>
      <c r="D14" s="94">
        <f ca="1">SUMPRODUCT((Portfolio!$F22:$J22=D$4)*(Portfolio!$F24:$J24))</f>
        <v>0</v>
      </c>
      <c r="E14" s="94">
        <f ca="1">SUMPRODUCT((Portfolio!$F22:$J22=E$4)*(Portfolio!$F24:$J24))</f>
        <v>0</v>
      </c>
      <c r="F14" s="94">
        <f ca="1">SUMPRODUCT((Portfolio!$F22:$J22=F$4)*(Portfolio!$F24:$J24))</f>
        <v>1250000</v>
      </c>
      <c r="G14" s="95">
        <f ca="1">SUMPRODUCT((Portfolio!$F22:$J22=G$4)*(Portfolio!$F24:$J24))</f>
        <v>0</v>
      </c>
      <c r="H14" s="94">
        <f ca="1">SUMPRODUCT((Portfolio!$F22:$J22=H$4)*(Portfolio!$F24:$J24))</f>
        <v>0</v>
      </c>
      <c r="I14" s="94">
        <f ca="1">SUMPRODUCT((Portfolio!$F22:$J22=I$4)*(Portfolio!$F24:$J24))</f>
        <v>0</v>
      </c>
      <c r="J14" s="94">
        <f ca="1">SUMPRODUCT((Portfolio!$F22:$J22=J$4)*(Portfolio!$F24:$J24))</f>
        <v>0</v>
      </c>
      <c r="K14" s="95">
        <f ca="1">SUMPRODUCT((Portfolio!$F22:$J22=K$4)*(Portfolio!$F24:$J24))</f>
        <v>112500</v>
      </c>
      <c r="L14" s="96">
        <f ca="1">SUMPRODUCT((Portfolio!$F22:$J22=L$4)*(Portfolio!$F24:$J24))</f>
        <v>937500</v>
      </c>
      <c r="M14" s="96">
        <f ca="1">SUMPRODUCT((Portfolio!$F22:$J22=M$4)*(Portfolio!$F24:$J24))</f>
        <v>0</v>
      </c>
      <c r="N14" s="96">
        <f ca="1">SUMPRODUCT((Portfolio!$F22:$J22=N$4)*(Portfolio!$F24:$J24))</f>
        <v>0</v>
      </c>
      <c r="O14" s="95">
        <f ca="1">SUMPRODUCT((Portfolio!$F22:$J22=O$4)*(Portfolio!$F24:$J24))</f>
        <v>0</v>
      </c>
      <c r="P14" s="96">
        <f ca="1">SUMPRODUCT((Portfolio!$F22:$J22=P$4)*(Portfolio!$F24:$J24))</f>
        <v>0</v>
      </c>
      <c r="Q14" s="96">
        <f ca="1">SUMPRODUCT((Portfolio!$F22:$J22=Q$4)*(Portfolio!$F24:$J24))</f>
        <v>750000</v>
      </c>
      <c r="R14" s="96">
        <f ca="1">SUMPRODUCT((Portfolio!$F22:$J22=R$4)*(Portfolio!$F24:$J24))</f>
        <v>0</v>
      </c>
      <c r="S14" s="97">
        <f ca="1">SUMPRODUCT((Portfolio!$F22:$J22=S$4)*(Portfolio!$F24:$J24))</f>
        <v>0</v>
      </c>
      <c r="T14" s="96">
        <f ca="1">SUMPRODUCT((Portfolio!$F22:$J22=T$4)*(Portfolio!$F24:$J24))</f>
        <v>0</v>
      </c>
      <c r="U14" s="96">
        <f ca="1">SUMPRODUCT((Portfolio!$F22:$J22=U$4)*(Portfolio!$F24:$J24))</f>
        <v>0</v>
      </c>
      <c r="V14" s="96">
        <f ca="1">SUMPRODUCT((Portfolio!$F22:$J22=V$4)*(Portfolio!$F24:$J24))</f>
        <v>0</v>
      </c>
      <c r="W14" s="97">
        <f ca="1">SUMPRODUCT((Portfolio!$F22:$J22=W$4)*(Portfolio!$F24:$J24))</f>
        <v>0</v>
      </c>
      <c r="X14" s="96">
        <f ca="1">SUMPRODUCT((Portfolio!$F22:$J22=X$4)*(Portfolio!$F24:$J24))</f>
        <v>0</v>
      </c>
      <c r="Y14" s="96">
        <f ca="1">SUMPRODUCT((Portfolio!$F22:$J22=Y$4)*(Portfolio!$F24:$J24))</f>
        <v>0</v>
      </c>
      <c r="Z14" s="96">
        <f ca="1">SUMPRODUCT((Portfolio!$F22:$J22=Z$4)*(Portfolio!$F24:$J24))</f>
        <v>0</v>
      </c>
      <c r="AA14" s="97">
        <f ca="1">SUMPRODUCT((Portfolio!$F22:$J22=AA$4)*(Portfolio!$F24:$J24))</f>
        <v>0</v>
      </c>
      <c r="AB14" s="96">
        <f ca="1">SUMPRODUCT((Portfolio!$F22:$J22=AB$4)*(Portfolio!$F24:$J24))</f>
        <v>0</v>
      </c>
      <c r="AC14" s="96">
        <f ca="1">SUMPRODUCT((Portfolio!$F22:$J22=AC$4)*(Portfolio!$F24:$J24))</f>
        <v>0</v>
      </c>
      <c r="AD14" s="96">
        <f ca="1">SUMPRODUCT((Portfolio!$F22:$J22=AD$4)*(Portfolio!$F24:$J24))</f>
        <v>0</v>
      </c>
      <c r="AE14" s="97">
        <f ca="1">SUMPRODUCT((Portfolio!$F22:$J22=AE$4)*(Portfolio!$F24:$J24))</f>
        <v>0</v>
      </c>
      <c r="AF14" s="96">
        <f ca="1">SUMPRODUCT((Portfolio!$F22:$J22=AF$4)*(Portfolio!$F24:$J24))</f>
        <v>0</v>
      </c>
      <c r="AG14" s="96">
        <f ca="1">SUMPRODUCT((Portfolio!$F22:$J22=AG$4)*(Portfolio!$F24:$J24))</f>
        <v>0</v>
      </c>
      <c r="AH14" s="96">
        <f ca="1">SUMPRODUCT((Portfolio!$F22:$J22=AH$4)*(Portfolio!$F24:$J24))</f>
        <v>0</v>
      </c>
      <c r="AI14" s="97">
        <f ca="1">SUMPRODUCT((Portfolio!$F22:$J22=AI$4)*(Portfolio!$F24:$J24))</f>
        <v>0</v>
      </c>
      <c r="AJ14" s="96">
        <f ca="1">SUMPRODUCT((Portfolio!$F22:$J22=AJ$4)*(Portfolio!$F24:$J24))</f>
        <v>0</v>
      </c>
      <c r="AK14" s="96">
        <f ca="1">SUMPRODUCT((Portfolio!$F22:$J22=AK$4)*(Portfolio!$F24:$J24))</f>
        <v>0</v>
      </c>
      <c r="AL14" s="96">
        <f ca="1">SUMPRODUCT((Portfolio!$F22:$J22=AL$4)*(Portfolio!$F24:$J24))</f>
        <v>0</v>
      </c>
      <c r="AM14" s="97">
        <f ca="1">SUMPRODUCT((Portfolio!$F22:$J22=AM$4)*(Portfolio!$F24:$J24))</f>
        <v>0</v>
      </c>
      <c r="AN14" s="96">
        <f ca="1">SUMPRODUCT((Portfolio!$F22:$J22=AN$4)*(Portfolio!$F24:$J24))</f>
        <v>0</v>
      </c>
      <c r="AO14" s="96">
        <f ca="1">SUMPRODUCT((Portfolio!$F22:$J22=AO$4)*(Portfolio!$F24:$J24))</f>
        <v>0</v>
      </c>
      <c r="AP14" s="96">
        <f ca="1">SUMPRODUCT((Portfolio!$F22:$J22=AP$4)*(Portfolio!$F24:$J24))</f>
        <v>0</v>
      </c>
      <c r="AQ14" s="97">
        <f ca="1">SUMPRODUCT((Portfolio!$F22:$J22=AQ$4)*(Portfolio!$F24:$J24))</f>
        <v>0</v>
      </c>
      <c r="AR14" s="96">
        <f ca="1">SUMPRODUCT((Portfolio!$F22:$J22=AR$4)*(Portfolio!$F24:$J24))</f>
        <v>0</v>
      </c>
      <c r="AS14" s="96">
        <f ca="1">SUMPRODUCT((Portfolio!$F22:$J22=AS$4)*(Portfolio!$F24:$J24))</f>
        <v>0</v>
      </c>
      <c r="AT14" s="96">
        <f ca="1">SUMPRODUCT((Portfolio!$F22:$J22=AT$4)*(Portfolio!$F24:$J24))</f>
        <v>0</v>
      </c>
      <c r="AU14" s="97">
        <f ca="1">SUMPRODUCT((Portfolio!$F22:$J22=AU$4)*(Portfolio!$F24:$J24))</f>
        <v>0</v>
      </c>
      <c r="AV14" s="96"/>
      <c r="AW14" s="98"/>
      <c r="AX14" s="98"/>
      <c r="AY14" s="99"/>
    </row>
    <row r="15" spans="1:51" ht="15.75" hidden="1" customHeight="1" outlineLevel="1" x14ac:dyDescent="0.2">
      <c r="A15" s="83"/>
      <c r="B15" s="92">
        <f>IF(Portfolio!C25&lt;&gt;"",Portfolio!C25,"")</f>
        <v>7</v>
      </c>
      <c r="C15" s="93" t="str">
        <f>IF(Portfolio!D25&lt;&gt;"",Portfolio!D25,"")</f>
        <v>Company 7</v>
      </c>
      <c r="D15" s="94">
        <f ca="1">SUMPRODUCT((Portfolio!$F25:$J25=D$4)*(Portfolio!$F27:$J27))</f>
        <v>0</v>
      </c>
      <c r="E15" s="94">
        <f ca="1">SUMPRODUCT((Portfolio!$F25:$J25=E$4)*(Portfolio!$F27:$J27))</f>
        <v>0</v>
      </c>
      <c r="F15" s="94">
        <f ca="1">SUMPRODUCT((Portfolio!$F25:$J25=F$4)*(Portfolio!$F27:$J27))</f>
        <v>1250000</v>
      </c>
      <c r="G15" s="95">
        <f ca="1">SUMPRODUCT((Portfolio!$F25:$J25=G$4)*(Portfolio!$F27:$J27))</f>
        <v>0</v>
      </c>
      <c r="H15" s="94">
        <f ca="1">SUMPRODUCT((Portfolio!$F25:$J25=H$4)*(Portfolio!$F27:$J27))</f>
        <v>0</v>
      </c>
      <c r="I15" s="94">
        <f ca="1">SUMPRODUCT((Portfolio!$F25:$J25=I$4)*(Portfolio!$F27:$J27))</f>
        <v>0</v>
      </c>
      <c r="J15" s="94">
        <f ca="1">SUMPRODUCT((Portfolio!$F25:$J25=J$4)*(Portfolio!$F27:$J27))</f>
        <v>0</v>
      </c>
      <c r="K15" s="95">
        <f ca="1">SUMPRODUCT((Portfolio!$F25:$J25=K$4)*(Portfolio!$F27:$J27))</f>
        <v>112500</v>
      </c>
      <c r="L15" s="96">
        <f ca="1">SUMPRODUCT((Portfolio!$F25:$J25=L$4)*(Portfolio!$F27:$J27))</f>
        <v>937500</v>
      </c>
      <c r="M15" s="96">
        <f ca="1">SUMPRODUCT((Portfolio!$F25:$J25=M$4)*(Portfolio!$F27:$J27))</f>
        <v>0</v>
      </c>
      <c r="N15" s="96">
        <f ca="1">SUMPRODUCT((Portfolio!$F25:$J25=N$4)*(Portfolio!$F27:$J27))</f>
        <v>0</v>
      </c>
      <c r="O15" s="95">
        <f ca="1">SUMPRODUCT((Portfolio!$F25:$J25=O$4)*(Portfolio!$F27:$J27))</f>
        <v>0</v>
      </c>
      <c r="P15" s="96">
        <f ca="1">SUMPRODUCT((Portfolio!$F25:$J25=P$4)*(Portfolio!$F27:$J27))</f>
        <v>0</v>
      </c>
      <c r="Q15" s="96">
        <f ca="1">SUMPRODUCT((Portfolio!$F25:$J25=Q$4)*(Portfolio!$F27:$J27))</f>
        <v>0</v>
      </c>
      <c r="R15" s="96">
        <f ca="1">SUMPRODUCT((Portfolio!$F25:$J25=R$4)*(Portfolio!$F27:$J27))</f>
        <v>750000</v>
      </c>
      <c r="S15" s="97">
        <f ca="1">SUMPRODUCT((Portfolio!$F25:$J25=S$4)*(Portfolio!$F27:$J27))</f>
        <v>0</v>
      </c>
      <c r="T15" s="96">
        <f ca="1">SUMPRODUCT((Portfolio!$F25:$J25=T$4)*(Portfolio!$F27:$J27))</f>
        <v>0</v>
      </c>
      <c r="U15" s="96">
        <f ca="1">SUMPRODUCT((Portfolio!$F25:$J25=U$4)*(Portfolio!$F27:$J27))</f>
        <v>0</v>
      </c>
      <c r="V15" s="96">
        <f ca="1">SUMPRODUCT((Portfolio!$F25:$J25=V$4)*(Portfolio!$F27:$J27))</f>
        <v>0</v>
      </c>
      <c r="W15" s="97">
        <f ca="1">SUMPRODUCT((Portfolio!$F25:$J25=W$4)*(Portfolio!$F27:$J27))</f>
        <v>0</v>
      </c>
      <c r="X15" s="96">
        <f ca="1">SUMPRODUCT((Portfolio!$F25:$J25=X$4)*(Portfolio!$F27:$J27))</f>
        <v>0</v>
      </c>
      <c r="Y15" s="96">
        <f ca="1">SUMPRODUCT((Portfolio!$F25:$J25=Y$4)*(Portfolio!$F27:$J27))</f>
        <v>0</v>
      </c>
      <c r="Z15" s="96">
        <f ca="1">SUMPRODUCT((Portfolio!$F25:$J25=Z$4)*(Portfolio!$F27:$J27))</f>
        <v>0</v>
      </c>
      <c r="AA15" s="97">
        <f ca="1">SUMPRODUCT((Portfolio!$F25:$J25=AA$4)*(Portfolio!$F27:$J27))</f>
        <v>0</v>
      </c>
      <c r="AB15" s="96">
        <f ca="1">SUMPRODUCT((Portfolio!$F25:$J25=AB$4)*(Portfolio!$F27:$J27))</f>
        <v>0</v>
      </c>
      <c r="AC15" s="96">
        <f ca="1">SUMPRODUCT((Portfolio!$F25:$J25=AC$4)*(Portfolio!$F27:$J27))</f>
        <v>0</v>
      </c>
      <c r="AD15" s="96">
        <f ca="1">SUMPRODUCT((Portfolio!$F25:$J25=AD$4)*(Portfolio!$F27:$J27))</f>
        <v>0</v>
      </c>
      <c r="AE15" s="97">
        <f ca="1">SUMPRODUCT((Portfolio!$F25:$J25=AE$4)*(Portfolio!$F27:$J27))</f>
        <v>0</v>
      </c>
      <c r="AF15" s="96">
        <f ca="1">SUMPRODUCT((Portfolio!$F25:$J25=AF$4)*(Portfolio!$F27:$J27))</f>
        <v>0</v>
      </c>
      <c r="AG15" s="96">
        <f ca="1">SUMPRODUCT((Portfolio!$F25:$J25=AG$4)*(Portfolio!$F27:$J27))</f>
        <v>0</v>
      </c>
      <c r="AH15" s="96">
        <f ca="1">SUMPRODUCT((Portfolio!$F25:$J25=AH$4)*(Portfolio!$F27:$J27))</f>
        <v>0</v>
      </c>
      <c r="AI15" s="97">
        <f ca="1">SUMPRODUCT((Portfolio!$F25:$J25=AI$4)*(Portfolio!$F27:$J27))</f>
        <v>0</v>
      </c>
      <c r="AJ15" s="96">
        <f ca="1">SUMPRODUCT((Portfolio!$F25:$J25=AJ$4)*(Portfolio!$F27:$J27))</f>
        <v>0</v>
      </c>
      <c r="AK15" s="96">
        <f ca="1">SUMPRODUCT((Portfolio!$F25:$J25=AK$4)*(Portfolio!$F27:$J27))</f>
        <v>0</v>
      </c>
      <c r="AL15" s="96">
        <f ca="1">SUMPRODUCT((Portfolio!$F25:$J25=AL$4)*(Portfolio!$F27:$J27))</f>
        <v>0</v>
      </c>
      <c r="AM15" s="97">
        <f ca="1">SUMPRODUCT((Portfolio!$F25:$J25=AM$4)*(Portfolio!$F27:$J27))</f>
        <v>0</v>
      </c>
      <c r="AN15" s="96">
        <f ca="1">SUMPRODUCT((Portfolio!$F25:$J25=AN$4)*(Portfolio!$F27:$J27))</f>
        <v>0</v>
      </c>
      <c r="AO15" s="96">
        <f ca="1">SUMPRODUCT((Portfolio!$F25:$J25=AO$4)*(Portfolio!$F27:$J27))</f>
        <v>0</v>
      </c>
      <c r="AP15" s="96">
        <f ca="1">SUMPRODUCT((Portfolio!$F25:$J25=AP$4)*(Portfolio!$F27:$J27))</f>
        <v>0</v>
      </c>
      <c r="AQ15" s="97">
        <f ca="1">SUMPRODUCT((Portfolio!$F25:$J25=AQ$4)*(Portfolio!$F27:$J27))</f>
        <v>0</v>
      </c>
      <c r="AR15" s="96">
        <f ca="1">SUMPRODUCT((Portfolio!$F25:$J25=AR$4)*(Portfolio!$F27:$J27))</f>
        <v>0</v>
      </c>
      <c r="AS15" s="96">
        <f ca="1">SUMPRODUCT((Portfolio!$F25:$J25=AS$4)*(Portfolio!$F27:$J27))</f>
        <v>0</v>
      </c>
      <c r="AT15" s="96">
        <f ca="1">SUMPRODUCT((Portfolio!$F25:$J25=AT$4)*(Portfolio!$F27:$J27))</f>
        <v>0</v>
      </c>
      <c r="AU15" s="97">
        <f ca="1">SUMPRODUCT((Portfolio!$F25:$J25=AU$4)*(Portfolio!$F27:$J27))</f>
        <v>0</v>
      </c>
      <c r="AV15" s="96"/>
      <c r="AW15" s="98"/>
      <c r="AX15" s="98"/>
      <c r="AY15" s="99"/>
    </row>
    <row r="16" spans="1:51" ht="15.75" hidden="1" customHeight="1" outlineLevel="1" x14ac:dyDescent="0.2">
      <c r="A16" s="83"/>
      <c r="B16" s="92">
        <f>IF(Portfolio!C28&lt;&gt;"",Portfolio!C28,"")</f>
        <v>8</v>
      </c>
      <c r="C16" s="93" t="str">
        <f>IF(Portfolio!D28&lt;&gt;"",Portfolio!D28,"")</f>
        <v>Company 8</v>
      </c>
      <c r="D16" s="94">
        <f ca="1">SUMPRODUCT((Portfolio!$F28:$J28=D$4)*(Portfolio!$F30:$J30))</f>
        <v>0</v>
      </c>
      <c r="E16" s="94">
        <f ca="1">SUMPRODUCT((Portfolio!$F28:$J28=E$4)*(Portfolio!$F30:$J30))</f>
        <v>0</v>
      </c>
      <c r="F16" s="94">
        <f ca="1">SUMPRODUCT((Portfolio!$F28:$J28=F$4)*(Portfolio!$F30:$J30))</f>
        <v>0</v>
      </c>
      <c r="G16" s="95">
        <f ca="1">SUMPRODUCT((Portfolio!$F28:$J28=G$4)*(Portfolio!$F30:$J30))</f>
        <v>1250000</v>
      </c>
      <c r="H16" s="94">
        <f ca="1">SUMPRODUCT((Portfolio!$F28:$J28=H$4)*(Portfolio!$F30:$J30))</f>
        <v>0</v>
      </c>
      <c r="I16" s="94">
        <f ca="1">SUMPRODUCT((Portfolio!$F28:$J28=I$4)*(Portfolio!$F30:$J30))</f>
        <v>0</v>
      </c>
      <c r="J16" s="94">
        <f ca="1">SUMPRODUCT((Portfolio!$F28:$J28=J$4)*(Portfolio!$F30:$J30))</f>
        <v>0</v>
      </c>
      <c r="K16" s="95">
        <f ca="1">SUMPRODUCT((Portfolio!$F28:$J28=K$4)*(Portfolio!$F30:$J30))</f>
        <v>0</v>
      </c>
      <c r="L16" s="96">
        <f ca="1">SUMPRODUCT((Portfolio!$F28:$J28=L$4)*(Portfolio!$F30:$J30))</f>
        <v>1050000</v>
      </c>
      <c r="M16" s="96">
        <f ca="1">SUMPRODUCT((Portfolio!$F28:$J28=M$4)*(Portfolio!$F30:$J30))</f>
        <v>0</v>
      </c>
      <c r="N16" s="96">
        <f ca="1">SUMPRODUCT((Portfolio!$F28:$J28=N$4)*(Portfolio!$F30:$J30))</f>
        <v>0</v>
      </c>
      <c r="O16" s="95">
        <f ca="1">SUMPRODUCT((Portfolio!$F28:$J28=O$4)*(Portfolio!$F30:$J30))</f>
        <v>0</v>
      </c>
      <c r="P16" s="96">
        <f ca="1">SUMPRODUCT((Portfolio!$F28:$J28=P$4)*(Portfolio!$F30:$J30))</f>
        <v>0</v>
      </c>
      <c r="Q16" s="96">
        <f ca="1">SUMPRODUCT((Portfolio!$F28:$J28=Q$4)*(Portfolio!$F30:$J30))</f>
        <v>0</v>
      </c>
      <c r="R16" s="96">
        <f ca="1">SUMPRODUCT((Portfolio!$F28:$J28=R$4)*(Portfolio!$F30:$J30))</f>
        <v>750000</v>
      </c>
      <c r="S16" s="97">
        <f ca="1">SUMPRODUCT((Portfolio!$F28:$J28=S$4)*(Portfolio!$F30:$J30))</f>
        <v>0</v>
      </c>
      <c r="T16" s="96">
        <f ca="1">SUMPRODUCT((Portfolio!$F28:$J28=T$4)*(Portfolio!$F30:$J30))</f>
        <v>0</v>
      </c>
      <c r="U16" s="96">
        <f ca="1">SUMPRODUCT((Portfolio!$F28:$J28=U$4)*(Portfolio!$F30:$J30))</f>
        <v>0</v>
      </c>
      <c r="V16" s="96">
        <f ca="1">SUMPRODUCT((Portfolio!$F28:$J28=V$4)*(Portfolio!$F30:$J30))</f>
        <v>0</v>
      </c>
      <c r="W16" s="97">
        <f ca="1">SUMPRODUCT((Portfolio!$F28:$J28=W$4)*(Portfolio!$F30:$J30))</f>
        <v>0</v>
      </c>
      <c r="X16" s="96">
        <f ca="1">SUMPRODUCT((Portfolio!$F28:$J28=X$4)*(Portfolio!$F30:$J30))</f>
        <v>0</v>
      </c>
      <c r="Y16" s="96">
        <f ca="1">SUMPRODUCT((Portfolio!$F28:$J28=Y$4)*(Portfolio!$F30:$J30))</f>
        <v>0</v>
      </c>
      <c r="Z16" s="96">
        <f ca="1">SUMPRODUCT((Portfolio!$F28:$J28=Z$4)*(Portfolio!$F30:$J30))</f>
        <v>0</v>
      </c>
      <c r="AA16" s="97">
        <f ca="1">SUMPRODUCT((Portfolio!$F28:$J28=AA$4)*(Portfolio!$F30:$J30))</f>
        <v>0</v>
      </c>
      <c r="AB16" s="96">
        <f ca="1">SUMPRODUCT((Portfolio!$F28:$J28=AB$4)*(Portfolio!$F30:$J30))</f>
        <v>0</v>
      </c>
      <c r="AC16" s="96">
        <f ca="1">SUMPRODUCT((Portfolio!$F28:$J28=AC$4)*(Portfolio!$F30:$J30))</f>
        <v>0</v>
      </c>
      <c r="AD16" s="96">
        <f ca="1">SUMPRODUCT((Portfolio!$F28:$J28=AD$4)*(Portfolio!$F30:$J30))</f>
        <v>0</v>
      </c>
      <c r="AE16" s="97">
        <f ca="1">SUMPRODUCT((Portfolio!$F28:$J28=AE$4)*(Portfolio!$F30:$J30))</f>
        <v>0</v>
      </c>
      <c r="AF16" s="96">
        <f ca="1">SUMPRODUCT((Portfolio!$F28:$J28=AF$4)*(Portfolio!$F30:$J30))</f>
        <v>0</v>
      </c>
      <c r="AG16" s="96">
        <f ca="1">SUMPRODUCT((Portfolio!$F28:$J28=AG$4)*(Portfolio!$F30:$J30))</f>
        <v>0</v>
      </c>
      <c r="AH16" s="96">
        <f ca="1">SUMPRODUCT((Portfolio!$F28:$J28=AH$4)*(Portfolio!$F30:$J30))</f>
        <v>0</v>
      </c>
      <c r="AI16" s="97">
        <f ca="1">SUMPRODUCT((Portfolio!$F28:$J28=AI$4)*(Portfolio!$F30:$J30))</f>
        <v>0</v>
      </c>
      <c r="AJ16" s="96">
        <f ca="1">SUMPRODUCT((Portfolio!$F28:$J28=AJ$4)*(Portfolio!$F30:$J30))</f>
        <v>0</v>
      </c>
      <c r="AK16" s="96">
        <f ca="1">SUMPRODUCT((Portfolio!$F28:$J28=AK$4)*(Portfolio!$F30:$J30))</f>
        <v>0</v>
      </c>
      <c r="AL16" s="96">
        <f ca="1">SUMPRODUCT((Portfolio!$F28:$J28=AL$4)*(Portfolio!$F30:$J30))</f>
        <v>0</v>
      </c>
      <c r="AM16" s="97">
        <f ca="1">SUMPRODUCT((Portfolio!$F28:$J28=AM$4)*(Portfolio!$F30:$J30))</f>
        <v>0</v>
      </c>
      <c r="AN16" s="96">
        <f ca="1">SUMPRODUCT((Portfolio!$F28:$J28=AN$4)*(Portfolio!$F30:$J30))</f>
        <v>0</v>
      </c>
      <c r="AO16" s="96">
        <f ca="1">SUMPRODUCT((Portfolio!$F28:$J28=AO$4)*(Portfolio!$F30:$J30))</f>
        <v>0</v>
      </c>
      <c r="AP16" s="96">
        <f ca="1">SUMPRODUCT((Portfolio!$F28:$J28=AP$4)*(Portfolio!$F30:$J30))</f>
        <v>0</v>
      </c>
      <c r="AQ16" s="97">
        <f ca="1">SUMPRODUCT((Portfolio!$F28:$J28=AQ$4)*(Portfolio!$F30:$J30))</f>
        <v>0</v>
      </c>
      <c r="AR16" s="96">
        <f ca="1">SUMPRODUCT((Portfolio!$F28:$J28=AR$4)*(Portfolio!$F30:$J30))</f>
        <v>0</v>
      </c>
      <c r="AS16" s="96">
        <f ca="1">SUMPRODUCT((Portfolio!$F28:$J28=AS$4)*(Portfolio!$F30:$J30))</f>
        <v>0</v>
      </c>
      <c r="AT16" s="96">
        <f ca="1">SUMPRODUCT((Portfolio!$F28:$J28=AT$4)*(Portfolio!$F30:$J30))</f>
        <v>0</v>
      </c>
      <c r="AU16" s="97">
        <f ca="1">SUMPRODUCT((Portfolio!$F28:$J28=AU$4)*(Portfolio!$F30:$J30))</f>
        <v>0</v>
      </c>
      <c r="AV16" s="96"/>
      <c r="AW16" s="98"/>
      <c r="AX16" s="98"/>
      <c r="AY16" s="99"/>
    </row>
    <row r="17" spans="1:51" ht="15.75" hidden="1" customHeight="1" outlineLevel="1" x14ac:dyDescent="0.2">
      <c r="A17" s="83"/>
      <c r="B17" s="92">
        <f>IF(Portfolio!C31&lt;&gt;"",Portfolio!C31,"")</f>
        <v>9</v>
      </c>
      <c r="C17" s="93" t="str">
        <f>IF(Portfolio!D31&lt;&gt;"",Portfolio!D31,"")</f>
        <v>Company 9</v>
      </c>
      <c r="D17" s="94">
        <f ca="1">SUMPRODUCT((Portfolio!$F31:$J31=D$4)*(Portfolio!$F33:$J33))</f>
        <v>0</v>
      </c>
      <c r="E17" s="94">
        <f ca="1">SUMPRODUCT((Portfolio!$F31:$J31=E$4)*(Portfolio!$F33:$J33))</f>
        <v>0</v>
      </c>
      <c r="F17" s="94">
        <f ca="1">SUMPRODUCT((Portfolio!$F31:$J31=F$4)*(Portfolio!$F33:$J33))</f>
        <v>0</v>
      </c>
      <c r="G17" s="95">
        <f ca="1">SUMPRODUCT((Portfolio!$F31:$J31=G$4)*(Portfolio!$F33:$J33))</f>
        <v>1250000</v>
      </c>
      <c r="H17" s="94">
        <f ca="1">SUMPRODUCT((Portfolio!$F31:$J31=H$4)*(Portfolio!$F33:$J33))</f>
        <v>0</v>
      </c>
      <c r="I17" s="94">
        <f ca="1">SUMPRODUCT((Portfolio!$F31:$J31=I$4)*(Portfolio!$F33:$J33))</f>
        <v>0</v>
      </c>
      <c r="J17" s="94">
        <f ca="1">SUMPRODUCT((Portfolio!$F31:$J31=J$4)*(Portfolio!$F33:$J33))</f>
        <v>0</v>
      </c>
      <c r="K17" s="95">
        <f ca="1">SUMPRODUCT((Portfolio!$F31:$J31=K$4)*(Portfolio!$F33:$J33))</f>
        <v>0</v>
      </c>
      <c r="L17" s="96">
        <f ca="1">SUMPRODUCT((Portfolio!$F31:$J31=L$4)*(Portfolio!$F33:$J33))</f>
        <v>112500</v>
      </c>
      <c r="M17" s="96">
        <f ca="1">SUMPRODUCT((Portfolio!$F31:$J31=M$4)*(Portfolio!$F33:$J33))</f>
        <v>937500</v>
      </c>
      <c r="N17" s="96">
        <f ca="1">SUMPRODUCT((Portfolio!$F31:$J31=N$4)*(Portfolio!$F33:$J33))</f>
        <v>0</v>
      </c>
      <c r="O17" s="95">
        <f ca="1">SUMPRODUCT((Portfolio!$F31:$J31=O$4)*(Portfolio!$F33:$J33))</f>
        <v>0</v>
      </c>
      <c r="P17" s="96">
        <f ca="1">SUMPRODUCT((Portfolio!$F31:$J31=P$4)*(Portfolio!$F33:$J33))</f>
        <v>0</v>
      </c>
      <c r="Q17" s="96">
        <f ca="1">SUMPRODUCT((Portfolio!$F31:$J31=Q$4)*(Portfolio!$F33:$J33))</f>
        <v>0</v>
      </c>
      <c r="R17" s="96">
        <f ca="1">SUMPRODUCT((Portfolio!$F31:$J31=R$4)*(Portfolio!$F33:$J33))</f>
        <v>0</v>
      </c>
      <c r="S17" s="97">
        <f ca="1">SUMPRODUCT((Portfolio!$F31:$J31=S$4)*(Portfolio!$F33:$J33))</f>
        <v>750000</v>
      </c>
      <c r="T17" s="96">
        <f ca="1">SUMPRODUCT((Portfolio!$F31:$J31=T$4)*(Portfolio!$F33:$J33))</f>
        <v>0</v>
      </c>
      <c r="U17" s="96">
        <f ca="1">SUMPRODUCT((Portfolio!$F31:$J31=U$4)*(Portfolio!$F33:$J33))</f>
        <v>0</v>
      </c>
      <c r="V17" s="96">
        <f ca="1">SUMPRODUCT((Portfolio!$F31:$J31=V$4)*(Portfolio!$F33:$J33))</f>
        <v>0</v>
      </c>
      <c r="W17" s="97">
        <f ca="1">SUMPRODUCT((Portfolio!$F31:$J31=W$4)*(Portfolio!$F33:$J33))</f>
        <v>0</v>
      </c>
      <c r="X17" s="96">
        <f ca="1">SUMPRODUCT((Portfolio!$F31:$J31=X$4)*(Portfolio!$F33:$J33))</f>
        <v>0</v>
      </c>
      <c r="Y17" s="96">
        <f ca="1">SUMPRODUCT((Portfolio!$F31:$J31=Y$4)*(Portfolio!$F33:$J33))</f>
        <v>0</v>
      </c>
      <c r="Z17" s="96">
        <f ca="1">SUMPRODUCT((Portfolio!$F31:$J31=Z$4)*(Portfolio!$F33:$J33))</f>
        <v>0</v>
      </c>
      <c r="AA17" s="97">
        <f ca="1">SUMPRODUCT((Portfolio!$F31:$J31=AA$4)*(Portfolio!$F33:$J33))</f>
        <v>0</v>
      </c>
      <c r="AB17" s="96">
        <f ca="1">SUMPRODUCT((Portfolio!$F31:$J31=AB$4)*(Portfolio!$F33:$J33))</f>
        <v>0</v>
      </c>
      <c r="AC17" s="96">
        <f ca="1">SUMPRODUCT((Portfolio!$F31:$J31=AC$4)*(Portfolio!$F33:$J33))</f>
        <v>0</v>
      </c>
      <c r="AD17" s="96">
        <f ca="1">SUMPRODUCT((Portfolio!$F31:$J31=AD$4)*(Portfolio!$F33:$J33))</f>
        <v>0</v>
      </c>
      <c r="AE17" s="97">
        <f ca="1">SUMPRODUCT((Portfolio!$F31:$J31=AE$4)*(Portfolio!$F33:$J33))</f>
        <v>0</v>
      </c>
      <c r="AF17" s="96">
        <f ca="1">SUMPRODUCT((Portfolio!$F31:$J31=AF$4)*(Portfolio!$F33:$J33))</f>
        <v>0</v>
      </c>
      <c r="AG17" s="96">
        <f ca="1">SUMPRODUCT((Portfolio!$F31:$J31=AG$4)*(Portfolio!$F33:$J33))</f>
        <v>0</v>
      </c>
      <c r="AH17" s="96">
        <f ca="1">SUMPRODUCT((Portfolio!$F31:$J31=AH$4)*(Portfolio!$F33:$J33))</f>
        <v>0</v>
      </c>
      <c r="AI17" s="97">
        <f ca="1">SUMPRODUCT((Portfolio!$F31:$J31=AI$4)*(Portfolio!$F33:$J33))</f>
        <v>0</v>
      </c>
      <c r="AJ17" s="96">
        <f ca="1">SUMPRODUCT((Portfolio!$F31:$J31=AJ$4)*(Portfolio!$F33:$J33))</f>
        <v>0</v>
      </c>
      <c r="AK17" s="96">
        <f ca="1">SUMPRODUCT((Portfolio!$F31:$J31=AK$4)*(Portfolio!$F33:$J33))</f>
        <v>0</v>
      </c>
      <c r="AL17" s="96">
        <f ca="1">SUMPRODUCT((Portfolio!$F31:$J31=AL$4)*(Portfolio!$F33:$J33))</f>
        <v>0</v>
      </c>
      <c r="AM17" s="97">
        <f ca="1">SUMPRODUCT((Portfolio!$F31:$J31=AM$4)*(Portfolio!$F33:$J33))</f>
        <v>0</v>
      </c>
      <c r="AN17" s="96">
        <f ca="1">SUMPRODUCT((Portfolio!$F31:$J31=AN$4)*(Portfolio!$F33:$J33))</f>
        <v>0</v>
      </c>
      <c r="AO17" s="96">
        <f ca="1">SUMPRODUCT((Portfolio!$F31:$J31=AO$4)*(Portfolio!$F33:$J33))</f>
        <v>0</v>
      </c>
      <c r="AP17" s="96">
        <f ca="1">SUMPRODUCT((Portfolio!$F31:$J31=AP$4)*(Portfolio!$F33:$J33))</f>
        <v>0</v>
      </c>
      <c r="AQ17" s="97">
        <f ca="1">SUMPRODUCT((Portfolio!$F31:$J31=AQ$4)*(Portfolio!$F33:$J33))</f>
        <v>0</v>
      </c>
      <c r="AR17" s="96">
        <f ca="1">SUMPRODUCT((Portfolio!$F31:$J31=AR$4)*(Portfolio!$F33:$J33))</f>
        <v>0</v>
      </c>
      <c r="AS17" s="96">
        <f ca="1">SUMPRODUCT((Portfolio!$F31:$J31=AS$4)*(Portfolio!$F33:$J33))</f>
        <v>0</v>
      </c>
      <c r="AT17" s="96">
        <f ca="1">SUMPRODUCT((Portfolio!$F31:$J31=AT$4)*(Portfolio!$F33:$J33))</f>
        <v>0</v>
      </c>
      <c r="AU17" s="97">
        <f ca="1">SUMPRODUCT((Portfolio!$F31:$J31=AU$4)*(Portfolio!$F33:$J33))</f>
        <v>0</v>
      </c>
      <c r="AV17" s="96"/>
      <c r="AW17" s="98"/>
      <c r="AX17" s="98"/>
      <c r="AY17" s="99"/>
    </row>
    <row r="18" spans="1:51" ht="15.75" hidden="1" customHeight="1" outlineLevel="1" x14ac:dyDescent="0.2">
      <c r="A18" s="83"/>
      <c r="B18" s="92">
        <f>IF(Portfolio!C34&lt;&gt;"",Portfolio!C34,"")</f>
        <v>10</v>
      </c>
      <c r="C18" s="93" t="str">
        <f>IF(Portfolio!D34&lt;&gt;"",Portfolio!D34,"")</f>
        <v>Company 10</v>
      </c>
      <c r="D18" s="94">
        <f ca="1">SUMPRODUCT((Portfolio!$F34:$J34=D$4)*(Portfolio!$F36:$J36))</f>
        <v>0</v>
      </c>
      <c r="E18" s="94">
        <f ca="1">SUMPRODUCT((Portfolio!$F34:$J34=E$4)*(Portfolio!$F36:$J36))</f>
        <v>0</v>
      </c>
      <c r="F18" s="94">
        <f ca="1">SUMPRODUCT((Portfolio!$F34:$J34=F$4)*(Portfolio!$F36:$J36))</f>
        <v>0</v>
      </c>
      <c r="G18" s="95">
        <f ca="1">SUMPRODUCT((Portfolio!$F34:$J34=G$4)*(Portfolio!$F36:$J36))</f>
        <v>1250000</v>
      </c>
      <c r="H18" s="94">
        <f ca="1">SUMPRODUCT((Portfolio!$F34:$J34=H$4)*(Portfolio!$F36:$J36))</f>
        <v>0</v>
      </c>
      <c r="I18" s="94">
        <f ca="1">SUMPRODUCT((Portfolio!$F34:$J34=I$4)*(Portfolio!$F36:$J36))</f>
        <v>0</v>
      </c>
      <c r="J18" s="94">
        <f ca="1">SUMPRODUCT((Portfolio!$F34:$J34=J$4)*(Portfolio!$F36:$J36))</f>
        <v>0</v>
      </c>
      <c r="K18" s="95">
        <f ca="1">SUMPRODUCT((Portfolio!$F34:$J34=K$4)*(Portfolio!$F36:$J36))</f>
        <v>0</v>
      </c>
      <c r="L18" s="96">
        <f ca="1">SUMPRODUCT((Portfolio!$F34:$J34=L$4)*(Portfolio!$F36:$J36))</f>
        <v>112500</v>
      </c>
      <c r="M18" s="96">
        <f ca="1">SUMPRODUCT((Portfolio!$F34:$J34=M$4)*(Portfolio!$F36:$J36))</f>
        <v>937500</v>
      </c>
      <c r="N18" s="96">
        <f ca="1">SUMPRODUCT((Portfolio!$F34:$J34=N$4)*(Portfolio!$F36:$J36))</f>
        <v>0</v>
      </c>
      <c r="O18" s="95">
        <f ca="1">SUMPRODUCT((Portfolio!$F34:$J34=O$4)*(Portfolio!$F36:$J36))</f>
        <v>0</v>
      </c>
      <c r="P18" s="96">
        <f ca="1">SUMPRODUCT((Portfolio!$F34:$J34=P$4)*(Portfolio!$F36:$J36))</f>
        <v>0</v>
      </c>
      <c r="Q18" s="96">
        <f ca="1">SUMPRODUCT((Portfolio!$F34:$J34=Q$4)*(Portfolio!$F36:$J36))</f>
        <v>0</v>
      </c>
      <c r="R18" s="96">
        <f ca="1">SUMPRODUCT((Portfolio!$F34:$J34=R$4)*(Portfolio!$F36:$J36))</f>
        <v>0</v>
      </c>
      <c r="S18" s="97">
        <f ca="1">SUMPRODUCT((Portfolio!$F34:$J34=S$4)*(Portfolio!$F36:$J36))</f>
        <v>750000</v>
      </c>
      <c r="T18" s="96">
        <f ca="1">SUMPRODUCT((Portfolio!$F34:$J34=T$4)*(Portfolio!$F36:$J36))</f>
        <v>0</v>
      </c>
      <c r="U18" s="96">
        <f ca="1">SUMPRODUCT((Portfolio!$F34:$J34=U$4)*(Portfolio!$F36:$J36))</f>
        <v>0</v>
      </c>
      <c r="V18" s="96">
        <f ca="1">SUMPRODUCT((Portfolio!$F34:$J34=V$4)*(Portfolio!$F36:$J36))</f>
        <v>0</v>
      </c>
      <c r="W18" s="97">
        <f ca="1">SUMPRODUCT((Portfolio!$F34:$J34=W$4)*(Portfolio!$F36:$J36))</f>
        <v>0</v>
      </c>
      <c r="X18" s="96">
        <f ca="1">SUMPRODUCT((Portfolio!$F34:$J34=X$4)*(Portfolio!$F36:$J36))</f>
        <v>0</v>
      </c>
      <c r="Y18" s="96">
        <f ca="1">SUMPRODUCT((Portfolio!$F34:$J34=Y$4)*(Portfolio!$F36:$J36))</f>
        <v>0</v>
      </c>
      <c r="Z18" s="96">
        <f ca="1">SUMPRODUCT((Portfolio!$F34:$J34=Z$4)*(Portfolio!$F36:$J36))</f>
        <v>0</v>
      </c>
      <c r="AA18" s="97">
        <f ca="1">SUMPRODUCT((Portfolio!$F34:$J34=AA$4)*(Portfolio!$F36:$J36))</f>
        <v>0</v>
      </c>
      <c r="AB18" s="96">
        <f ca="1">SUMPRODUCT((Portfolio!$F34:$J34=AB$4)*(Portfolio!$F36:$J36))</f>
        <v>0</v>
      </c>
      <c r="AC18" s="96">
        <f ca="1">SUMPRODUCT((Portfolio!$F34:$J34=AC$4)*(Portfolio!$F36:$J36))</f>
        <v>0</v>
      </c>
      <c r="AD18" s="96">
        <f ca="1">SUMPRODUCT((Portfolio!$F34:$J34=AD$4)*(Portfolio!$F36:$J36))</f>
        <v>0</v>
      </c>
      <c r="AE18" s="97">
        <f ca="1">SUMPRODUCT((Portfolio!$F34:$J34=AE$4)*(Portfolio!$F36:$J36))</f>
        <v>0</v>
      </c>
      <c r="AF18" s="96">
        <f ca="1">SUMPRODUCT((Portfolio!$F34:$J34=AF$4)*(Portfolio!$F36:$J36))</f>
        <v>0</v>
      </c>
      <c r="AG18" s="96">
        <f ca="1">SUMPRODUCT((Portfolio!$F34:$J34=AG$4)*(Portfolio!$F36:$J36))</f>
        <v>0</v>
      </c>
      <c r="AH18" s="96">
        <f ca="1">SUMPRODUCT((Portfolio!$F34:$J34=AH$4)*(Portfolio!$F36:$J36))</f>
        <v>0</v>
      </c>
      <c r="AI18" s="97">
        <f ca="1">SUMPRODUCT((Portfolio!$F34:$J34=AI$4)*(Portfolio!$F36:$J36))</f>
        <v>0</v>
      </c>
      <c r="AJ18" s="96">
        <f ca="1">SUMPRODUCT((Portfolio!$F34:$J34=AJ$4)*(Portfolio!$F36:$J36))</f>
        <v>0</v>
      </c>
      <c r="AK18" s="96">
        <f ca="1">SUMPRODUCT((Portfolio!$F34:$J34=AK$4)*(Portfolio!$F36:$J36))</f>
        <v>0</v>
      </c>
      <c r="AL18" s="96">
        <f ca="1">SUMPRODUCT((Portfolio!$F34:$J34=AL$4)*(Portfolio!$F36:$J36))</f>
        <v>0</v>
      </c>
      <c r="AM18" s="97">
        <f ca="1">SUMPRODUCT((Portfolio!$F34:$J34=AM$4)*(Portfolio!$F36:$J36))</f>
        <v>0</v>
      </c>
      <c r="AN18" s="96">
        <f ca="1">SUMPRODUCT((Portfolio!$F34:$J34=AN$4)*(Portfolio!$F36:$J36))</f>
        <v>0</v>
      </c>
      <c r="AO18" s="96">
        <f ca="1">SUMPRODUCT((Portfolio!$F34:$J34=AO$4)*(Portfolio!$F36:$J36))</f>
        <v>0</v>
      </c>
      <c r="AP18" s="96">
        <f ca="1">SUMPRODUCT((Portfolio!$F34:$J34=AP$4)*(Portfolio!$F36:$J36))</f>
        <v>0</v>
      </c>
      <c r="AQ18" s="97">
        <f ca="1">SUMPRODUCT((Portfolio!$F34:$J34=AQ$4)*(Portfolio!$F36:$J36))</f>
        <v>0</v>
      </c>
      <c r="AR18" s="96">
        <f ca="1">SUMPRODUCT((Portfolio!$F34:$J34=AR$4)*(Portfolio!$F36:$J36))</f>
        <v>0</v>
      </c>
      <c r="AS18" s="96">
        <f ca="1">SUMPRODUCT((Portfolio!$F34:$J34=AS$4)*(Portfolio!$F36:$J36))</f>
        <v>0</v>
      </c>
      <c r="AT18" s="96">
        <f ca="1">SUMPRODUCT((Portfolio!$F34:$J34=AT$4)*(Portfolio!$F36:$J36))</f>
        <v>0</v>
      </c>
      <c r="AU18" s="97">
        <f ca="1">SUMPRODUCT((Portfolio!$F34:$J34=AU$4)*(Portfolio!$F36:$J36))</f>
        <v>0</v>
      </c>
      <c r="AV18" s="96"/>
      <c r="AW18" s="98"/>
      <c r="AX18" s="98"/>
      <c r="AY18" s="99"/>
    </row>
    <row r="19" spans="1:51" ht="15.75" hidden="1" customHeight="1" outlineLevel="1" x14ac:dyDescent="0.2">
      <c r="A19" s="83"/>
      <c r="B19" s="92">
        <f>IF(Portfolio!C37&lt;&gt;"",Portfolio!C37,"")</f>
        <v>11</v>
      </c>
      <c r="C19" s="93" t="str">
        <f>IF(Portfolio!D37&lt;&gt;"",Portfolio!D37,"")</f>
        <v>Company 11</v>
      </c>
      <c r="D19" s="94">
        <f ca="1">SUMPRODUCT((Portfolio!$F37:$J37=D$4)*(Portfolio!$F39:$J39))</f>
        <v>0</v>
      </c>
      <c r="E19" s="94">
        <f ca="1">SUMPRODUCT((Portfolio!$F37:$J37=E$4)*(Portfolio!$F39:$J39))</f>
        <v>0</v>
      </c>
      <c r="F19" s="94">
        <f ca="1">SUMPRODUCT((Portfolio!$F37:$J37=F$4)*(Portfolio!$F39:$J39))</f>
        <v>0</v>
      </c>
      <c r="G19" s="95">
        <f ca="1">SUMPRODUCT((Portfolio!$F37:$J37=G$4)*(Portfolio!$F39:$J39))</f>
        <v>0</v>
      </c>
      <c r="H19" s="94">
        <f ca="1">SUMPRODUCT((Portfolio!$F37:$J37=H$4)*(Portfolio!$F39:$J39))</f>
        <v>1250000</v>
      </c>
      <c r="I19" s="94">
        <f ca="1">SUMPRODUCT((Portfolio!$F37:$J37=I$4)*(Portfolio!$F39:$J39))</f>
        <v>0</v>
      </c>
      <c r="J19" s="94">
        <f ca="1">SUMPRODUCT((Portfolio!$F37:$J37=J$4)*(Portfolio!$F39:$J39))</f>
        <v>0</v>
      </c>
      <c r="K19" s="95">
        <f ca="1">SUMPRODUCT((Portfolio!$F37:$J37=K$4)*(Portfolio!$F39:$J39))</f>
        <v>0</v>
      </c>
      <c r="L19" s="96">
        <f ca="1">SUMPRODUCT((Portfolio!$F37:$J37=L$4)*(Portfolio!$F39:$J39))</f>
        <v>0</v>
      </c>
      <c r="M19" s="96">
        <f ca="1">SUMPRODUCT((Portfolio!$F37:$J37=M$4)*(Portfolio!$F39:$J39))</f>
        <v>1050000</v>
      </c>
      <c r="N19" s="96">
        <f ca="1">SUMPRODUCT((Portfolio!$F37:$J37=N$4)*(Portfolio!$F39:$J39))</f>
        <v>0</v>
      </c>
      <c r="O19" s="95">
        <f ca="1">SUMPRODUCT((Portfolio!$F37:$J37=O$4)*(Portfolio!$F39:$J39))</f>
        <v>0</v>
      </c>
      <c r="P19" s="96">
        <f ca="1">SUMPRODUCT((Portfolio!$F37:$J37=P$4)*(Portfolio!$F39:$J39))</f>
        <v>0</v>
      </c>
      <c r="Q19" s="96">
        <f ca="1">SUMPRODUCT((Portfolio!$F37:$J37=Q$4)*(Portfolio!$F39:$J39))</f>
        <v>0</v>
      </c>
      <c r="R19" s="96">
        <f ca="1">SUMPRODUCT((Portfolio!$F37:$J37=R$4)*(Portfolio!$F39:$J39))</f>
        <v>0</v>
      </c>
      <c r="S19" s="97">
        <f ca="1">SUMPRODUCT((Portfolio!$F37:$J37=S$4)*(Portfolio!$F39:$J39))</f>
        <v>750000</v>
      </c>
      <c r="T19" s="96">
        <f ca="1">SUMPRODUCT((Portfolio!$F37:$J37=T$4)*(Portfolio!$F39:$J39))</f>
        <v>0</v>
      </c>
      <c r="U19" s="96">
        <f ca="1">SUMPRODUCT((Portfolio!$F37:$J37=U$4)*(Portfolio!$F39:$J39))</f>
        <v>0</v>
      </c>
      <c r="V19" s="96">
        <f ca="1">SUMPRODUCT((Portfolio!$F37:$J37=V$4)*(Portfolio!$F39:$J39))</f>
        <v>0</v>
      </c>
      <c r="W19" s="97">
        <f ca="1">SUMPRODUCT((Portfolio!$F37:$J37=W$4)*(Portfolio!$F39:$J39))</f>
        <v>0</v>
      </c>
      <c r="X19" s="96">
        <f ca="1">SUMPRODUCT((Portfolio!$F37:$J37=X$4)*(Portfolio!$F39:$J39))</f>
        <v>0</v>
      </c>
      <c r="Y19" s="96">
        <f ca="1">SUMPRODUCT((Portfolio!$F37:$J37=Y$4)*(Portfolio!$F39:$J39))</f>
        <v>0</v>
      </c>
      <c r="Z19" s="96">
        <f ca="1">SUMPRODUCT((Portfolio!$F37:$J37=Z$4)*(Portfolio!$F39:$J39))</f>
        <v>0</v>
      </c>
      <c r="AA19" s="97">
        <f ca="1">SUMPRODUCT((Portfolio!$F37:$J37=AA$4)*(Portfolio!$F39:$J39))</f>
        <v>0</v>
      </c>
      <c r="AB19" s="96">
        <f ca="1">SUMPRODUCT((Portfolio!$F37:$J37=AB$4)*(Portfolio!$F39:$J39))</f>
        <v>0</v>
      </c>
      <c r="AC19" s="96">
        <f ca="1">SUMPRODUCT((Portfolio!$F37:$J37=AC$4)*(Portfolio!$F39:$J39))</f>
        <v>0</v>
      </c>
      <c r="AD19" s="96">
        <f ca="1">SUMPRODUCT((Portfolio!$F37:$J37=AD$4)*(Portfolio!$F39:$J39))</f>
        <v>0</v>
      </c>
      <c r="AE19" s="97">
        <f ca="1">SUMPRODUCT((Portfolio!$F37:$J37=AE$4)*(Portfolio!$F39:$J39))</f>
        <v>0</v>
      </c>
      <c r="AF19" s="96">
        <f ca="1">SUMPRODUCT((Portfolio!$F37:$J37=AF$4)*(Portfolio!$F39:$J39))</f>
        <v>0</v>
      </c>
      <c r="AG19" s="96">
        <f ca="1">SUMPRODUCT((Portfolio!$F37:$J37=AG$4)*(Portfolio!$F39:$J39))</f>
        <v>0</v>
      </c>
      <c r="AH19" s="96">
        <f ca="1">SUMPRODUCT((Portfolio!$F37:$J37=AH$4)*(Portfolio!$F39:$J39))</f>
        <v>0</v>
      </c>
      <c r="AI19" s="97">
        <f ca="1">SUMPRODUCT((Portfolio!$F37:$J37=AI$4)*(Portfolio!$F39:$J39))</f>
        <v>0</v>
      </c>
      <c r="AJ19" s="96">
        <f ca="1">SUMPRODUCT((Portfolio!$F37:$J37=AJ$4)*(Portfolio!$F39:$J39))</f>
        <v>0</v>
      </c>
      <c r="AK19" s="96">
        <f ca="1">SUMPRODUCT((Portfolio!$F37:$J37=AK$4)*(Portfolio!$F39:$J39))</f>
        <v>0</v>
      </c>
      <c r="AL19" s="96">
        <f ca="1">SUMPRODUCT((Portfolio!$F37:$J37=AL$4)*(Portfolio!$F39:$J39))</f>
        <v>0</v>
      </c>
      <c r="AM19" s="97">
        <f ca="1">SUMPRODUCT((Portfolio!$F37:$J37=AM$4)*(Portfolio!$F39:$J39))</f>
        <v>0</v>
      </c>
      <c r="AN19" s="96">
        <f ca="1">SUMPRODUCT((Portfolio!$F37:$J37=AN$4)*(Portfolio!$F39:$J39))</f>
        <v>0</v>
      </c>
      <c r="AO19" s="96">
        <f ca="1">SUMPRODUCT((Portfolio!$F37:$J37=AO$4)*(Portfolio!$F39:$J39))</f>
        <v>0</v>
      </c>
      <c r="AP19" s="96">
        <f ca="1">SUMPRODUCT((Portfolio!$F37:$J37=AP$4)*(Portfolio!$F39:$J39))</f>
        <v>0</v>
      </c>
      <c r="AQ19" s="97">
        <f ca="1">SUMPRODUCT((Portfolio!$F37:$J37=AQ$4)*(Portfolio!$F39:$J39))</f>
        <v>0</v>
      </c>
      <c r="AR19" s="96">
        <f ca="1">SUMPRODUCT((Portfolio!$F37:$J37=AR$4)*(Portfolio!$F39:$J39))</f>
        <v>0</v>
      </c>
      <c r="AS19" s="96">
        <f ca="1">SUMPRODUCT((Portfolio!$F37:$J37=AS$4)*(Portfolio!$F39:$J39))</f>
        <v>0</v>
      </c>
      <c r="AT19" s="96">
        <f ca="1">SUMPRODUCT((Portfolio!$F37:$J37=AT$4)*(Portfolio!$F39:$J39))</f>
        <v>0</v>
      </c>
      <c r="AU19" s="97">
        <f ca="1">SUMPRODUCT((Portfolio!$F37:$J37=AU$4)*(Portfolio!$F39:$J39))</f>
        <v>0</v>
      </c>
      <c r="AV19" s="96"/>
      <c r="AW19" s="98"/>
      <c r="AX19" s="98"/>
      <c r="AY19" s="99"/>
    </row>
    <row r="20" spans="1:51" ht="15.75" hidden="1" customHeight="1" outlineLevel="1" x14ac:dyDescent="0.2">
      <c r="A20" s="83"/>
      <c r="B20" s="92">
        <f>IF(Portfolio!C40&lt;&gt;"",Portfolio!C40,"")</f>
        <v>12</v>
      </c>
      <c r="C20" s="93" t="str">
        <f>IF(Portfolio!D40&lt;&gt;"",Portfolio!D40,"")</f>
        <v>Company 12</v>
      </c>
      <c r="D20" s="94">
        <f ca="1">SUMPRODUCT((Portfolio!$F40:$J40=D$4)*(Portfolio!$F42:$J42))</f>
        <v>0</v>
      </c>
      <c r="E20" s="94">
        <f ca="1">SUMPRODUCT((Portfolio!$F40:$J40=E$4)*(Portfolio!$F42:$J42))</f>
        <v>0</v>
      </c>
      <c r="F20" s="94">
        <f ca="1">SUMPRODUCT((Portfolio!$F40:$J40=F$4)*(Portfolio!$F42:$J42))</f>
        <v>0</v>
      </c>
      <c r="G20" s="95">
        <f ca="1">SUMPRODUCT((Portfolio!$F40:$J40=G$4)*(Portfolio!$F42:$J42))</f>
        <v>0</v>
      </c>
      <c r="H20" s="94">
        <f ca="1">SUMPRODUCT((Portfolio!$F40:$J40=H$4)*(Portfolio!$F42:$J42))</f>
        <v>1250000</v>
      </c>
      <c r="I20" s="94">
        <f ca="1">SUMPRODUCT((Portfolio!$F40:$J40=I$4)*(Portfolio!$F42:$J42))</f>
        <v>0</v>
      </c>
      <c r="J20" s="94">
        <f ca="1">SUMPRODUCT((Portfolio!$F40:$J40=J$4)*(Portfolio!$F42:$J42))</f>
        <v>0</v>
      </c>
      <c r="K20" s="95">
        <f ca="1">SUMPRODUCT((Portfolio!$F40:$J40=K$4)*(Portfolio!$F42:$J42))</f>
        <v>0</v>
      </c>
      <c r="L20" s="96">
        <f ca="1">SUMPRODUCT((Portfolio!$F40:$J40=L$4)*(Portfolio!$F42:$J42))</f>
        <v>0</v>
      </c>
      <c r="M20" s="96">
        <f ca="1">SUMPRODUCT((Portfolio!$F40:$J40=M$4)*(Portfolio!$F42:$J42))</f>
        <v>112500</v>
      </c>
      <c r="N20" s="96">
        <f ca="1">SUMPRODUCT((Portfolio!$F40:$J40=N$4)*(Portfolio!$F42:$J42))</f>
        <v>937500</v>
      </c>
      <c r="O20" s="95">
        <f ca="1">SUMPRODUCT((Portfolio!$F40:$J40=O$4)*(Portfolio!$F42:$J42))</f>
        <v>0</v>
      </c>
      <c r="P20" s="96">
        <f ca="1">SUMPRODUCT((Portfolio!$F40:$J40=P$4)*(Portfolio!$F42:$J42))</f>
        <v>0</v>
      </c>
      <c r="Q20" s="96">
        <f ca="1">SUMPRODUCT((Portfolio!$F40:$J40=Q$4)*(Portfolio!$F42:$J42))</f>
        <v>0</v>
      </c>
      <c r="R20" s="96">
        <f ca="1">SUMPRODUCT((Portfolio!$F40:$J40=R$4)*(Portfolio!$F42:$J42))</f>
        <v>0</v>
      </c>
      <c r="S20" s="97">
        <f ca="1">SUMPRODUCT((Portfolio!$F40:$J40=S$4)*(Portfolio!$F42:$J42))</f>
        <v>0</v>
      </c>
      <c r="T20" s="96">
        <f ca="1">SUMPRODUCT((Portfolio!$F40:$J40=T$4)*(Portfolio!$F42:$J42))</f>
        <v>750000</v>
      </c>
      <c r="U20" s="96">
        <f ca="1">SUMPRODUCT((Portfolio!$F40:$J40=U$4)*(Portfolio!$F42:$J42))</f>
        <v>0</v>
      </c>
      <c r="V20" s="96">
        <f ca="1">SUMPRODUCT((Portfolio!$F40:$J40=V$4)*(Portfolio!$F42:$J42))</f>
        <v>0</v>
      </c>
      <c r="W20" s="97">
        <f ca="1">SUMPRODUCT((Portfolio!$F40:$J40=W$4)*(Portfolio!$F42:$J42))</f>
        <v>0</v>
      </c>
      <c r="X20" s="96">
        <f ca="1">SUMPRODUCT((Portfolio!$F40:$J40=X$4)*(Portfolio!$F42:$J42))</f>
        <v>0</v>
      </c>
      <c r="Y20" s="96">
        <f ca="1">SUMPRODUCT((Portfolio!$F40:$J40=Y$4)*(Portfolio!$F42:$J42))</f>
        <v>0</v>
      </c>
      <c r="Z20" s="96">
        <f ca="1">SUMPRODUCT((Portfolio!$F40:$J40=Z$4)*(Portfolio!$F42:$J42))</f>
        <v>0</v>
      </c>
      <c r="AA20" s="97">
        <f ca="1">SUMPRODUCT((Portfolio!$F40:$J40=AA$4)*(Portfolio!$F42:$J42))</f>
        <v>0</v>
      </c>
      <c r="AB20" s="96">
        <f ca="1">SUMPRODUCT((Portfolio!$F40:$J40=AB$4)*(Portfolio!$F42:$J42))</f>
        <v>0</v>
      </c>
      <c r="AC20" s="96">
        <f ca="1">SUMPRODUCT((Portfolio!$F40:$J40=AC$4)*(Portfolio!$F42:$J42))</f>
        <v>0</v>
      </c>
      <c r="AD20" s="96">
        <f ca="1">SUMPRODUCT((Portfolio!$F40:$J40=AD$4)*(Portfolio!$F42:$J42))</f>
        <v>0</v>
      </c>
      <c r="AE20" s="97">
        <f ca="1">SUMPRODUCT((Portfolio!$F40:$J40=AE$4)*(Portfolio!$F42:$J42))</f>
        <v>0</v>
      </c>
      <c r="AF20" s="96">
        <f ca="1">SUMPRODUCT((Portfolio!$F40:$J40=AF$4)*(Portfolio!$F42:$J42))</f>
        <v>0</v>
      </c>
      <c r="AG20" s="96">
        <f ca="1">SUMPRODUCT((Portfolio!$F40:$J40=AG$4)*(Portfolio!$F42:$J42))</f>
        <v>0</v>
      </c>
      <c r="AH20" s="96">
        <f ca="1">SUMPRODUCT((Portfolio!$F40:$J40=AH$4)*(Portfolio!$F42:$J42))</f>
        <v>0</v>
      </c>
      <c r="AI20" s="97">
        <f ca="1">SUMPRODUCT((Portfolio!$F40:$J40=AI$4)*(Portfolio!$F42:$J42))</f>
        <v>0</v>
      </c>
      <c r="AJ20" s="96">
        <f ca="1">SUMPRODUCT((Portfolio!$F40:$J40=AJ$4)*(Portfolio!$F42:$J42))</f>
        <v>0</v>
      </c>
      <c r="AK20" s="96">
        <f ca="1">SUMPRODUCT((Portfolio!$F40:$J40=AK$4)*(Portfolio!$F42:$J42))</f>
        <v>0</v>
      </c>
      <c r="AL20" s="96">
        <f ca="1">SUMPRODUCT((Portfolio!$F40:$J40=AL$4)*(Portfolio!$F42:$J42))</f>
        <v>0</v>
      </c>
      <c r="AM20" s="97">
        <f ca="1">SUMPRODUCT((Portfolio!$F40:$J40=AM$4)*(Portfolio!$F42:$J42))</f>
        <v>0</v>
      </c>
      <c r="AN20" s="96">
        <f ca="1">SUMPRODUCT((Portfolio!$F40:$J40=AN$4)*(Portfolio!$F42:$J42))</f>
        <v>0</v>
      </c>
      <c r="AO20" s="96">
        <f ca="1">SUMPRODUCT((Portfolio!$F40:$J40=AO$4)*(Portfolio!$F42:$J42))</f>
        <v>0</v>
      </c>
      <c r="AP20" s="96">
        <f ca="1">SUMPRODUCT((Portfolio!$F40:$J40=AP$4)*(Portfolio!$F42:$J42))</f>
        <v>0</v>
      </c>
      <c r="AQ20" s="97">
        <f ca="1">SUMPRODUCT((Portfolio!$F40:$J40=AQ$4)*(Portfolio!$F42:$J42))</f>
        <v>0</v>
      </c>
      <c r="AR20" s="96">
        <f ca="1">SUMPRODUCT((Portfolio!$F40:$J40=AR$4)*(Portfolio!$F42:$J42))</f>
        <v>0</v>
      </c>
      <c r="AS20" s="96">
        <f ca="1">SUMPRODUCT((Portfolio!$F40:$J40=AS$4)*(Portfolio!$F42:$J42))</f>
        <v>0</v>
      </c>
      <c r="AT20" s="96">
        <f ca="1">SUMPRODUCT((Portfolio!$F40:$J40=AT$4)*(Portfolio!$F42:$J42))</f>
        <v>0</v>
      </c>
      <c r="AU20" s="97">
        <f ca="1">SUMPRODUCT((Portfolio!$F40:$J40=AU$4)*(Portfolio!$F42:$J42))</f>
        <v>0</v>
      </c>
      <c r="AV20" s="96"/>
      <c r="AW20" s="98"/>
      <c r="AX20" s="98"/>
      <c r="AY20" s="99"/>
    </row>
    <row r="21" spans="1:51" ht="15.75" hidden="1" customHeight="1" outlineLevel="1" x14ac:dyDescent="0.2">
      <c r="A21" s="83"/>
      <c r="B21" s="92">
        <f>IF(Portfolio!C43&lt;&gt;"",Portfolio!C43,"")</f>
        <v>13</v>
      </c>
      <c r="C21" s="93" t="str">
        <f>IF(Portfolio!D43&lt;&gt;"",Portfolio!D43,"")</f>
        <v>Company 13</v>
      </c>
      <c r="D21" s="94">
        <f ca="1">SUMPRODUCT((Portfolio!$F43:$J43=D$4)*(Portfolio!$F45:$J45))</f>
        <v>0</v>
      </c>
      <c r="E21" s="94">
        <f ca="1">SUMPRODUCT((Portfolio!$F43:$J43=E$4)*(Portfolio!$F45:$J45))</f>
        <v>0</v>
      </c>
      <c r="F21" s="94">
        <f ca="1">SUMPRODUCT((Portfolio!$F43:$J43=F$4)*(Portfolio!$F45:$J45))</f>
        <v>0</v>
      </c>
      <c r="G21" s="95">
        <f ca="1">SUMPRODUCT((Portfolio!$F43:$J43=G$4)*(Portfolio!$F45:$J45))</f>
        <v>0</v>
      </c>
      <c r="H21" s="94">
        <f ca="1">SUMPRODUCT((Portfolio!$F43:$J43=H$4)*(Portfolio!$F45:$J45))</f>
        <v>0</v>
      </c>
      <c r="I21" s="94">
        <f ca="1">SUMPRODUCT((Portfolio!$F43:$J43=I$4)*(Portfolio!$F45:$J45))</f>
        <v>1250000</v>
      </c>
      <c r="J21" s="94">
        <f ca="1">SUMPRODUCT((Portfolio!$F43:$J43=J$4)*(Portfolio!$F45:$J45))</f>
        <v>0</v>
      </c>
      <c r="K21" s="95">
        <f ca="1">SUMPRODUCT((Portfolio!$F43:$J43=K$4)*(Portfolio!$F45:$J45))</f>
        <v>0</v>
      </c>
      <c r="L21" s="96">
        <f ca="1">SUMPRODUCT((Portfolio!$F43:$J43=L$4)*(Portfolio!$F45:$J45))</f>
        <v>0</v>
      </c>
      <c r="M21" s="96">
        <f ca="1">SUMPRODUCT((Portfolio!$F43:$J43=M$4)*(Portfolio!$F45:$J45))</f>
        <v>112500</v>
      </c>
      <c r="N21" s="96">
        <f ca="1">SUMPRODUCT((Portfolio!$F43:$J43=N$4)*(Portfolio!$F45:$J45))</f>
        <v>937500</v>
      </c>
      <c r="O21" s="95">
        <f ca="1">SUMPRODUCT((Portfolio!$F43:$J43=O$4)*(Portfolio!$F45:$J45))</f>
        <v>0</v>
      </c>
      <c r="P21" s="96">
        <f ca="1">SUMPRODUCT((Portfolio!$F43:$J43=P$4)*(Portfolio!$F45:$J45))</f>
        <v>0</v>
      </c>
      <c r="Q21" s="96">
        <f ca="1">SUMPRODUCT((Portfolio!$F43:$J43=Q$4)*(Portfolio!$F45:$J45))</f>
        <v>0</v>
      </c>
      <c r="R21" s="96">
        <f ca="1">SUMPRODUCT((Portfolio!$F43:$J43=R$4)*(Portfolio!$F45:$J45))</f>
        <v>0</v>
      </c>
      <c r="S21" s="97">
        <f ca="1">SUMPRODUCT((Portfolio!$F43:$J43=S$4)*(Portfolio!$F45:$J45))</f>
        <v>0</v>
      </c>
      <c r="T21" s="96">
        <f ca="1">SUMPRODUCT((Portfolio!$F43:$J43=T$4)*(Portfolio!$F45:$J45))</f>
        <v>750000</v>
      </c>
      <c r="U21" s="96">
        <f ca="1">SUMPRODUCT((Portfolio!$F43:$J43=U$4)*(Portfolio!$F45:$J45))</f>
        <v>0</v>
      </c>
      <c r="V21" s="96">
        <f ca="1">SUMPRODUCT((Portfolio!$F43:$J43=V$4)*(Portfolio!$F45:$J45))</f>
        <v>0</v>
      </c>
      <c r="W21" s="97">
        <f ca="1">SUMPRODUCT((Portfolio!$F43:$J43=W$4)*(Portfolio!$F45:$J45))</f>
        <v>0</v>
      </c>
      <c r="X21" s="96">
        <f ca="1">SUMPRODUCT((Portfolio!$F43:$J43=X$4)*(Portfolio!$F45:$J45))</f>
        <v>0</v>
      </c>
      <c r="Y21" s="96">
        <f ca="1">SUMPRODUCT((Portfolio!$F43:$J43=Y$4)*(Portfolio!$F45:$J45))</f>
        <v>0</v>
      </c>
      <c r="Z21" s="96">
        <f ca="1">SUMPRODUCT((Portfolio!$F43:$J43=Z$4)*(Portfolio!$F45:$J45))</f>
        <v>0</v>
      </c>
      <c r="AA21" s="97">
        <f ca="1">SUMPRODUCT((Portfolio!$F43:$J43=AA$4)*(Portfolio!$F45:$J45))</f>
        <v>0</v>
      </c>
      <c r="AB21" s="96">
        <f ca="1">SUMPRODUCT((Portfolio!$F43:$J43=AB$4)*(Portfolio!$F45:$J45))</f>
        <v>0</v>
      </c>
      <c r="AC21" s="96">
        <f ca="1">SUMPRODUCT((Portfolio!$F43:$J43=AC$4)*(Portfolio!$F45:$J45))</f>
        <v>0</v>
      </c>
      <c r="AD21" s="96">
        <f ca="1">SUMPRODUCT((Portfolio!$F43:$J43=AD$4)*(Portfolio!$F45:$J45))</f>
        <v>0</v>
      </c>
      <c r="AE21" s="97">
        <f ca="1">SUMPRODUCT((Portfolio!$F43:$J43=AE$4)*(Portfolio!$F45:$J45))</f>
        <v>0</v>
      </c>
      <c r="AF21" s="96">
        <f ca="1">SUMPRODUCT((Portfolio!$F43:$J43=AF$4)*(Portfolio!$F45:$J45))</f>
        <v>0</v>
      </c>
      <c r="AG21" s="96">
        <f ca="1">SUMPRODUCT((Portfolio!$F43:$J43=AG$4)*(Portfolio!$F45:$J45))</f>
        <v>0</v>
      </c>
      <c r="AH21" s="96">
        <f ca="1">SUMPRODUCT((Portfolio!$F43:$J43=AH$4)*(Portfolio!$F45:$J45))</f>
        <v>0</v>
      </c>
      <c r="AI21" s="97">
        <f ca="1">SUMPRODUCT((Portfolio!$F43:$J43=AI$4)*(Portfolio!$F45:$J45))</f>
        <v>0</v>
      </c>
      <c r="AJ21" s="96">
        <f ca="1">SUMPRODUCT((Portfolio!$F43:$J43=AJ$4)*(Portfolio!$F45:$J45))</f>
        <v>0</v>
      </c>
      <c r="AK21" s="96">
        <f ca="1">SUMPRODUCT((Portfolio!$F43:$J43=AK$4)*(Portfolio!$F45:$J45))</f>
        <v>0</v>
      </c>
      <c r="AL21" s="96">
        <f ca="1">SUMPRODUCT((Portfolio!$F43:$J43=AL$4)*(Portfolio!$F45:$J45))</f>
        <v>0</v>
      </c>
      <c r="AM21" s="97">
        <f ca="1">SUMPRODUCT((Portfolio!$F43:$J43=AM$4)*(Portfolio!$F45:$J45))</f>
        <v>0</v>
      </c>
      <c r="AN21" s="96">
        <f ca="1">SUMPRODUCT((Portfolio!$F43:$J43=AN$4)*(Portfolio!$F45:$J45))</f>
        <v>0</v>
      </c>
      <c r="AO21" s="96">
        <f ca="1">SUMPRODUCT((Portfolio!$F43:$J43=AO$4)*(Portfolio!$F45:$J45))</f>
        <v>0</v>
      </c>
      <c r="AP21" s="96">
        <f ca="1">SUMPRODUCT((Portfolio!$F43:$J43=AP$4)*(Portfolio!$F45:$J45))</f>
        <v>0</v>
      </c>
      <c r="AQ21" s="97">
        <f ca="1">SUMPRODUCT((Portfolio!$F43:$J43=AQ$4)*(Portfolio!$F45:$J45))</f>
        <v>0</v>
      </c>
      <c r="AR21" s="96">
        <f ca="1">SUMPRODUCT((Portfolio!$F43:$J43=AR$4)*(Portfolio!$F45:$J45))</f>
        <v>0</v>
      </c>
      <c r="AS21" s="96">
        <f ca="1">SUMPRODUCT((Portfolio!$F43:$J43=AS$4)*(Portfolio!$F45:$J45))</f>
        <v>0</v>
      </c>
      <c r="AT21" s="96">
        <f ca="1">SUMPRODUCT((Portfolio!$F43:$J43=AT$4)*(Portfolio!$F45:$J45))</f>
        <v>0</v>
      </c>
      <c r="AU21" s="97">
        <f ca="1">SUMPRODUCT((Portfolio!$F43:$J43=AU$4)*(Portfolio!$F45:$J45))</f>
        <v>0</v>
      </c>
      <c r="AV21" s="96"/>
      <c r="AW21" s="98"/>
      <c r="AX21" s="98"/>
      <c r="AY21" s="99"/>
    </row>
    <row r="22" spans="1:51" ht="15.75" hidden="1" customHeight="1" outlineLevel="1" x14ac:dyDescent="0.2">
      <c r="A22" s="83"/>
      <c r="B22" s="92">
        <f>IF(Portfolio!C46&lt;&gt;"",Portfolio!C46,"")</f>
        <v>14</v>
      </c>
      <c r="C22" s="93" t="str">
        <f>IF(Portfolio!D46&lt;&gt;"",Portfolio!D46,"")</f>
        <v>Company 14</v>
      </c>
      <c r="D22" s="94">
        <f ca="1">SUMPRODUCT((Portfolio!$F46:$J46=D$4)*(Portfolio!$F48:$J48))</f>
        <v>0</v>
      </c>
      <c r="E22" s="94">
        <f ca="1">SUMPRODUCT((Portfolio!$F46:$J46=E$4)*(Portfolio!$F48:$J48))</f>
        <v>0</v>
      </c>
      <c r="F22" s="94">
        <f ca="1">SUMPRODUCT((Portfolio!$F46:$J46=F$4)*(Portfolio!$F48:$J48))</f>
        <v>0</v>
      </c>
      <c r="G22" s="95">
        <f ca="1">SUMPRODUCT((Portfolio!$F46:$J46=G$4)*(Portfolio!$F48:$J48))</f>
        <v>0</v>
      </c>
      <c r="H22" s="94">
        <f ca="1">SUMPRODUCT((Portfolio!$F46:$J46=H$4)*(Portfolio!$F48:$J48))</f>
        <v>0</v>
      </c>
      <c r="I22" s="94">
        <f ca="1">SUMPRODUCT((Portfolio!$F46:$J46=I$4)*(Portfolio!$F48:$J48))</f>
        <v>1250000</v>
      </c>
      <c r="J22" s="94">
        <f ca="1">SUMPRODUCT((Portfolio!$F46:$J46=J$4)*(Portfolio!$F48:$J48))</f>
        <v>0</v>
      </c>
      <c r="K22" s="95">
        <f ca="1">SUMPRODUCT((Portfolio!$F46:$J46=K$4)*(Portfolio!$F48:$J48))</f>
        <v>0</v>
      </c>
      <c r="L22" s="96">
        <f ca="1">SUMPRODUCT((Portfolio!$F46:$J46=L$4)*(Portfolio!$F48:$J48))</f>
        <v>0</v>
      </c>
      <c r="M22" s="96">
        <f ca="1">SUMPRODUCT((Portfolio!$F46:$J46=M$4)*(Portfolio!$F48:$J48))</f>
        <v>0</v>
      </c>
      <c r="N22" s="96">
        <f ca="1">SUMPRODUCT((Portfolio!$F46:$J46=N$4)*(Portfolio!$F48:$J48))</f>
        <v>112500</v>
      </c>
      <c r="O22" s="95">
        <f ca="1">SUMPRODUCT((Portfolio!$F46:$J46=O$4)*(Portfolio!$F48:$J48))</f>
        <v>937500</v>
      </c>
      <c r="P22" s="96">
        <f ca="1">SUMPRODUCT((Portfolio!$F46:$J46=P$4)*(Portfolio!$F48:$J48))</f>
        <v>0</v>
      </c>
      <c r="Q22" s="96">
        <f ca="1">SUMPRODUCT((Portfolio!$F46:$J46=Q$4)*(Portfolio!$F48:$J48))</f>
        <v>0</v>
      </c>
      <c r="R22" s="96">
        <f ca="1">SUMPRODUCT((Portfolio!$F46:$J46=R$4)*(Portfolio!$F48:$J48))</f>
        <v>0</v>
      </c>
      <c r="S22" s="97">
        <f ca="1">SUMPRODUCT((Portfolio!$F46:$J46=S$4)*(Portfolio!$F48:$J48))</f>
        <v>0</v>
      </c>
      <c r="T22" s="96">
        <f ca="1">SUMPRODUCT((Portfolio!$F46:$J46=T$4)*(Portfolio!$F48:$J48))</f>
        <v>750000</v>
      </c>
      <c r="U22" s="96">
        <f ca="1">SUMPRODUCT((Portfolio!$F46:$J46=U$4)*(Portfolio!$F48:$J48))</f>
        <v>0</v>
      </c>
      <c r="V22" s="96">
        <f ca="1">SUMPRODUCT((Portfolio!$F46:$J46=V$4)*(Portfolio!$F48:$J48))</f>
        <v>0</v>
      </c>
      <c r="W22" s="97">
        <f ca="1">SUMPRODUCT((Portfolio!$F46:$J46=W$4)*(Portfolio!$F48:$J48))</f>
        <v>0</v>
      </c>
      <c r="X22" s="96">
        <f ca="1">SUMPRODUCT((Portfolio!$F46:$J46=X$4)*(Portfolio!$F48:$J48))</f>
        <v>0</v>
      </c>
      <c r="Y22" s="96">
        <f ca="1">SUMPRODUCT((Portfolio!$F46:$J46=Y$4)*(Portfolio!$F48:$J48))</f>
        <v>0</v>
      </c>
      <c r="Z22" s="96">
        <f ca="1">SUMPRODUCT((Portfolio!$F46:$J46=Z$4)*(Portfolio!$F48:$J48))</f>
        <v>0</v>
      </c>
      <c r="AA22" s="97">
        <f ca="1">SUMPRODUCT((Portfolio!$F46:$J46=AA$4)*(Portfolio!$F48:$J48))</f>
        <v>0</v>
      </c>
      <c r="AB22" s="96">
        <f ca="1">SUMPRODUCT((Portfolio!$F46:$J46=AB$4)*(Portfolio!$F48:$J48))</f>
        <v>0</v>
      </c>
      <c r="AC22" s="96">
        <f ca="1">SUMPRODUCT((Portfolio!$F46:$J46=AC$4)*(Portfolio!$F48:$J48))</f>
        <v>0</v>
      </c>
      <c r="AD22" s="96">
        <f ca="1">SUMPRODUCT((Portfolio!$F46:$J46=AD$4)*(Portfolio!$F48:$J48))</f>
        <v>0</v>
      </c>
      <c r="AE22" s="97">
        <f ca="1">SUMPRODUCT((Portfolio!$F46:$J46=AE$4)*(Portfolio!$F48:$J48))</f>
        <v>0</v>
      </c>
      <c r="AF22" s="96">
        <f ca="1">SUMPRODUCT((Portfolio!$F46:$J46=AF$4)*(Portfolio!$F48:$J48))</f>
        <v>0</v>
      </c>
      <c r="AG22" s="96">
        <f ca="1">SUMPRODUCT((Portfolio!$F46:$J46=AG$4)*(Portfolio!$F48:$J48))</f>
        <v>0</v>
      </c>
      <c r="AH22" s="96">
        <f ca="1">SUMPRODUCT((Portfolio!$F46:$J46=AH$4)*(Portfolio!$F48:$J48))</f>
        <v>0</v>
      </c>
      <c r="AI22" s="97">
        <f ca="1">SUMPRODUCT((Portfolio!$F46:$J46=AI$4)*(Portfolio!$F48:$J48))</f>
        <v>0</v>
      </c>
      <c r="AJ22" s="96">
        <f ca="1">SUMPRODUCT((Portfolio!$F46:$J46=AJ$4)*(Portfolio!$F48:$J48))</f>
        <v>0</v>
      </c>
      <c r="AK22" s="96">
        <f ca="1">SUMPRODUCT((Portfolio!$F46:$J46=AK$4)*(Portfolio!$F48:$J48))</f>
        <v>0</v>
      </c>
      <c r="AL22" s="96">
        <f ca="1">SUMPRODUCT((Portfolio!$F46:$J46=AL$4)*(Portfolio!$F48:$J48))</f>
        <v>0</v>
      </c>
      <c r="AM22" s="97">
        <f ca="1">SUMPRODUCT((Portfolio!$F46:$J46=AM$4)*(Portfolio!$F48:$J48))</f>
        <v>0</v>
      </c>
      <c r="AN22" s="96">
        <f ca="1">SUMPRODUCT((Portfolio!$F46:$J46=AN$4)*(Portfolio!$F48:$J48))</f>
        <v>0</v>
      </c>
      <c r="AO22" s="96">
        <f ca="1">SUMPRODUCT((Portfolio!$F46:$J46=AO$4)*(Portfolio!$F48:$J48))</f>
        <v>0</v>
      </c>
      <c r="AP22" s="96">
        <f ca="1">SUMPRODUCT((Portfolio!$F46:$J46=AP$4)*(Portfolio!$F48:$J48))</f>
        <v>0</v>
      </c>
      <c r="AQ22" s="97">
        <f ca="1">SUMPRODUCT((Portfolio!$F46:$J46=AQ$4)*(Portfolio!$F48:$J48))</f>
        <v>0</v>
      </c>
      <c r="AR22" s="96">
        <f ca="1">SUMPRODUCT((Portfolio!$F46:$J46=AR$4)*(Portfolio!$F48:$J48))</f>
        <v>0</v>
      </c>
      <c r="AS22" s="96">
        <f ca="1">SUMPRODUCT((Portfolio!$F46:$J46=AS$4)*(Portfolio!$F48:$J48))</f>
        <v>0</v>
      </c>
      <c r="AT22" s="96">
        <f ca="1">SUMPRODUCT((Portfolio!$F46:$J46=AT$4)*(Portfolio!$F48:$J48))</f>
        <v>0</v>
      </c>
      <c r="AU22" s="97">
        <f ca="1">SUMPRODUCT((Portfolio!$F46:$J46=AU$4)*(Portfolio!$F48:$J48))</f>
        <v>0</v>
      </c>
      <c r="AV22" s="96"/>
      <c r="AW22" s="98"/>
      <c r="AX22" s="98"/>
      <c r="AY22" s="99"/>
    </row>
    <row r="23" spans="1:51" ht="15.75" hidden="1" customHeight="1" outlineLevel="1" x14ac:dyDescent="0.2">
      <c r="A23" s="83"/>
      <c r="B23" s="92">
        <f>IF(Portfolio!C49&lt;&gt;"",Portfolio!C49,"")</f>
        <v>15</v>
      </c>
      <c r="C23" s="93" t="str">
        <f>IF(Portfolio!D49&lt;&gt;"",Portfolio!D49,"")</f>
        <v>Company 15</v>
      </c>
      <c r="D23" s="94">
        <f ca="1">SUMPRODUCT((Portfolio!$F49:$J49=D$4)*(Portfolio!$F51:$J51))</f>
        <v>0</v>
      </c>
      <c r="E23" s="94">
        <f ca="1">SUMPRODUCT((Portfolio!$F49:$J49=E$4)*(Portfolio!$F51:$J51))</f>
        <v>0</v>
      </c>
      <c r="F23" s="94">
        <f ca="1">SUMPRODUCT((Portfolio!$F49:$J49=F$4)*(Portfolio!$F51:$J51))</f>
        <v>0</v>
      </c>
      <c r="G23" s="95">
        <f ca="1">SUMPRODUCT((Portfolio!$F49:$J49=G$4)*(Portfolio!$F51:$J51))</f>
        <v>0</v>
      </c>
      <c r="H23" s="94">
        <f ca="1">SUMPRODUCT((Portfolio!$F49:$J49=H$4)*(Portfolio!$F51:$J51))</f>
        <v>0</v>
      </c>
      <c r="I23" s="94">
        <f ca="1">SUMPRODUCT((Portfolio!$F49:$J49=I$4)*(Portfolio!$F51:$J51))</f>
        <v>1250000</v>
      </c>
      <c r="J23" s="94">
        <f ca="1">SUMPRODUCT((Portfolio!$F49:$J49=J$4)*(Portfolio!$F51:$J51))</f>
        <v>0</v>
      </c>
      <c r="K23" s="95">
        <f ca="1">SUMPRODUCT((Portfolio!$F49:$J49=K$4)*(Portfolio!$F51:$J51))</f>
        <v>0</v>
      </c>
      <c r="L23" s="96">
        <f ca="1">SUMPRODUCT((Portfolio!$F49:$J49=L$4)*(Portfolio!$F51:$J51))</f>
        <v>0</v>
      </c>
      <c r="M23" s="96">
        <f ca="1">SUMPRODUCT((Portfolio!$F49:$J49=M$4)*(Portfolio!$F51:$J51))</f>
        <v>0</v>
      </c>
      <c r="N23" s="96">
        <f ca="1">SUMPRODUCT((Portfolio!$F49:$J49=N$4)*(Portfolio!$F51:$J51))</f>
        <v>112500</v>
      </c>
      <c r="O23" s="95">
        <f ca="1">SUMPRODUCT((Portfolio!$F49:$J49=O$4)*(Portfolio!$F51:$J51))</f>
        <v>937500</v>
      </c>
      <c r="P23" s="96">
        <f ca="1">SUMPRODUCT((Portfolio!$F49:$J49=P$4)*(Portfolio!$F51:$J51))</f>
        <v>0</v>
      </c>
      <c r="Q23" s="96">
        <f ca="1">SUMPRODUCT((Portfolio!$F49:$J49=Q$4)*(Portfolio!$F51:$J51))</f>
        <v>0</v>
      </c>
      <c r="R23" s="96">
        <f ca="1">SUMPRODUCT((Portfolio!$F49:$J49=R$4)*(Portfolio!$F51:$J51))</f>
        <v>0</v>
      </c>
      <c r="S23" s="97">
        <f ca="1">SUMPRODUCT((Portfolio!$F49:$J49=S$4)*(Portfolio!$F51:$J51))</f>
        <v>0</v>
      </c>
      <c r="T23" s="96">
        <f ca="1">SUMPRODUCT((Portfolio!$F49:$J49=T$4)*(Portfolio!$F51:$J51))</f>
        <v>0</v>
      </c>
      <c r="U23" s="96">
        <f ca="1">SUMPRODUCT((Portfolio!$F49:$J49=U$4)*(Portfolio!$F51:$J51))</f>
        <v>750000</v>
      </c>
      <c r="V23" s="96">
        <f ca="1">SUMPRODUCT((Portfolio!$F49:$J49=V$4)*(Portfolio!$F51:$J51))</f>
        <v>0</v>
      </c>
      <c r="W23" s="97">
        <f ca="1">SUMPRODUCT((Portfolio!$F49:$J49=W$4)*(Portfolio!$F51:$J51))</f>
        <v>0</v>
      </c>
      <c r="X23" s="96">
        <f ca="1">SUMPRODUCT((Portfolio!$F49:$J49=X$4)*(Portfolio!$F51:$J51))</f>
        <v>0</v>
      </c>
      <c r="Y23" s="96">
        <f ca="1">SUMPRODUCT((Portfolio!$F49:$J49=Y$4)*(Portfolio!$F51:$J51))</f>
        <v>0</v>
      </c>
      <c r="Z23" s="96">
        <f ca="1">SUMPRODUCT((Portfolio!$F49:$J49=Z$4)*(Portfolio!$F51:$J51))</f>
        <v>0</v>
      </c>
      <c r="AA23" s="97">
        <f ca="1">SUMPRODUCT((Portfolio!$F49:$J49=AA$4)*(Portfolio!$F51:$J51))</f>
        <v>0</v>
      </c>
      <c r="AB23" s="96">
        <f ca="1">SUMPRODUCT((Portfolio!$F49:$J49=AB$4)*(Portfolio!$F51:$J51))</f>
        <v>0</v>
      </c>
      <c r="AC23" s="96">
        <f ca="1">SUMPRODUCT((Portfolio!$F49:$J49=AC$4)*(Portfolio!$F51:$J51))</f>
        <v>0</v>
      </c>
      <c r="AD23" s="96">
        <f ca="1">SUMPRODUCT((Portfolio!$F49:$J49=AD$4)*(Portfolio!$F51:$J51))</f>
        <v>0</v>
      </c>
      <c r="AE23" s="97">
        <f ca="1">SUMPRODUCT((Portfolio!$F49:$J49=AE$4)*(Portfolio!$F51:$J51))</f>
        <v>0</v>
      </c>
      <c r="AF23" s="96">
        <f ca="1">SUMPRODUCT((Portfolio!$F49:$J49=AF$4)*(Portfolio!$F51:$J51))</f>
        <v>0</v>
      </c>
      <c r="AG23" s="96">
        <f ca="1">SUMPRODUCT((Portfolio!$F49:$J49=AG$4)*(Portfolio!$F51:$J51))</f>
        <v>0</v>
      </c>
      <c r="AH23" s="96">
        <f ca="1">SUMPRODUCT((Portfolio!$F49:$J49=AH$4)*(Portfolio!$F51:$J51))</f>
        <v>0</v>
      </c>
      <c r="AI23" s="97">
        <f ca="1">SUMPRODUCT((Portfolio!$F49:$J49=AI$4)*(Portfolio!$F51:$J51))</f>
        <v>0</v>
      </c>
      <c r="AJ23" s="96">
        <f ca="1">SUMPRODUCT((Portfolio!$F49:$J49=AJ$4)*(Portfolio!$F51:$J51))</f>
        <v>0</v>
      </c>
      <c r="AK23" s="96">
        <f ca="1">SUMPRODUCT((Portfolio!$F49:$J49=AK$4)*(Portfolio!$F51:$J51))</f>
        <v>0</v>
      </c>
      <c r="AL23" s="96">
        <f ca="1">SUMPRODUCT((Portfolio!$F49:$J49=AL$4)*(Portfolio!$F51:$J51))</f>
        <v>0</v>
      </c>
      <c r="AM23" s="97">
        <f ca="1">SUMPRODUCT((Portfolio!$F49:$J49=AM$4)*(Portfolio!$F51:$J51))</f>
        <v>0</v>
      </c>
      <c r="AN23" s="96">
        <f ca="1">SUMPRODUCT((Portfolio!$F49:$J49=AN$4)*(Portfolio!$F51:$J51))</f>
        <v>0</v>
      </c>
      <c r="AO23" s="96">
        <f ca="1">SUMPRODUCT((Portfolio!$F49:$J49=AO$4)*(Portfolio!$F51:$J51))</f>
        <v>0</v>
      </c>
      <c r="AP23" s="96">
        <f ca="1">SUMPRODUCT((Portfolio!$F49:$J49=AP$4)*(Portfolio!$F51:$J51))</f>
        <v>0</v>
      </c>
      <c r="AQ23" s="97">
        <f ca="1">SUMPRODUCT((Portfolio!$F49:$J49=AQ$4)*(Portfolio!$F51:$J51))</f>
        <v>0</v>
      </c>
      <c r="AR23" s="96">
        <f ca="1">SUMPRODUCT((Portfolio!$F49:$J49=AR$4)*(Portfolio!$F51:$J51))</f>
        <v>0</v>
      </c>
      <c r="AS23" s="96">
        <f ca="1">SUMPRODUCT((Portfolio!$F49:$J49=AS$4)*(Portfolio!$F51:$J51))</f>
        <v>0</v>
      </c>
      <c r="AT23" s="96">
        <f ca="1">SUMPRODUCT((Portfolio!$F49:$J49=AT$4)*(Portfolio!$F51:$J51))</f>
        <v>0</v>
      </c>
      <c r="AU23" s="97">
        <f ca="1">SUMPRODUCT((Portfolio!$F49:$J49=AU$4)*(Portfolio!$F51:$J51))</f>
        <v>0</v>
      </c>
      <c r="AV23" s="96"/>
      <c r="AW23" s="98"/>
      <c r="AX23" s="98"/>
      <c r="AY23" s="99"/>
    </row>
    <row r="24" spans="1:51" ht="15.75" hidden="1" customHeight="1" outlineLevel="1" x14ac:dyDescent="0.2">
      <c r="A24" s="83"/>
      <c r="B24" s="92">
        <f>IF(Portfolio!C52&lt;&gt;"",Portfolio!C52,"")</f>
        <v>16</v>
      </c>
      <c r="C24" s="93" t="str">
        <f>IF(Portfolio!D52&lt;&gt;"",Portfolio!D52,"")</f>
        <v>Company 16</v>
      </c>
      <c r="D24" s="94">
        <f ca="1">SUMPRODUCT((Portfolio!$F52:$J52=D$4)*(Portfolio!$F54:$J54))</f>
        <v>0</v>
      </c>
      <c r="E24" s="94">
        <f ca="1">SUMPRODUCT((Portfolio!$F52:$J52=E$4)*(Portfolio!$F54:$J54))</f>
        <v>0</v>
      </c>
      <c r="F24" s="94">
        <f ca="1">SUMPRODUCT((Portfolio!$F52:$J52=F$4)*(Portfolio!$F54:$J54))</f>
        <v>0</v>
      </c>
      <c r="G24" s="95">
        <f ca="1">SUMPRODUCT((Portfolio!$F52:$J52=G$4)*(Portfolio!$F54:$J54))</f>
        <v>0</v>
      </c>
      <c r="H24" s="94">
        <f ca="1">SUMPRODUCT((Portfolio!$F52:$J52=H$4)*(Portfolio!$F54:$J54))</f>
        <v>0</v>
      </c>
      <c r="I24" s="94">
        <f ca="1">SUMPRODUCT((Portfolio!$F52:$J52=I$4)*(Portfolio!$F54:$J54))</f>
        <v>0</v>
      </c>
      <c r="J24" s="94">
        <f ca="1">SUMPRODUCT((Portfolio!$F52:$J52=J$4)*(Portfolio!$F54:$J54))</f>
        <v>1250000</v>
      </c>
      <c r="K24" s="95">
        <f ca="1">SUMPRODUCT((Portfolio!$F52:$J52=K$4)*(Portfolio!$F54:$J54))</f>
        <v>0</v>
      </c>
      <c r="L24" s="96">
        <f ca="1">SUMPRODUCT((Portfolio!$F52:$J52=L$4)*(Portfolio!$F54:$J54))</f>
        <v>0</v>
      </c>
      <c r="M24" s="96">
        <f ca="1">SUMPRODUCT((Portfolio!$F52:$J52=M$4)*(Portfolio!$F54:$J54))</f>
        <v>0</v>
      </c>
      <c r="N24" s="96">
        <f ca="1">SUMPRODUCT((Portfolio!$F52:$J52=N$4)*(Portfolio!$F54:$J54))</f>
        <v>0</v>
      </c>
      <c r="O24" s="95">
        <f ca="1">SUMPRODUCT((Portfolio!$F52:$J52=O$4)*(Portfolio!$F54:$J54))</f>
        <v>1050000</v>
      </c>
      <c r="P24" s="96">
        <f ca="1">SUMPRODUCT((Portfolio!$F52:$J52=P$4)*(Portfolio!$F54:$J54))</f>
        <v>0</v>
      </c>
      <c r="Q24" s="96">
        <f ca="1">SUMPRODUCT((Portfolio!$F52:$J52=Q$4)*(Portfolio!$F54:$J54))</f>
        <v>0</v>
      </c>
      <c r="R24" s="96">
        <f ca="1">SUMPRODUCT((Portfolio!$F52:$J52=R$4)*(Portfolio!$F54:$J54))</f>
        <v>0</v>
      </c>
      <c r="S24" s="97">
        <f ca="1">SUMPRODUCT((Portfolio!$F52:$J52=S$4)*(Portfolio!$F54:$J54))</f>
        <v>0</v>
      </c>
      <c r="T24" s="96">
        <f ca="1">SUMPRODUCT((Portfolio!$F52:$J52=T$4)*(Portfolio!$F54:$J54))</f>
        <v>0</v>
      </c>
      <c r="U24" s="96">
        <f ca="1">SUMPRODUCT((Portfolio!$F52:$J52=U$4)*(Portfolio!$F54:$J54))</f>
        <v>750000</v>
      </c>
      <c r="V24" s="96">
        <f ca="1">SUMPRODUCT((Portfolio!$F52:$J52=V$4)*(Portfolio!$F54:$J54))</f>
        <v>0</v>
      </c>
      <c r="W24" s="97">
        <f ca="1">SUMPRODUCT((Portfolio!$F52:$J52=W$4)*(Portfolio!$F54:$J54))</f>
        <v>0</v>
      </c>
      <c r="X24" s="96">
        <f ca="1">SUMPRODUCT((Portfolio!$F52:$J52=X$4)*(Portfolio!$F54:$J54))</f>
        <v>0</v>
      </c>
      <c r="Y24" s="96">
        <f ca="1">SUMPRODUCT((Portfolio!$F52:$J52=Y$4)*(Portfolio!$F54:$J54))</f>
        <v>0</v>
      </c>
      <c r="Z24" s="96">
        <f ca="1">SUMPRODUCT((Portfolio!$F52:$J52=Z$4)*(Portfolio!$F54:$J54))</f>
        <v>0</v>
      </c>
      <c r="AA24" s="97">
        <f ca="1">SUMPRODUCT((Portfolio!$F52:$J52=AA$4)*(Portfolio!$F54:$J54))</f>
        <v>0</v>
      </c>
      <c r="AB24" s="96">
        <f ca="1">SUMPRODUCT((Portfolio!$F52:$J52=AB$4)*(Portfolio!$F54:$J54))</f>
        <v>0</v>
      </c>
      <c r="AC24" s="96">
        <f ca="1">SUMPRODUCT((Portfolio!$F52:$J52=AC$4)*(Portfolio!$F54:$J54))</f>
        <v>0</v>
      </c>
      <c r="AD24" s="96">
        <f ca="1">SUMPRODUCT((Portfolio!$F52:$J52=AD$4)*(Portfolio!$F54:$J54))</f>
        <v>0</v>
      </c>
      <c r="AE24" s="97">
        <f ca="1">SUMPRODUCT((Portfolio!$F52:$J52=AE$4)*(Portfolio!$F54:$J54))</f>
        <v>0</v>
      </c>
      <c r="AF24" s="96">
        <f ca="1">SUMPRODUCT((Portfolio!$F52:$J52=AF$4)*(Portfolio!$F54:$J54))</f>
        <v>0</v>
      </c>
      <c r="AG24" s="96">
        <f ca="1">SUMPRODUCT((Portfolio!$F52:$J52=AG$4)*(Portfolio!$F54:$J54))</f>
        <v>0</v>
      </c>
      <c r="AH24" s="96">
        <f ca="1">SUMPRODUCT((Portfolio!$F52:$J52=AH$4)*(Portfolio!$F54:$J54))</f>
        <v>0</v>
      </c>
      <c r="AI24" s="97">
        <f ca="1">SUMPRODUCT((Portfolio!$F52:$J52=AI$4)*(Portfolio!$F54:$J54))</f>
        <v>0</v>
      </c>
      <c r="AJ24" s="96">
        <f ca="1">SUMPRODUCT((Portfolio!$F52:$J52=AJ$4)*(Portfolio!$F54:$J54))</f>
        <v>0</v>
      </c>
      <c r="AK24" s="96">
        <f ca="1">SUMPRODUCT((Portfolio!$F52:$J52=AK$4)*(Portfolio!$F54:$J54))</f>
        <v>0</v>
      </c>
      <c r="AL24" s="96">
        <f ca="1">SUMPRODUCT((Portfolio!$F52:$J52=AL$4)*(Portfolio!$F54:$J54))</f>
        <v>0</v>
      </c>
      <c r="AM24" s="97">
        <f ca="1">SUMPRODUCT((Portfolio!$F52:$J52=AM$4)*(Portfolio!$F54:$J54))</f>
        <v>0</v>
      </c>
      <c r="AN24" s="96">
        <f ca="1">SUMPRODUCT((Portfolio!$F52:$J52=AN$4)*(Portfolio!$F54:$J54))</f>
        <v>0</v>
      </c>
      <c r="AO24" s="96">
        <f ca="1">SUMPRODUCT((Portfolio!$F52:$J52=AO$4)*(Portfolio!$F54:$J54))</f>
        <v>0</v>
      </c>
      <c r="AP24" s="96">
        <f ca="1">SUMPRODUCT((Portfolio!$F52:$J52=AP$4)*(Portfolio!$F54:$J54))</f>
        <v>0</v>
      </c>
      <c r="AQ24" s="97">
        <f ca="1">SUMPRODUCT((Portfolio!$F52:$J52=AQ$4)*(Portfolio!$F54:$J54))</f>
        <v>0</v>
      </c>
      <c r="AR24" s="96">
        <f ca="1">SUMPRODUCT((Portfolio!$F52:$J52=AR$4)*(Portfolio!$F54:$J54))</f>
        <v>0</v>
      </c>
      <c r="AS24" s="96">
        <f ca="1">SUMPRODUCT((Portfolio!$F52:$J52=AS$4)*(Portfolio!$F54:$J54))</f>
        <v>0</v>
      </c>
      <c r="AT24" s="96">
        <f ca="1">SUMPRODUCT((Portfolio!$F52:$J52=AT$4)*(Portfolio!$F54:$J54))</f>
        <v>0</v>
      </c>
      <c r="AU24" s="97">
        <f ca="1">SUMPRODUCT((Portfolio!$F52:$J52=AU$4)*(Portfolio!$F54:$J54))</f>
        <v>0</v>
      </c>
      <c r="AV24" s="96"/>
      <c r="AW24" s="98"/>
      <c r="AX24" s="98"/>
      <c r="AY24" s="99"/>
    </row>
    <row r="25" spans="1:51" ht="15.75" hidden="1" customHeight="1" outlineLevel="1" x14ac:dyDescent="0.2">
      <c r="A25" s="83"/>
      <c r="B25" s="92">
        <f>IF(Portfolio!C55&lt;&gt;"",Portfolio!C55,"")</f>
        <v>17</v>
      </c>
      <c r="C25" s="93" t="str">
        <f>IF(Portfolio!D55&lt;&gt;"",Portfolio!D55,"")</f>
        <v>Company 17</v>
      </c>
      <c r="D25" s="94">
        <f ca="1">SUMPRODUCT((Portfolio!$F55:$J55=D$4)*(Portfolio!$F57:$J57))</f>
        <v>0</v>
      </c>
      <c r="E25" s="94">
        <f ca="1">SUMPRODUCT((Portfolio!$F55:$J55=E$4)*(Portfolio!$F57:$J57))</f>
        <v>0</v>
      </c>
      <c r="F25" s="94">
        <f ca="1">SUMPRODUCT((Portfolio!$F55:$J55=F$4)*(Portfolio!$F57:$J57))</f>
        <v>0</v>
      </c>
      <c r="G25" s="95">
        <f ca="1">SUMPRODUCT((Portfolio!$F55:$J55=G$4)*(Portfolio!$F57:$J57))</f>
        <v>0</v>
      </c>
      <c r="H25" s="94">
        <f ca="1">SUMPRODUCT((Portfolio!$F55:$J55=H$4)*(Portfolio!$F57:$J57))</f>
        <v>0</v>
      </c>
      <c r="I25" s="94">
        <f ca="1">SUMPRODUCT((Portfolio!$F55:$J55=I$4)*(Portfolio!$F57:$J57))</f>
        <v>0</v>
      </c>
      <c r="J25" s="94">
        <f ca="1">SUMPRODUCT((Portfolio!$F55:$J55=J$4)*(Portfolio!$F57:$J57))</f>
        <v>1250000</v>
      </c>
      <c r="K25" s="95">
        <f ca="1">SUMPRODUCT((Portfolio!$F55:$J55=K$4)*(Portfolio!$F57:$J57))</f>
        <v>0</v>
      </c>
      <c r="L25" s="96">
        <f ca="1">SUMPRODUCT((Portfolio!$F55:$J55=L$4)*(Portfolio!$F57:$J57))</f>
        <v>0</v>
      </c>
      <c r="M25" s="96">
        <f ca="1">SUMPRODUCT((Portfolio!$F55:$J55=M$4)*(Portfolio!$F57:$J57))</f>
        <v>0</v>
      </c>
      <c r="N25" s="96">
        <f ca="1">SUMPRODUCT((Portfolio!$F55:$J55=N$4)*(Portfolio!$F57:$J57))</f>
        <v>0</v>
      </c>
      <c r="O25" s="95">
        <f ca="1">SUMPRODUCT((Portfolio!$F55:$J55=O$4)*(Portfolio!$F57:$J57))</f>
        <v>112500</v>
      </c>
      <c r="P25" s="96">
        <f ca="1">SUMPRODUCT((Portfolio!$F55:$J55=P$4)*(Portfolio!$F57:$J57))</f>
        <v>937500</v>
      </c>
      <c r="Q25" s="96">
        <f ca="1">SUMPRODUCT((Portfolio!$F55:$J55=Q$4)*(Portfolio!$F57:$J57))</f>
        <v>0</v>
      </c>
      <c r="R25" s="96">
        <f ca="1">SUMPRODUCT((Portfolio!$F55:$J55=R$4)*(Portfolio!$F57:$J57))</f>
        <v>0</v>
      </c>
      <c r="S25" s="97">
        <f ca="1">SUMPRODUCT((Portfolio!$F55:$J55=S$4)*(Portfolio!$F57:$J57))</f>
        <v>0</v>
      </c>
      <c r="T25" s="96">
        <f ca="1">SUMPRODUCT((Portfolio!$F55:$J55=T$4)*(Portfolio!$F57:$J57))</f>
        <v>0</v>
      </c>
      <c r="U25" s="96">
        <f ca="1">SUMPRODUCT((Portfolio!$F55:$J55=U$4)*(Portfolio!$F57:$J57))</f>
        <v>0</v>
      </c>
      <c r="V25" s="96">
        <f ca="1">SUMPRODUCT((Portfolio!$F55:$J55=V$4)*(Portfolio!$F57:$J57))</f>
        <v>750000</v>
      </c>
      <c r="W25" s="97">
        <f ca="1">SUMPRODUCT((Portfolio!$F55:$J55=W$4)*(Portfolio!$F57:$J57))</f>
        <v>0</v>
      </c>
      <c r="X25" s="96">
        <f ca="1">SUMPRODUCT((Portfolio!$F55:$J55=X$4)*(Portfolio!$F57:$J57))</f>
        <v>0</v>
      </c>
      <c r="Y25" s="96">
        <f ca="1">SUMPRODUCT((Portfolio!$F55:$J55=Y$4)*(Portfolio!$F57:$J57))</f>
        <v>0</v>
      </c>
      <c r="Z25" s="96">
        <f ca="1">SUMPRODUCT((Portfolio!$F55:$J55=Z$4)*(Portfolio!$F57:$J57))</f>
        <v>0</v>
      </c>
      <c r="AA25" s="97">
        <f ca="1">SUMPRODUCT((Portfolio!$F55:$J55=AA$4)*(Portfolio!$F57:$J57))</f>
        <v>0</v>
      </c>
      <c r="AB25" s="96">
        <f ca="1">SUMPRODUCT((Portfolio!$F55:$J55=AB$4)*(Portfolio!$F57:$J57))</f>
        <v>0</v>
      </c>
      <c r="AC25" s="96">
        <f ca="1">SUMPRODUCT((Portfolio!$F55:$J55=AC$4)*(Portfolio!$F57:$J57))</f>
        <v>0</v>
      </c>
      <c r="AD25" s="96">
        <f ca="1">SUMPRODUCT((Portfolio!$F55:$J55=AD$4)*(Portfolio!$F57:$J57))</f>
        <v>0</v>
      </c>
      <c r="AE25" s="97">
        <f ca="1">SUMPRODUCT((Portfolio!$F55:$J55=AE$4)*(Portfolio!$F57:$J57))</f>
        <v>0</v>
      </c>
      <c r="AF25" s="96">
        <f ca="1">SUMPRODUCT((Portfolio!$F55:$J55=AF$4)*(Portfolio!$F57:$J57))</f>
        <v>0</v>
      </c>
      <c r="AG25" s="96">
        <f ca="1">SUMPRODUCT((Portfolio!$F55:$J55=AG$4)*(Portfolio!$F57:$J57))</f>
        <v>0</v>
      </c>
      <c r="AH25" s="96">
        <f ca="1">SUMPRODUCT((Portfolio!$F55:$J55=AH$4)*(Portfolio!$F57:$J57))</f>
        <v>0</v>
      </c>
      <c r="AI25" s="97">
        <f ca="1">SUMPRODUCT((Portfolio!$F55:$J55=AI$4)*(Portfolio!$F57:$J57))</f>
        <v>0</v>
      </c>
      <c r="AJ25" s="96">
        <f ca="1">SUMPRODUCT((Portfolio!$F55:$J55=AJ$4)*(Portfolio!$F57:$J57))</f>
        <v>0</v>
      </c>
      <c r="AK25" s="96">
        <f ca="1">SUMPRODUCT((Portfolio!$F55:$J55=AK$4)*(Portfolio!$F57:$J57))</f>
        <v>0</v>
      </c>
      <c r="AL25" s="96">
        <f ca="1">SUMPRODUCT((Portfolio!$F55:$J55=AL$4)*(Portfolio!$F57:$J57))</f>
        <v>0</v>
      </c>
      <c r="AM25" s="97">
        <f ca="1">SUMPRODUCT((Portfolio!$F55:$J55=AM$4)*(Portfolio!$F57:$J57))</f>
        <v>0</v>
      </c>
      <c r="AN25" s="96">
        <f ca="1">SUMPRODUCT((Portfolio!$F55:$J55=AN$4)*(Portfolio!$F57:$J57))</f>
        <v>0</v>
      </c>
      <c r="AO25" s="96">
        <f ca="1">SUMPRODUCT((Portfolio!$F55:$J55=AO$4)*(Portfolio!$F57:$J57))</f>
        <v>0</v>
      </c>
      <c r="AP25" s="96">
        <f ca="1">SUMPRODUCT((Portfolio!$F55:$J55=AP$4)*(Portfolio!$F57:$J57))</f>
        <v>0</v>
      </c>
      <c r="AQ25" s="97">
        <f ca="1">SUMPRODUCT((Portfolio!$F55:$J55=AQ$4)*(Portfolio!$F57:$J57))</f>
        <v>0</v>
      </c>
      <c r="AR25" s="96">
        <f ca="1">SUMPRODUCT((Portfolio!$F55:$J55=AR$4)*(Portfolio!$F57:$J57))</f>
        <v>0</v>
      </c>
      <c r="AS25" s="96">
        <f ca="1">SUMPRODUCT((Portfolio!$F55:$J55=AS$4)*(Portfolio!$F57:$J57))</f>
        <v>0</v>
      </c>
      <c r="AT25" s="96">
        <f ca="1">SUMPRODUCT((Portfolio!$F55:$J55=AT$4)*(Portfolio!$F57:$J57))</f>
        <v>0</v>
      </c>
      <c r="AU25" s="97">
        <f ca="1">SUMPRODUCT((Portfolio!$F55:$J55=AU$4)*(Portfolio!$F57:$J57))</f>
        <v>0</v>
      </c>
      <c r="AV25" s="96"/>
      <c r="AW25" s="98"/>
      <c r="AX25" s="98"/>
      <c r="AY25" s="99"/>
    </row>
    <row r="26" spans="1:51" ht="15.75" hidden="1" customHeight="1" outlineLevel="1" x14ac:dyDescent="0.2">
      <c r="A26" s="83"/>
      <c r="B26" s="92">
        <f>IF(Portfolio!C58&lt;&gt;"",Portfolio!C58,"")</f>
        <v>18</v>
      </c>
      <c r="C26" s="93" t="str">
        <f>IF(Portfolio!D58&lt;&gt;"",Portfolio!D58,"")</f>
        <v>Company 18</v>
      </c>
      <c r="D26" s="94">
        <f ca="1">SUMPRODUCT((Portfolio!$F58:$J58=D$4)*(Portfolio!$F60:$J60))</f>
        <v>0</v>
      </c>
      <c r="E26" s="94">
        <f ca="1">SUMPRODUCT((Portfolio!$F58:$J58=E$4)*(Portfolio!$F60:$J60))</f>
        <v>0</v>
      </c>
      <c r="F26" s="94">
        <f ca="1">SUMPRODUCT((Portfolio!$F58:$J58=F$4)*(Portfolio!$F60:$J60))</f>
        <v>0</v>
      </c>
      <c r="G26" s="95">
        <f ca="1">SUMPRODUCT((Portfolio!$F58:$J58=G$4)*(Portfolio!$F60:$J60))</f>
        <v>0</v>
      </c>
      <c r="H26" s="94">
        <f ca="1">SUMPRODUCT((Portfolio!$F58:$J58=H$4)*(Portfolio!$F60:$J60))</f>
        <v>0</v>
      </c>
      <c r="I26" s="94">
        <f ca="1">SUMPRODUCT((Portfolio!$F58:$J58=I$4)*(Portfolio!$F60:$J60))</f>
        <v>0</v>
      </c>
      <c r="J26" s="94">
        <f ca="1">SUMPRODUCT((Portfolio!$F58:$J58=J$4)*(Portfolio!$F60:$J60))</f>
        <v>1250000</v>
      </c>
      <c r="K26" s="95">
        <f ca="1">SUMPRODUCT((Portfolio!$F58:$J58=K$4)*(Portfolio!$F60:$J60))</f>
        <v>0</v>
      </c>
      <c r="L26" s="96">
        <f ca="1">SUMPRODUCT((Portfolio!$F58:$J58=L$4)*(Portfolio!$F60:$J60))</f>
        <v>0</v>
      </c>
      <c r="M26" s="96">
        <f ca="1">SUMPRODUCT((Portfolio!$F58:$J58=M$4)*(Portfolio!$F60:$J60))</f>
        <v>0</v>
      </c>
      <c r="N26" s="96">
        <f ca="1">SUMPRODUCT((Portfolio!$F58:$J58=N$4)*(Portfolio!$F60:$J60))</f>
        <v>0</v>
      </c>
      <c r="O26" s="95">
        <f ca="1">SUMPRODUCT((Portfolio!$F58:$J58=O$4)*(Portfolio!$F60:$J60))</f>
        <v>112500</v>
      </c>
      <c r="P26" s="96">
        <f ca="1">SUMPRODUCT((Portfolio!$F58:$J58=P$4)*(Portfolio!$F60:$J60))</f>
        <v>937500</v>
      </c>
      <c r="Q26" s="96">
        <f ca="1">SUMPRODUCT((Portfolio!$F58:$J58=Q$4)*(Portfolio!$F60:$J60))</f>
        <v>0</v>
      </c>
      <c r="R26" s="96">
        <f ca="1">SUMPRODUCT((Portfolio!$F58:$J58=R$4)*(Portfolio!$F60:$J60))</f>
        <v>0</v>
      </c>
      <c r="S26" s="97">
        <f ca="1">SUMPRODUCT((Portfolio!$F58:$J58=S$4)*(Portfolio!$F60:$J60))</f>
        <v>0</v>
      </c>
      <c r="T26" s="96">
        <f ca="1">SUMPRODUCT((Portfolio!$F58:$J58=T$4)*(Portfolio!$F60:$J60))</f>
        <v>0</v>
      </c>
      <c r="U26" s="96">
        <f ca="1">SUMPRODUCT((Portfolio!$F58:$J58=U$4)*(Portfolio!$F60:$J60))</f>
        <v>0</v>
      </c>
      <c r="V26" s="96">
        <f ca="1">SUMPRODUCT((Portfolio!$F58:$J58=V$4)*(Portfolio!$F60:$J60))</f>
        <v>750000</v>
      </c>
      <c r="W26" s="97">
        <f ca="1">SUMPRODUCT((Portfolio!$F58:$J58=W$4)*(Portfolio!$F60:$J60))</f>
        <v>0</v>
      </c>
      <c r="X26" s="96">
        <f ca="1">SUMPRODUCT((Portfolio!$F58:$J58=X$4)*(Portfolio!$F60:$J60))</f>
        <v>0</v>
      </c>
      <c r="Y26" s="96">
        <f ca="1">SUMPRODUCT((Portfolio!$F58:$J58=Y$4)*(Portfolio!$F60:$J60))</f>
        <v>0</v>
      </c>
      <c r="Z26" s="96">
        <f ca="1">SUMPRODUCT((Portfolio!$F58:$J58=Z$4)*(Portfolio!$F60:$J60))</f>
        <v>0</v>
      </c>
      <c r="AA26" s="97">
        <f ca="1">SUMPRODUCT((Portfolio!$F58:$J58=AA$4)*(Portfolio!$F60:$J60))</f>
        <v>0</v>
      </c>
      <c r="AB26" s="96">
        <f ca="1">SUMPRODUCT((Portfolio!$F58:$J58=AB$4)*(Portfolio!$F60:$J60))</f>
        <v>0</v>
      </c>
      <c r="AC26" s="96">
        <f ca="1">SUMPRODUCT((Portfolio!$F58:$J58=AC$4)*(Portfolio!$F60:$J60))</f>
        <v>0</v>
      </c>
      <c r="AD26" s="96">
        <f ca="1">SUMPRODUCT((Portfolio!$F58:$J58=AD$4)*(Portfolio!$F60:$J60))</f>
        <v>0</v>
      </c>
      <c r="AE26" s="97">
        <f ca="1">SUMPRODUCT((Portfolio!$F58:$J58=AE$4)*(Portfolio!$F60:$J60))</f>
        <v>0</v>
      </c>
      <c r="AF26" s="96">
        <f ca="1">SUMPRODUCT((Portfolio!$F58:$J58=AF$4)*(Portfolio!$F60:$J60))</f>
        <v>0</v>
      </c>
      <c r="AG26" s="96">
        <f ca="1">SUMPRODUCT((Portfolio!$F58:$J58=AG$4)*(Portfolio!$F60:$J60))</f>
        <v>0</v>
      </c>
      <c r="AH26" s="96">
        <f ca="1">SUMPRODUCT((Portfolio!$F58:$J58=AH$4)*(Portfolio!$F60:$J60))</f>
        <v>0</v>
      </c>
      <c r="AI26" s="97">
        <f ca="1">SUMPRODUCT((Portfolio!$F58:$J58=AI$4)*(Portfolio!$F60:$J60))</f>
        <v>0</v>
      </c>
      <c r="AJ26" s="96">
        <f ca="1">SUMPRODUCT((Portfolio!$F58:$J58=AJ$4)*(Portfolio!$F60:$J60))</f>
        <v>0</v>
      </c>
      <c r="AK26" s="96">
        <f ca="1">SUMPRODUCT((Portfolio!$F58:$J58=AK$4)*(Portfolio!$F60:$J60))</f>
        <v>0</v>
      </c>
      <c r="AL26" s="96">
        <f ca="1">SUMPRODUCT((Portfolio!$F58:$J58=AL$4)*(Portfolio!$F60:$J60))</f>
        <v>0</v>
      </c>
      <c r="AM26" s="97">
        <f ca="1">SUMPRODUCT((Portfolio!$F58:$J58=AM$4)*(Portfolio!$F60:$J60))</f>
        <v>0</v>
      </c>
      <c r="AN26" s="96">
        <f ca="1">SUMPRODUCT((Portfolio!$F58:$J58=AN$4)*(Portfolio!$F60:$J60))</f>
        <v>0</v>
      </c>
      <c r="AO26" s="96">
        <f ca="1">SUMPRODUCT((Portfolio!$F58:$J58=AO$4)*(Portfolio!$F60:$J60))</f>
        <v>0</v>
      </c>
      <c r="AP26" s="96">
        <f ca="1">SUMPRODUCT((Portfolio!$F58:$J58=AP$4)*(Portfolio!$F60:$J60))</f>
        <v>0</v>
      </c>
      <c r="AQ26" s="97">
        <f ca="1">SUMPRODUCT((Portfolio!$F58:$J58=AQ$4)*(Portfolio!$F60:$J60))</f>
        <v>0</v>
      </c>
      <c r="AR26" s="96">
        <f ca="1">SUMPRODUCT((Portfolio!$F58:$J58=AR$4)*(Portfolio!$F60:$J60))</f>
        <v>0</v>
      </c>
      <c r="AS26" s="96">
        <f ca="1">SUMPRODUCT((Portfolio!$F58:$J58=AS$4)*(Portfolio!$F60:$J60))</f>
        <v>0</v>
      </c>
      <c r="AT26" s="96">
        <f ca="1">SUMPRODUCT((Portfolio!$F58:$J58=AT$4)*(Portfolio!$F60:$J60))</f>
        <v>0</v>
      </c>
      <c r="AU26" s="97">
        <f ca="1">SUMPRODUCT((Portfolio!$F58:$J58=AU$4)*(Portfolio!$F60:$J60))</f>
        <v>0</v>
      </c>
      <c r="AV26" s="96"/>
      <c r="AW26" s="98"/>
      <c r="AX26" s="98"/>
      <c r="AY26" s="99"/>
    </row>
    <row r="27" spans="1:51" ht="15.75" hidden="1" customHeight="1" outlineLevel="1" x14ac:dyDescent="0.2">
      <c r="A27" s="83"/>
      <c r="B27" s="92">
        <f>IF(Portfolio!C61&lt;&gt;"",Portfolio!C61,"")</f>
        <v>19</v>
      </c>
      <c r="C27" s="93" t="str">
        <f>IF(Portfolio!D61&lt;&gt;"",Portfolio!D61,"")</f>
        <v>Company 19</v>
      </c>
      <c r="D27" s="94">
        <f ca="1">SUMPRODUCT((Portfolio!$F61:$J61=D$4)*(Portfolio!$F63:$J63))</f>
        <v>0</v>
      </c>
      <c r="E27" s="94">
        <f ca="1">SUMPRODUCT((Portfolio!$F61:$J61=E$4)*(Portfolio!$F63:$J63))</f>
        <v>0</v>
      </c>
      <c r="F27" s="94">
        <f ca="1">SUMPRODUCT((Portfolio!$F61:$J61=F$4)*(Portfolio!$F63:$J63))</f>
        <v>0</v>
      </c>
      <c r="G27" s="95">
        <f ca="1">SUMPRODUCT((Portfolio!$F61:$J61=G$4)*(Portfolio!$F63:$J63))</f>
        <v>0</v>
      </c>
      <c r="H27" s="94">
        <f ca="1">SUMPRODUCT((Portfolio!$F61:$J61=H$4)*(Portfolio!$F63:$J63))</f>
        <v>0</v>
      </c>
      <c r="I27" s="94">
        <f ca="1">SUMPRODUCT((Portfolio!$F61:$J61=I$4)*(Portfolio!$F63:$J63))</f>
        <v>0</v>
      </c>
      <c r="J27" s="94">
        <f ca="1">SUMPRODUCT((Portfolio!$F61:$J61=J$4)*(Portfolio!$F63:$J63))</f>
        <v>0</v>
      </c>
      <c r="K27" s="95">
        <f ca="1">SUMPRODUCT((Portfolio!$F61:$J61=K$4)*(Portfolio!$F63:$J63))</f>
        <v>1250000</v>
      </c>
      <c r="L27" s="96">
        <f ca="1">SUMPRODUCT((Portfolio!$F61:$J61=L$4)*(Portfolio!$F63:$J63))</f>
        <v>0</v>
      </c>
      <c r="M27" s="96">
        <f ca="1">SUMPRODUCT((Portfolio!$F61:$J61=M$4)*(Portfolio!$F63:$J63))</f>
        <v>0</v>
      </c>
      <c r="N27" s="96">
        <f ca="1">SUMPRODUCT((Portfolio!$F61:$J61=N$4)*(Portfolio!$F63:$J63))</f>
        <v>0</v>
      </c>
      <c r="O27" s="95">
        <f ca="1">SUMPRODUCT((Portfolio!$F61:$J61=O$4)*(Portfolio!$F63:$J63))</f>
        <v>0</v>
      </c>
      <c r="P27" s="96">
        <f ca="1">SUMPRODUCT((Portfolio!$F61:$J61=P$4)*(Portfolio!$F63:$J63))</f>
        <v>112500</v>
      </c>
      <c r="Q27" s="96">
        <f ca="1">SUMPRODUCT((Portfolio!$F61:$J61=Q$4)*(Portfolio!$F63:$J63))</f>
        <v>937500</v>
      </c>
      <c r="R27" s="96">
        <f ca="1">SUMPRODUCT((Portfolio!$F61:$J61=R$4)*(Portfolio!$F63:$J63))</f>
        <v>0</v>
      </c>
      <c r="S27" s="97">
        <f ca="1">SUMPRODUCT((Portfolio!$F61:$J61=S$4)*(Portfolio!$F63:$J63))</f>
        <v>0</v>
      </c>
      <c r="T27" s="96">
        <f ca="1">SUMPRODUCT((Portfolio!$F61:$J61=T$4)*(Portfolio!$F63:$J63))</f>
        <v>0</v>
      </c>
      <c r="U27" s="96">
        <f ca="1">SUMPRODUCT((Portfolio!$F61:$J61=U$4)*(Portfolio!$F63:$J63))</f>
        <v>0</v>
      </c>
      <c r="V27" s="96">
        <f ca="1">SUMPRODUCT((Portfolio!$F61:$J61=V$4)*(Portfolio!$F63:$J63))</f>
        <v>750000</v>
      </c>
      <c r="W27" s="97">
        <f ca="1">SUMPRODUCT((Portfolio!$F61:$J61=W$4)*(Portfolio!$F63:$J63))</f>
        <v>0</v>
      </c>
      <c r="X27" s="96">
        <f ca="1">SUMPRODUCT((Portfolio!$F61:$J61=X$4)*(Portfolio!$F63:$J63))</f>
        <v>0</v>
      </c>
      <c r="Y27" s="96">
        <f ca="1">SUMPRODUCT((Portfolio!$F61:$J61=Y$4)*(Portfolio!$F63:$J63))</f>
        <v>0</v>
      </c>
      <c r="Z27" s="96">
        <f ca="1">SUMPRODUCT((Portfolio!$F61:$J61=Z$4)*(Portfolio!$F63:$J63))</f>
        <v>0</v>
      </c>
      <c r="AA27" s="97">
        <f ca="1">SUMPRODUCT((Portfolio!$F61:$J61=AA$4)*(Portfolio!$F63:$J63))</f>
        <v>0</v>
      </c>
      <c r="AB27" s="96">
        <f ca="1">SUMPRODUCT((Portfolio!$F61:$J61=AB$4)*(Portfolio!$F63:$J63))</f>
        <v>0</v>
      </c>
      <c r="AC27" s="96">
        <f ca="1">SUMPRODUCT((Portfolio!$F61:$J61=AC$4)*(Portfolio!$F63:$J63))</f>
        <v>0</v>
      </c>
      <c r="AD27" s="96">
        <f ca="1">SUMPRODUCT((Portfolio!$F61:$J61=AD$4)*(Portfolio!$F63:$J63))</f>
        <v>0</v>
      </c>
      <c r="AE27" s="97">
        <f ca="1">SUMPRODUCT((Portfolio!$F61:$J61=AE$4)*(Portfolio!$F63:$J63))</f>
        <v>0</v>
      </c>
      <c r="AF27" s="96">
        <f ca="1">SUMPRODUCT((Portfolio!$F61:$J61=AF$4)*(Portfolio!$F63:$J63))</f>
        <v>0</v>
      </c>
      <c r="AG27" s="96">
        <f ca="1">SUMPRODUCT((Portfolio!$F61:$J61=AG$4)*(Portfolio!$F63:$J63))</f>
        <v>0</v>
      </c>
      <c r="AH27" s="96">
        <f ca="1">SUMPRODUCT((Portfolio!$F61:$J61=AH$4)*(Portfolio!$F63:$J63))</f>
        <v>0</v>
      </c>
      <c r="AI27" s="97">
        <f ca="1">SUMPRODUCT((Portfolio!$F61:$J61=AI$4)*(Portfolio!$F63:$J63))</f>
        <v>0</v>
      </c>
      <c r="AJ27" s="96">
        <f ca="1">SUMPRODUCT((Portfolio!$F61:$J61=AJ$4)*(Portfolio!$F63:$J63))</f>
        <v>0</v>
      </c>
      <c r="AK27" s="96">
        <f ca="1">SUMPRODUCT((Portfolio!$F61:$J61=AK$4)*(Portfolio!$F63:$J63))</f>
        <v>0</v>
      </c>
      <c r="AL27" s="96">
        <f ca="1">SUMPRODUCT((Portfolio!$F61:$J61=AL$4)*(Portfolio!$F63:$J63))</f>
        <v>0</v>
      </c>
      <c r="AM27" s="97">
        <f ca="1">SUMPRODUCT((Portfolio!$F61:$J61=AM$4)*(Portfolio!$F63:$J63))</f>
        <v>0</v>
      </c>
      <c r="AN27" s="96">
        <f ca="1">SUMPRODUCT((Portfolio!$F61:$J61=AN$4)*(Portfolio!$F63:$J63))</f>
        <v>0</v>
      </c>
      <c r="AO27" s="96">
        <f ca="1">SUMPRODUCT((Portfolio!$F61:$J61=AO$4)*(Portfolio!$F63:$J63))</f>
        <v>0</v>
      </c>
      <c r="AP27" s="96">
        <f ca="1">SUMPRODUCT((Portfolio!$F61:$J61=AP$4)*(Portfolio!$F63:$J63))</f>
        <v>0</v>
      </c>
      <c r="AQ27" s="97">
        <f ca="1">SUMPRODUCT((Portfolio!$F61:$J61=AQ$4)*(Portfolio!$F63:$J63))</f>
        <v>0</v>
      </c>
      <c r="AR27" s="96">
        <f ca="1">SUMPRODUCT((Portfolio!$F61:$J61=AR$4)*(Portfolio!$F63:$J63))</f>
        <v>0</v>
      </c>
      <c r="AS27" s="96">
        <f ca="1">SUMPRODUCT((Portfolio!$F61:$J61=AS$4)*(Portfolio!$F63:$J63))</f>
        <v>0</v>
      </c>
      <c r="AT27" s="96">
        <f ca="1">SUMPRODUCT((Portfolio!$F61:$J61=AT$4)*(Portfolio!$F63:$J63))</f>
        <v>0</v>
      </c>
      <c r="AU27" s="97">
        <f ca="1">SUMPRODUCT((Portfolio!$F61:$J61=AU$4)*(Portfolio!$F63:$J63))</f>
        <v>0</v>
      </c>
      <c r="AV27" s="96"/>
      <c r="AW27" s="98"/>
      <c r="AX27" s="98"/>
      <c r="AY27" s="99"/>
    </row>
    <row r="28" spans="1:51" ht="15.75" hidden="1" customHeight="1" outlineLevel="1" x14ac:dyDescent="0.2">
      <c r="A28" s="83"/>
      <c r="B28" s="92">
        <f>IF(Portfolio!C64&lt;&gt;"",Portfolio!C64,"")</f>
        <v>20</v>
      </c>
      <c r="C28" s="93" t="str">
        <f>IF(Portfolio!D64&lt;&gt;"",Portfolio!D64,"")</f>
        <v>Company 20</v>
      </c>
      <c r="D28" s="94">
        <f ca="1">SUMPRODUCT((Portfolio!$F64:$J64=D$4)*(Portfolio!$F66:$J66))</f>
        <v>0</v>
      </c>
      <c r="E28" s="94">
        <f ca="1">SUMPRODUCT((Portfolio!$F64:$J64=E$4)*(Portfolio!$F66:$J66))</f>
        <v>0</v>
      </c>
      <c r="F28" s="94">
        <f ca="1">SUMPRODUCT((Portfolio!$F64:$J64=F$4)*(Portfolio!$F66:$J66))</f>
        <v>0</v>
      </c>
      <c r="G28" s="95">
        <f ca="1">SUMPRODUCT((Portfolio!$F64:$J64=G$4)*(Portfolio!$F66:$J66))</f>
        <v>0</v>
      </c>
      <c r="H28" s="94">
        <f ca="1">SUMPRODUCT((Portfolio!$F64:$J64=H$4)*(Portfolio!$F66:$J66))</f>
        <v>0</v>
      </c>
      <c r="I28" s="94">
        <f ca="1">SUMPRODUCT((Portfolio!$F64:$J64=I$4)*(Portfolio!$F66:$J66))</f>
        <v>0</v>
      </c>
      <c r="J28" s="94">
        <f ca="1">SUMPRODUCT((Portfolio!$F64:$J64=J$4)*(Portfolio!$F66:$J66))</f>
        <v>0</v>
      </c>
      <c r="K28" s="95">
        <f ca="1">SUMPRODUCT((Portfolio!$F64:$J64=K$4)*(Portfolio!$F66:$J66))</f>
        <v>1250000</v>
      </c>
      <c r="L28" s="96">
        <f ca="1">SUMPRODUCT((Portfolio!$F64:$J64=L$4)*(Portfolio!$F66:$J66))</f>
        <v>0</v>
      </c>
      <c r="M28" s="96">
        <f ca="1">SUMPRODUCT((Portfolio!$F64:$J64=M$4)*(Portfolio!$F66:$J66))</f>
        <v>0</v>
      </c>
      <c r="N28" s="96">
        <f ca="1">SUMPRODUCT((Portfolio!$F64:$J64=N$4)*(Portfolio!$F66:$J66))</f>
        <v>0</v>
      </c>
      <c r="O28" s="95">
        <f ca="1">SUMPRODUCT((Portfolio!$F64:$J64=O$4)*(Portfolio!$F66:$J66))</f>
        <v>0</v>
      </c>
      <c r="P28" s="96">
        <f ca="1">SUMPRODUCT((Portfolio!$F64:$J64=P$4)*(Portfolio!$F66:$J66))</f>
        <v>112500</v>
      </c>
      <c r="Q28" s="96">
        <f ca="1">SUMPRODUCT((Portfolio!$F64:$J64=Q$4)*(Portfolio!$F66:$J66))</f>
        <v>937500</v>
      </c>
      <c r="R28" s="96">
        <f ca="1">SUMPRODUCT((Portfolio!$F64:$J64=R$4)*(Portfolio!$F66:$J66))</f>
        <v>0</v>
      </c>
      <c r="S28" s="97">
        <f ca="1">SUMPRODUCT((Portfolio!$F64:$J64=S$4)*(Portfolio!$F66:$J66))</f>
        <v>0</v>
      </c>
      <c r="T28" s="96">
        <f ca="1">SUMPRODUCT((Portfolio!$F64:$J64=T$4)*(Portfolio!$F66:$J66))</f>
        <v>0</v>
      </c>
      <c r="U28" s="96">
        <f ca="1">SUMPRODUCT((Portfolio!$F64:$J64=U$4)*(Portfolio!$F66:$J66))</f>
        <v>0</v>
      </c>
      <c r="V28" s="96">
        <f ca="1">SUMPRODUCT((Portfolio!$F64:$J64=V$4)*(Portfolio!$F66:$J66))</f>
        <v>0</v>
      </c>
      <c r="W28" s="97">
        <f ca="1">SUMPRODUCT((Portfolio!$F64:$J64=W$4)*(Portfolio!$F66:$J66))</f>
        <v>750000</v>
      </c>
      <c r="X28" s="96">
        <f ca="1">SUMPRODUCT((Portfolio!$F64:$J64=X$4)*(Portfolio!$F66:$J66))</f>
        <v>0</v>
      </c>
      <c r="Y28" s="96">
        <f ca="1">SUMPRODUCT((Portfolio!$F64:$J64=Y$4)*(Portfolio!$F66:$J66))</f>
        <v>0</v>
      </c>
      <c r="Z28" s="96">
        <f ca="1">SUMPRODUCT((Portfolio!$F64:$J64=Z$4)*(Portfolio!$F66:$J66))</f>
        <v>0</v>
      </c>
      <c r="AA28" s="97">
        <f ca="1">SUMPRODUCT((Portfolio!$F64:$J64=AA$4)*(Portfolio!$F66:$J66))</f>
        <v>0</v>
      </c>
      <c r="AB28" s="96">
        <f ca="1">SUMPRODUCT((Portfolio!$F64:$J64=AB$4)*(Portfolio!$F66:$J66))</f>
        <v>0</v>
      </c>
      <c r="AC28" s="96">
        <f ca="1">SUMPRODUCT((Portfolio!$F64:$J64=AC$4)*(Portfolio!$F66:$J66))</f>
        <v>0</v>
      </c>
      <c r="AD28" s="96">
        <f ca="1">SUMPRODUCT((Portfolio!$F64:$J64=AD$4)*(Portfolio!$F66:$J66))</f>
        <v>0</v>
      </c>
      <c r="AE28" s="97">
        <f ca="1">SUMPRODUCT((Portfolio!$F64:$J64=AE$4)*(Portfolio!$F66:$J66))</f>
        <v>0</v>
      </c>
      <c r="AF28" s="96">
        <f ca="1">SUMPRODUCT((Portfolio!$F64:$J64=AF$4)*(Portfolio!$F66:$J66))</f>
        <v>0</v>
      </c>
      <c r="AG28" s="96">
        <f ca="1">SUMPRODUCT((Portfolio!$F64:$J64=AG$4)*(Portfolio!$F66:$J66))</f>
        <v>0</v>
      </c>
      <c r="AH28" s="96">
        <f ca="1">SUMPRODUCT((Portfolio!$F64:$J64=AH$4)*(Portfolio!$F66:$J66))</f>
        <v>0</v>
      </c>
      <c r="AI28" s="97">
        <f ca="1">SUMPRODUCT((Portfolio!$F64:$J64=AI$4)*(Portfolio!$F66:$J66))</f>
        <v>0</v>
      </c>
      <c r="AJ28" s="96">
        <f ca="1">SUMPRODUCT((Portfolio!$F64:$J64=AJ$4)*(Portfolio!$F66:$J66))</f>
        <v>0</v>
      </c>
      <c r="AK28" s="96">
        <f ca="1">SUMPRODUCT((Portfolio!$F64:$J64=AK$4)*(Portfolio!$F66:$J66))</f>
        <v>0</v>
      </c>
      <c r="AL28" s="96">
        <f ca="1">SUMPRODUCT((Portfolio!$F64:$J64=AL$4)*(Portfolio!$F66:$J66))</f>
        <v>0</v>
      </c>
      <c r="AM28" s="97">
        <f ca="1">SUMPRODUCT((Portfolio!$F64:$J64=AM$4)*(Portfolio!$F66:$J66))</f>
        <v>0</v>
      </c>
      <c r="AN28" s="96">
        <f ca="1">SUMPRODUCT((Portfolio!$F64:$J64=AN$4)*(Portfolio!$F66:$J66))</f>
        <v>0</v>
      </c>
      <c r="AO28" s="96">
        <f ca="1">SUMPRODUCT((Portfolio!$F64:$J64=AO$4)*(Portfolio!$F66:$J66))</f>
        <v>0</v>
      </c>
      <c r="AP28" s="96">
        <f ca="1">SUMPRODUCT((Portfolio!$F64:$J64=AP$4)*(Portfolio!$F66:$J66))</f>
        <v>0</v>
      </c>
      <c r="AQ28" s="97">
        <f ca="1">SUMPRODUCT((Portfolio!$F64:$J64=AQ$4)*(Portfolio!$F66:$J66))</f>
        <v>0</v>
      </c>
      <c r="AR28" s="96">
        <f ca="1">SUMPRODUCT((Portfolio!$F64:$J64=AR$4)*(Portfolio!$F66:$J66))</f>
        <v>0</v>
      </c>
      <c r="AS28" s="96">
        <f ca="1">SUMPRODUCT((Portfolio!$F64:$J64=AS$4)*(Portfolio!$F66:$J66))</f>
        <v>0</v>
      </c>
      <c r="AT28" s="96">
        <f ca="1">SUMPRODUCT((Portfolio!$F64:$J64=AT$4)*(Portfolio!$F66:$J66))</f>
        <v>0</v>
      </c>
      <c r="AU28" s="97">
        <f ca="1">SUMPRODUCT((Portfolio!$F64:$J64=AU$4)*(Portfolio!$F66:$J66))</f>
        <v>0</v>
      </c>
      <c r="AV28" s="96"/>
      <c r="AW28" s="98"/>
      <c r="AX28" s="98"/>
      <c r="AY28" s="99"/>
    </row>
    <row r="29" spans="1:51" ht="15.75" hidden="1" customHeight="1" outlineLevel="1" x14ac:dyDescent="0.2">
      <c r="A29" s="83"/>
      <c r="B29" s="92">
        <f>IF(Portfolio!C67&lt;&gt;"",Portfolio!C67,"")</f>
        <v>21</v>
      </c>
      <c r="C29" s="93" t="str">
        <f>IF(Portfolio!D67&lt;&gt;"",Portfolio!D67,"")</f>
        <v>Company 21</v>
      </c>
      <c r="D29" s="94">
        <f ca="1">SUMPRODUCT((Portfolio!$F67:$J67=D$4)*(Portfolio!$F69:$J69))</f>
        <v>0</v>
      </c>
      <c r="E29" s="94">
        <f ca="1">SUMPRODUCT((Portfolio!$F67:$J67=E$4)*(Portfolio!$F69:$J69))</f>
        <v>0</v>
      </c>
      <c r="F29" s="94">
        <f ca="1">SUMPRODUCT((Portfolio!$F67:$J67=F$4)*(Portfolio!$F69:$J69))</f>
        <v>0</v>
      </c>
      <c r="G29" s="95">
        <f ca="1">SUMPRODUCT((Portfolio!$F67:$J67=G$4)*(Portfolio!$F69:$J69))</f>
        <v>0</v>
      </c>
      <c r="H29" s="94">
        <f ca="1">SUMPRODUCT((Portfolio!$F67:$J67=H$4)*(Portfolio!$F69:$J69))</f>
        <v>0</v>
      </c>
      <c r="I29" s="94">
        <f ca="1">SUMPRODUCT((Portfolio!$F67:$J67=I$4)*(Portfolio!$F69:$J69))</f>
        <v>0</v>
      </c>
      <c r="J29" s="94">
        <f ca="1">SUMPRODUCT((Portfolio!$F67:$J67=J$4)*(Portfolio!$F69:$J69))</f>
        <v>0</v>
      </c>
      <c r="K29" s="95">
        <f ca="1">SUMPRODUCT((Portfolio!$F67:$J67=K$4)*(Portfolio!$F69:$J69))</f>
        <v>0</v>
      </c>
      <c r="L29" s="96">
        <f ca="1">SUMPRODUCT((Portfolio!$F67:$J67=L$4)*(Portfolio!$F69:$J69))</f>
        <v>1250000</v>
      </c>
      <c r="M29" s="96">
        <f ca="1">SUMPRODUCT((Portfolio!$F67:$J67=M$4)*(Portfolio!$F69:$J69))</f>
        <v>0</v>
      </c>
      <c r="N29" s="96">
        <f ca="1">SUMPRODUCT((Portfolio!$F67:$J67=N$4)*(Portfolio!$F69:$J69))</f>
        <v>0</v>
      </c>
      <c r="O29" s="95">
        <f ca="1">SUMPRODUCT((Portfolio!$F67:$J67=O$4)*(Portfolio!$F69:$J69))</f>
        <v>0</v>
      </c>
      <c r="P29" s="96">
        <f ca="1">SUMPRODUCT((Portfolio!$F67:$J67=P$4)*(Portfolio!$F69:$J69))</f>
        <v>0</v>
      </c>
      <c r="Q29" s="96">
        <f ca="1">SUMPRODUCT((Portfolio!$F67:$J67=Q$4)*(Portfolio!$F69:$J69))</f>
        <v>1050000</v>
      </c>
      <c r="R29" s="96">
        <f ca="1">SUMPRODUCT((Portfolio!$F67:$J67=R$4)*(Portfolio!$F69:$J69))</f>
        <v>0</v>
      </c>
      <c r="S29" s="97">
        <f ca="1">SUMPRODUCT((Portfolio!$F67:$J67=S$4)*(Portfolio!$F69:$J69))</f>
        <v>0</v>
      </c>
      <c r="T29" s="96">
        <f ca="1">SUMPRODUCT((Portfolio!$F67:$J67=T$4)*(Portfolio!$F69:$J69))</f>
        <v>0</v>
      </c>
      <c r="U29" s="96">
        <f ca="1">SUMPRODUCT((Portfolio!$F67:$J67=U$4)*(Portfolio!$F69:$J69))</f>
        <v>0</v>
      </c>
      <c r="V29" s="96">
        <f ca="1">SUMPRODUCT((Portfolio!$F67:$J67=V$4)*(Portfolio!$F69:$J69))</f>
        <v>0</v>
      </c>
      <c r="W29" s="97">
        <f ca="1">SUMPRODUCT((Portfolio!$F67:$J67=W$4)*(Portfolio!$F69:$J69))</f>
        <v>750000</v>
      </c>
      <c r="X29" s="96">
        <f ca="1">SUMPRODUCT((Portfolio!$F67:$J67=X$4)*(Portfolio!$F69:$J69))</f>
        <v>0</v>
      </c>
      <c r="Y29" s="96">
        <f ca="1">SUMPRODUCT((Portfolio!$F67:$J67=Y$4)*(Portfolio!$F69:$J69))</f>
        <v>0</v>
      </c>
      <c r="Z29" s="96">
        <f ca="1">SUMPRODUCT((Portfolio!$F67:$J67=Z$4)*(Portfolio!$F69:$J69))</f>
        <v>0</v>
      </c>
      <c r="AA29" s="97">
        <f ca="1">SUMPRODUCT((Portfolio!$F67:$J67=AA$4)*(Portfolio!$F69:$J69))</f>
        <v>0</v>
      </c>
      <c r="AB29" s="96">
        <f ca="1">SUMPRODUCT((Portfolio!$F67:$J67=AB$4)*(Portfolio!$F69:$J69))</f>
        <v>0</v>
      </c>
      <c r="AC29" s="96">
        <f ca="1">SUMPRODUCT((Portfolio!$F67:$J67=AC$4)*(Portfolio!$F69:$J69))</f>
        <v>0</v>
      </c>
      <c r="AD29" s="96">
        <f ca="1">SUMPRODUCT((Portfolio!$F67:$J67=AD$4)*(Portfolio!$F69:$J69))</f>
        <v>0</v>
      </c>
      <c r="AE29" s="97">
        <f ca="1">SUMPRODUCT((Portfolio!$F67:$J67=AE$4)*(Portfolio!$F69:$J69))</f>
        <v>0</v>
      </c>
      <c r="AF29" s="96">
        <f ca="1">SUMPRODUCT((Portfolio!$F67:$J67=AF$4)*(Portfolio!$F69:$J69))</f>
        <v>0</v>
      </c>
      <c r="AG29" s="96">
        <f ca="1">SUMPRODUCT((Portfolio!$F67:$J67=AG$4)*(Portfolio!$F69:$J69))</f>
        <v>0</v>
      </c>
      <c r="AH29" s="96">
        <f ca="1">SUMPRODUCT((Portfolio!$F67:$J67=AH$4)*(Portfolio!$F69:$J69))</f>
        <v>0</v>
      </c>
      <c r="AI29" s="97">
        <f ca="1">SUMPRODUCT((Portfolio!$F67:$J67=AI$4)*(Portfolio!$F69:$J69))</f>
        <v>0</v>
      </c>
      <c r="AJ29" s="96">
        <f ca="1">SUMPRODUCT((Portfolio!$F67:$J67=AJ$4)*(Portfolio!$F69:$J69))</f>
        <v>0</v>
      </c>
      <c r="AK29" s="96">
        <f ca="1">SUMPRODUCT((Portfolio!$F67:$J67=AK$4)*(Portfolio!$F69:$J69))</f>
        <v>0</v>
      </c>
      <c r="AL29" s="96">
        <f ca="1">SUMPRODUCT((Portfolio!$F67:$J67=AL$4)*(Portfolio!$F69:$J69))</f>
        <v>0</v>
      </c>
      <c r="AM29" s="97">
        <f ca="1">SUMPRODUCT((Portfolio!$F67:$J67=AM$4)*(Portfolio!$F69:$J69))</f>
        <v>0</v>
      </c>
      <c r="AN29" s="96">
        <f ca="1">SUMPRODUCT((Portfolio!$F67:$J67=AN$4)*(Portfolio!$F69:$J69))</f>
        <v>0</v>
      </c>
      <c r="AO29" s="96">
        <f ca="1">SUMPRODUCT((Portfolio!$F67:$J67=AO$4)*(Portfolio!$F69:$J69))</f>
        <v>0</v>
      </c>
      <c r="AP29" s="96">
        <f ca="1">SUMPRODUCT((Portfolio!$F67:$J67=AP$4)*(Portfolio!$F69:$J69))</f>
        <v>0</v>
      </c>
      <c r="AQ29" s="97">
        <f ca="1">SUMPRODUCT((Portfolio!$F67:$J67=AQ$4)*(Portfolio!$F69:$J69))</f>
        <v>0</v>
      </c>
      <c r="AR29" s="96">
        <f ca="1">SUMPRODUCT((Portfolio!$F67:$J67=AR$4)*(Portfolio!$F69:$J69))</f>
        <v>0</v>
      </c>
      <c r="AS29" s="96">
        <f ca="1">SUMPRODUCT((Portfolio!$F67:$J67=AS$4)*(Portfolio!$F69:$J69))</f>
        <v>0</v>
      </c>
      <c r="AT29" s="96">
        <f ca="1">SUMPRODUCT((Portfolio!$F67:$J67=AT$4)*(Portfolio!$F69:$J69))</f>
        <v>0</v>
      </c>
      <c r="AU29" s="97">
        <f ca="1">SUMPRODUCT((Portfolio!$F67:$J67=AU$4)*(Portfolio!$F69:$J69))</f>
        <v>0</v>
      </c>
      <c r="AV29" s="96"/>
      <c r="AW29" s="98"/>
      <c r="AX29" s="98"/>
      <c r="AY29" s="99"/>
    </row>
    <row r="30" spans="1:51" ht="15.75" hidden="1" customHeight="1" outlineLevel="1" x14ac:dyDescent="0.2">
      <c r="A30" s="83"/>
      <c r="B30" s="92">
        <f>IF(Portfolio!C70&lt;&gt;"",Portfolio!C70,"")</f>
        <v>22</v>
      </c>
      <c r="C30" s="93" t="str">
        <f>IF(Portfolio!D70&lt;&gt;"",Portfolio!D70,"")</f>
        <v>Company 22</v>
      </c>
      <c r="D30" s="94">
        <f ca="1">SUMPRODUCT((Portfolio!$F70:$J70=D$4)*(Portfolio!$F72:$J72))</f>
        <v>0</v>
      </c>
      <c r="E30" s="94">
        <f ca="1">SUMPRODUCT((Portfolio!$F70:$J70=E$4)*(Portfolio!$F72:$J72))</f>
        <v>0</v>
      </c>
      <c r="F30" s="94">
        <f ca="1">SUMPRODUCT((Portfolio!$F70:$J70=F$4)*(Portfolio!$F72:$J72))</f>
        <v>0</v>
      </c>
      <c r="G30" s="95">
        <f ca="1">SUMPRODUCT((Portfolio!$F70:$J70=G$4)*(Portfolio!$F72:$J72))</f>
        <v>0</v>
      </c>
      <c r="H30" s="94">
        <f ca="1">SUMPRODUCT((Portfolio!$F70:$J70=H$4)*(Portfolio!$F72:$J72))</f>
        <v>0</v>
      </c>
      <c r="I30" s="94">
        <f ca="1">SUMPRODUCT((Portfolio!$F70:$J70=I$4)*(Portfolio!$F72:$J72))</f>
        <v>0</v>
      </c>
      <c r="J30" s="94">
        <f ca="1">SUMPRODUCT((Portfolio!$F70:$J70=J$4)*(Portfolio!$F72:$J72))</f>
        <v>0</v>
      </c>
      <c r="K30" s="95">
        <f ca="1">SUMPRODUCT((Portfolio!$F70:$J70=K$4)*(Portfolio!$F72:$J72))</f>
        <v>0</v>
      </c>
      <c r="L30" s="96">
        <f ca="1">SUMPRODUCT((Portfolio!$F70:$J70=L$4)*(Portfolio!$F72:$J72))</f>
        <v>1250000</v>
      </c>
      <c r="M30" s="96">
        <f ca="1">SUMPRODUCT((Portfolio!$F70:$J70=M$4)*(Portfolio!$F72:$J72))</f>
        <v>0</v>
      </c>
      <c r="N30" s="96">
        <f ca="1">SUMPRODUCT((Portfolio!$F70:$J70=N$4)*(Portfolio!$F72:$J72))</f>
        <v>0</v>
      </c>
      <c r="O30" s="95">
        <f ca="1">SUMPRODUCT((Portfolio!$F70:$J70=O$4)*(Portfolio!$F72:$J72))</f>
        <v>0</v>
      </c>
      <c r="P30" s="96">
        <f ca="1">SUMPRODUCT((Portfolio!$F70:$J70=P$4)*(Portfolio!$F72:$J72))</f>
        <v>0</v>
      </c>
      <c r="Q30" s="96">
        <f ca="1">SUMPRODUCT((Portfolio!$F70:$J70=Q$4)*(Portfolio!$F72:$J72))</f>
        <v>112500</v>
      </c>
      <c r="R30" s="96">
        <f ca="1">SUMPRODUCT((Portfolio!$F70:$J70=R$4)*(Portfolio!$F72:$J72))</f>
        <v>937500</v>
      </c>
      <c r="S30" s="97">
        <f ca="1">SUMPRODUCT((Portfolio!$F70:$J70=S$4)*(Portfolio!$F72:$J72))</f>
        <v>0</v>
      </c>
      <c r="T30" s="96">
        <f ca="1">SUMPRODUCT((Portfolio!$F70:$J70=T$4)*(Portfolio!$F72:$J72))</f>
        <v>0</v>
      </c>
      <c r="U30" s="96">
        <f ca="1">SUMPRODUCT((Portfolio!$F70:$J70=U$4)*(Portfolio!$F72:$J72))</f>
        <v>0</v>
      </c>
      <c r="V30" s="96">
        <f ca="1">SUMPRODUCT((Portfolio!$F70:$J70=V$4)*(Portfolio!$F72:$J72))</f>
        <v>0</v>
      </c>
      <c r="W30" s="97">
        <f ca="1">SUMPRODUCT((Portfolio!$F70:$J70=W$4)*(Portfolio!$F72:$J72))</f>
        <v>0</v>
      </c>
      <c r="X30" s="96">
        <f ca="1">SUMPRODUCT((Portfolio!$F70:$J70=X$4)*(Portfolio!$F72:$J72))</f>
        <v>750000</v>
      </c>
      <c r="Y30" s="96">
        <f ca="1">SUMPRODUCT((Portfolio!$F70:$J70=Y$4)*(Portfolio!$F72:$J72))</f>
        <v>0</v>
      </c>
      <c r="Z30" s="96">
        <f ca="1">SUMPRODUCT((Portfolio!$F70:$J70=Z$4)*(Portfolio!$F72:$J72))</f>
        <v>0</v>
      </c>
      <c r="AA30" s="97">
        <f ca="1">SUMPRODUCT((Portfolio!$F70:$J70=AA$4)*(Portfolio!$F72:$J72))</f>
        <v>0</v>
      </c>
      <c r="AB30" s="96">
        <f ca="1">SUMPRODUCT((Portfolio!$F70:$J70=AB$4)*(Portfolio!$F72:$J72))</f>
        <v>0</v>
      </c>
      <c r="AC30" s="96">
        <f ca="1">SUMPRODUCT((Portfolio!$F70:$J70=AC$4)*(Portfolio!$F72:$J72))</f>
        <v>0</v>
      </c>
      <c r="AD30" s="96">
        <f ca="1">SUMPRODUCT((Portfolio!$F70:$J70=AD$4)*(Portfolio!$F72:$J72))</f>
        <v>0</v>
      </c>
      <c r="AE30" s="97">
        <f ca="1">SUMPRODUCT((Portfolio!$F70:$J70=AE$4)*(Portfolio!$F72:$J72))</f>
        <v>0</v>
      </c>
      <c r="AF30" s="96">
        <f ca="1">SUMPRODUCT((Portfolio!$F70:$J70=AF$4)*(Portfolio!$F72:$J72))</f>
        <v>0</v>
      </c>
      <c r="AG30" s="96">
        <f ca="1">SUMPRODUCT((Portfolio!$F70:$J70=AG$4)*(Portfolio!$F72:$J72))</f>
        <v>0</v>
      </c>
      <c r="AH30" s="96">
        <f ca="1">SUMPRODUCT((Portfolio!$F70:$J70=AH$4)*(Portfolio!$F72:$J72))</f>
        <v>0</v>
      </c>
      <c r="AI30" s="97">
        <f ca="1">SUMPRODUCT((Portfolio!$F70:$J70=AI$4)*(Portfolio!$F72:$J72))</f>
        <v>0</v>
      </c>
      <c r="AJ30" s="96">
        <f ca="1">SUMPRODUCT((Portfolio!$F70:$J70=AJ$4)*(Portfolio!$F72:$J72))</f>
        <v>0</v>
      </c>
      <c r="AK30" s="96">
        <f ca="1">SUMPRODUCT((Portfolio!$F70:$J70=AK$4)*(Portfolio!$F72:$J72))</f>
        <v>0</v>
      </c>
      <c r="AL30" s="96">
        <f ca="1">SUMPRODUCT((Portfolio!$F70:$J70=AL$4)*(Portfolio!$F72:$J72))</f>
        <v>0</v>
      </c>
      <c r="AM30" s="97">
        <f ca="1">SUMPRODUCT((Portfolio!$F70:$J70=AM$4)*(Portfolio!$F72:$J72))</f>
        <v>0</v>
      </c>
      <c r="AN30" s="96">
        <f ca="1">SUMPRODUCT((Portfolio!$F70:$J70=AN$4)*(Portfolio!$F72:$J72))</f>
        <v>0</v>
      </c>
      <c r="AO30" s="96">
        <f ca="1">SUMPRODUCT((Portfolio!$F70:$J70=AO$4)*(Portfolio!$F72:$J72))</f>
        <v>0</v>
      </c>
      <c r="AP30" s="96">
        <f ca="1">SUMPRODUCT((Portfolio!$F70:$J70=AP$4)*(Portfolio!$F72:$J72))</f>
        <v>0</v>
      </c>
      <c r="AQ30" s="97">
        <f ca="1">SUMPRODUCT((Portfolio!$F70:$J70=AQ$4)*(Portfolio!$F72:$J72))</f>
        <v>0</v>
      </c>
      <c r="AR30" s="96">
        <f ca="1">SUMPRODUCT((Portfolio!$F70:$J70=AR$4)*(Portfolio!$F72:$J72))</f>
        <v>0</v>
      </c>
      <c r="AS30" s="96">
        <f ca="1">SUMPRODUCT((Portfolio!$F70:$J70=AS$4)*(Portfolio!$F72:$J72))</f>
        <v>0</v>
      </c>
      <c r="AT30" s="96">
        <f ca="1">SUMPRODUCT((Portfolio!$F70:$J70=AT$4)*(Portfolio!$F72:$J72))</f>
        <v>0</v>
      </c>
      <c r="AU30" s="97">
        <f ca="1">SUMPRODUCT((Portfolio!$F70:$J70=AU$4)*(Portfolio!$F72:$J72))</f>
        <v>0</v>
      </c>
      <c r="AV30" s="96"/>
      <c r="AW30" s="98"/>
      <c r="AX30" s="98"/>
      <c r="AY30" s="99"/>
    </row>
    <row r="31" spans="1:51" ht="15.75" hidden="1" customHeight="1" outlineLevel="1" x14ac:dyDescent="0.2">
      <c r="A31" s="83"/>
      <c r="B31" s="92">
        <f>IF(Portfolio!C73&lt;&gt;"",Portfolio!C73,"")</f>
        <v>23</v>
      </c>
      <c r="C31" s="93" t="str">
        <f>IF(Portfolio!D73&lt;&gt;"",Portfolio!D73,"")</f>
        <v>Company 23</v>
      </c>
      <c r="D31" s="94">
        <f ca="1">SUMPRODUCT((Portfolio!$F73:$J73=D$4)*(Portfolio!$F75:$J75))</f>
        <v>0</v>
      </c>
      <c r="E31" s="94">
        <f ca="1">SUMPRODUCT((Portfolio!$F73:$J73=E$4)*(Portfolio!$F75:$J75))</f>
        <v>0</v>
      </c>
      <c r="F31" s="94">
        <f ca="1">SUMPRODUCT((Portfolio!$F73:$J73=F$4)*(Portfolio!$F75:$J75))</f>
        <v>0</v>
      </c>
      <c r="G31" s="95">
        <f ca="1">SUMPRODUCT((Portfolio!$F73:$J73=G$4)*(Portfolio!$F75:$J75))</f>
        <v>0</v>
      </c>
      <c r="H31" s="94">
        <f ca="1">SUMPRODUCT((Portfolio!$F73:$J73=H$4)*(Portfolio!$F75:$J75))</f>
        <v>0</v>
      </c>
      <c r="I31" s="94">
        <f ca="1">SUMPRODUCT((Portfolio!$F73:$J73=I$4)*(Portfolio!$F75:$J75))</f>
        <v>0</v>
      </c>
      <c r="J31" s="94">
        <f ca="1">SUMPRODUCT((Portfolio!$F73:$J73=J$4)*(Portfolio!$F75:$J75))</f>
        <v>0</v>
      </c>
      <c r="K31" s="95">
        <f ca="1">SUMPRODUCT((Portfolio!$F73:$J73=K$4)*(Portfolio!$F75:$J75))</f>
        <v>0</v>
      </c>
      <c r="L31" s="96">
        <f ca="1">SUMPRODUCT((Portfolio!$F73:$J73=L$4)*(Portfolio!$F75:$J75))</f>
        <v>1250000</v>
      </c>
      <c r="M31" s="96">
        <f ca="1">SUMPRODUCT((Portfolio!$F73:$J73=M$4)*(Portfolio!$F75:$J75))</f>
        <v>0</v>
      </c>
      <c r="N31" s="96">
        <f ca="1">SUMPRODUCT((Portfolio!$F73:$J73=N$4)*(Portfolio!$F75:$J75))</f>
        <v>0</v>
      </c>
      <c r="O31" s="95">
        <f ca="1">SUMPRODUCT((Portfolio!$F73:$J73=O$4)*(Portfolio!$F75:$J75))</f>
        <v>0</v>
      </c>
      <c r="P31" s="96">
        <f ca="1">SUMPRODUCT((Portfolio!$F73:$J73=P$4)*(Portfolio!$F75:$J75))</f>
        <v>0</v>
      </c>
      <c r="Q31" s="96">
        <f ca="1">SUMPRODUCT((Portfolio!$F73:$J73=Q$4)*(Portfolio!$F75:$J75))</f>
        <v>112500</v>
      </c>
      <c r="R31" s="96">
        <f ca="1">SUMPRODUCT((Portfolio!$F73:$J73=R$4)*(Portfolio!$F75:$J75))</f>
        <v>937500</v>
      </c>
      <c r="S31" s="97">
        <f ca="1">SUMPRODUCT((Portfolio!$F73:$J73=S$4)*(Portfolio!$F75:$J75))</f>
        <v>0</v>
      </c>
      <c r="T31" s="96">
        <f ca="1">SUMPRODUCT((Portfolio!$F73:$J73=T$4)*(Portfolio!$F75:$J75))</f>
        <v>0</v>
      </c>
      <c r="U31" s="96">
        <f ca="1">SUMPRODUCT((Portfolio!$F73:$J73=U$4)*(Portfolio!$F75:$J75))</f>
        <v>0</v>
      </c>
      <c r="V31" s="96">
        <f ca="1">SUMPRODUCT((Portfolio!$F73:$J73=V$4)*(Portfolio!$F75:$J75))</f>
        <v>0</v>
      </c>
      <c r="W31" s="97">
        <f ca="1">SUMPRODUCT((Portfolio!$F73:$J73=W$4)*(Portfolio!$F75:$J75))</f>
        <v>0</v>
      </c>
      <c r="X31" s="96">
        <f ca="1">SUMPRODUCT((Portfolio!$F73:$J73=X$4)*(Portfolio!$F75:$J75))</f>
        <v>750000</v>
      </c>
      <c r="Y31" s="96">
        <f ca="1">SUMPRODUCT((Portfolio!$F73:$J73=Y$4)*(Portfolio!$F75:$J75))</f>
        <v>0</v>
      </c>
      <c r="Z31" s="96">
        <f ca="1">SUMPRODUCT((Portfolio!$F73:$J73=Z$4)*(Portfolio!$F75:$J75))</f>
        <v>0</v>
      </c>
      <c r="AA31" s="97">
        <f ca="1">SUMPRODUCT((Portfolio!$F73:$J73=AA$4)*(Portfolio!$F75:$J75))</f>
        <v>0</v>
      </c>
      <c r="AB31" s="96">
        <f ca="1">SUMPRODUCT((Portfolio!$F73:$J73=AB$4)*(Portfolio!$F75:$J75))</f>
        <v>0</v>
      </c>
      <c r="AC31" s="96">
        <f ca="1">SUMPRODUCT((Portfolio!$F73:$J73=AC$4)*(Portfolio!$F75:$J75))</f>
        <v>0</v>
      </c>
      <c r="AD31" s="96">
        <f ca="1">SUMPRODUCT((Portfolio!$F73:$J73=AD$4)*(Portfolio!$F75:$J75))</f>
        <v>0</v>
      </c>
      <c r="AE31" s="97">
        <f ca="1">SUMPRODUCT((Portfolio!$F73:$J73=AE$4)*(Portfolio!$F75:$J75))</f>
        <v>0</v>
      </c>
      <c r="AF31" s="96">
        <f ca="1">SUMPRODUCT((Portfolio!$F73:$J73=AF$4)*(Portfolio!$F75:$J75))</f>
        <v>0</v>
      </c>
      <c r="AG31" s="96">
        <f ca="1">SUMPRODUCT((Portfolio!$F73:$J73=AG$4)*(Portfolio!$F75:$J75))</f>
        <v>0</v>
      </c>
      <c r="AH31" s="96">
        <f ca="1">SUMPRODUCT((Portfolio!$F73:$J73=AH$4)*(Portfolio!$F75:$J75))</f>
        <v>0</v>
      </c>
      <c r="AI31" s="97">
        <f ca="1">SUMPRODUCT((Portfolio!$F73:$J73=AI$4)*(Portfolio!$F75:$J75))</f>
        <v>0</v>
      </c>
      <c r="AJ31" s="96">
        <f ca="1">SUMPRODUCT((Portfolio!$F73:$J73=AJ$4)*(Portfolio!$F75:$J75))</f>
        <v>0</v>
      </c>
      <c r="AK31" s="96">
        <f ca="1">SUMPRODUCT((Portfolio!$F73:$J73=AK$4)*(Portfolio!$F75:$J75))</f>
        <v>0</v>
      </c>
      <c r="AL31" s="96">
        <f ca="1">SUMPRODUCT((Portfolio!$F73:$J73=AL$4)*(Portfolio!$F75:$J75))</f>
        <v>0</v>
      </c>
      <c r="AM31" s="97">
        <f ca="1">SUMPRODUCT((Portfolio!$F73:$J73=AM$4)*(Portfolio!$F75:$J75))</f>
        <v>0</v>
      </c>
      <c r="AN31" s="96">
        <f ca="1">SUMPRODUCT((Portfolio!$F73:$J73=AN$4)*(Portfolio!$F75:$J75))</f>
        <v>0</v>
      </c>
      <c r="AO31" s="96">
        <f ca="1">SUMPRODUCT((Portfolio!$F73:$J73=AO$4)*(Portfolio!$F75:$J75))</f>
        <v>0</v>
      </c>
      <c r="AP31" s="96">
        <f ca="1">SUMPRODUCT((Portfolio!$F73:$J73=AP$4)*(Portfolio!$F75:$J75))</f>
        <v>0</v>
      </c>
      <c r="AQ31" s="97">
        <f ca="1">SUMPRODUCT((Portfolio!$F73:$J73=AQ$4)*(Portfolio!$F75:$J75))</f>
        <v>0</v>
      </c>
      <c r="AR31" s="96">
        <f ca="1">SUMPRODUCT((Portfolio!$F73:$J73=AR$4)*(Portfolio!$F75:$J75))</f>
        <v>0</v>
      </c>
      <c r="AS31" s="96">
        <f ca="1">SUMPRODUCT((Portfolio!$F73:$J73=AS$4)*(Portfolio!$F75:$J75))</f>
        <v>0</v>
      </c>
      <c r="AT31" s="96">
        <f ca="1">SUMPRODUCT((Portfolio!$F73:$J73=AT$4)*(Portfolio!$F75:$J75))</f>
        <v>0</v>
      </c>
      <c r="AU31" s="97">
        <f ca="1">SUMPRODUCT((Portfolio!$F73:$J73=AU$4)*(Portfolio!$F75:$J75))</f>
        <v>0</v>
      </c>
      <c r="AV31" s="96"/>
      <c r="AW31" s="98"/>
      <c r="AX31" s="98"/>
      <c r="AY31" s="99"/>
    </row>
    <row r="32" spans="1:51" ht="15.75" hidden="1" customHeight="1" outlineLevel="1" x14ac:dyDescent="0.2">
      <c r="A32" s="83"/>
      <c r="B32" s="92">
        <f>IF(Portfolio!C76&lt;&gt;"",Portfolio!C76,"")</f>
        <v>24</v>
      </c>
      <c r="C32" s="93" t="str">
        <f>IF(Portfolio!D76&lt;&gt;"",Portfolio!D76,"")</f>
        <v>Company 24</v>
      </c>
      <c r="D32" s="94">
        <f ca="1">SUMPRODUCT((Portfolio!$F76:$J76=D$4)*(Portfolio!$F78:$J78))</f>
        <v>0</v>
      </c>
      <c r="E32" s="94">
        <f ca="1">SUMPRODUCT((Portfolio!$F76:$J76=E$4)*(Portfolio!$F78:$J78))</f>
        <v>0</v>
      </c>
      <c r="F32" s="94">
        <f ca="1">SUMPRODUCT((Portfolio!$F76:$J76=F$4)*(Portfolio!$F78:$J78))</f>
        <v>0</v>
      </c>
      <c r="G32" s="95">
        <f ca="1">SUMPRODUCT((Portfolio!$F76:$J76=G$4)*(Portfolio!$F78:$J78))</f>
        <v>0</v>
      </c>
      <c r="H32" s="94">
        <f ca="1">SUMPRODUCT((Portfolio!$F76:$J76=H$4)*(Portfolio!$F78:$J78))</f>
        <v>0</v>
      </c>
      <c r="I32" s="94">
        <f ca="1">SUMPRODUCT((Portfolio!$F76:$J76=I$4)*(Portfolio!$F78:$J78))</f>
        <v>0</v>
      </c>
      <c r="J32" s="94">
        <f ca="1">SUMPRODUCT((Portfolio!$F76:$J76=J$4)*(Portfolio!$F78:$J78))</f>
        <v>0</v>
      </c>
      <c r="K32" s="95">
        <f ca="1">SUMPRODUCT((Portfolio!$F76:$J76=K$4)*(Portfolio!$F78:$J78))</f>
        <v>0</v>
      </c>
      <c r="L32" s="96">
        <f ca="1">SUMPRODUCT((Portfolio!$F76:$J76=L$4)*(Portfolio!$F78:$J78))</f>
        <v>0</v>
      </c>
      <c r="M32" s="96">
        <f ca="1">SUMPRODUCT((Portfolio!$F76:$J76=M$4)*(Portfolio!$F78:$J78))</f>
        <v>1250000</v>
      </c>
      <c r="N32" s="96">
        <f ca="1">SUMPRODUCT((Portfolio!$F76:$J76=N$4)*(Portfolio!$F78:$J78))</f>
        <v>0</v>
      </c>
      <c r="O32" s="95">
        <f ca="1">SUMPRODUCT((Portfolio!$F76:$J76=O$4)*(Portfolio!$F78:$J78))</f>
        <v>0</v>
      </c>
      <c r="P32" s="96">
        <f ca="1">SUMPRODUCT((Portfolio!$F76:$J76=P$4)*(Portfolio!$F78:$J78))</f>
        <v>0</v>
      </c>
      <c r="Q32" s="96">
        <f ca="1">SUMPRODUCT((Portfolio!$F76:$J76=Q$4)*(Portfolio!$F78:$J78))</f>
        <v>0</v>
      </c>
      <c r="R32" s="96">
        <f ca="1">SUMPRODUCT((Portfolio!$F76:$J76=R$4)*(Portfolio!$F78:$J78))</f>
        <v>1050000</v>
      </c>
      <c r="S32" s="97">
        <f ca="1">SUMPRODUCT((Portfolio!$F76:$J76=S$4)*(Portfolio!$F78:$J78))</f>
        <v>0</v>
      </c>
      <c r="T32" s="96">
        <f ca="1">SUMPRODUCT((Portfolio!$F76:$J76=T$4)*(Portfolio!$F78:$J78))</f>
        <v>0</v>
      </c>
      <c r="U32" s="96">
        <f ca="1">SUMPRODUCT((Portfolio!$F76:$J76=U$4)*(Portfolio!$F78:$J78))</f>
        <v>0</v>
      </c>
      <c r="V32" s="96">
        <f ca="1">SUMPRODUCT((Portfolio!$F76:$J76=V$4)*(Portfolio!$F78:$J78))</f>
        <v>0</v>
      </c>
      <c r="W32" s="97">
        <f ca="1">SUMPRODUCT((Portfolio!$F76:$J76=W$4)*(Portfolio!$F78:$J78))</f>
        <v>0</v>
      </c>
      <c r="X32" s="96">
        <f ca="1">SUMPRODUCT((Portfolio!$F76:$J76=X$4)*(Portfolio!$F78:$J78))</f>
        <v>750000</v>
      </c>
      <c r="Y32" s="96">
        <f ca="1">SUMPRODUCT((Portfolio!$F76:$J76=Y$4)*(Portfolio!$F78:$J78))</f>
        <v>0</v>
      </c>
      <c r="Z32" s="96">
        <f ca="1">SUMPRODUCT((Portfolio!$F76:$J76=Z$4)*(Portfolio!$F78:$J78))</f>
        <v>0</v>
      </c>
      <c r="AA32" s="97">
        <f ca="1">SUMPRODUCT((Portfolio!$F76:$J76=AA$4)*(Portfolio!$F78:$J78))</f>
        <v>0</v>
      </c>
      <c r="AB32" s="96">
        <f ca="1">SUMPRODUCT((Portfolio!$F76:$J76=AB$4)*(Portfolio!$F78:$J78))</f>
        <v>0</v>
      </c>
      <c r="AC32" s="96">
        <f ca="1">SUMPRODUCT((Portfolio!$F76:$J76=AC$4)*(Portfolio!$F78:$J78))</f>
        <v>0</v>
      </c>
      <c r="AD32" s="96">
        <f ca="1">SUMPRODUCT((Portfolio!$F76:$J76=AD$4)*(Portfolio!$F78:$J78))</f>
        <v>0</v>
      </c>
      <c r="AE32" s="97">
        <f ca="1">SUMPRODUCT((Portfolio!$F76:$J76=AE$4)*(Portfolio!$F78:$J78))</f>
        <v>0</v>
      </c>
      <c r="AF32" s="96">
        <f ca="1">SUMPRODUCT((Portfolio!$F76:$J76=AF$4)*(Portfolio!$F78:$J78))</f>
        <v>0</v>
      </c>
      <c r="AG32" s="96">
        <f ca="1">SUMPRODUCT((Portfolio!$F76:$J76=AG$4)*(Portfolio!$F78:$J78))</f>
        <v>0</v>
      </c>
      <c r="AH32" s="96">
        <f ca="1">SUMPRODUCT((Portfolio!$F76:$J76=AH$4)*(Portfolio!$F78:$J78))</f>
        <v>0</v>
      </c>
      <c r="AI32" s="97">
        <f ca="1">SUMPRODUCT((Portfolio!$F76:$J76=AI$4)*(Portfolio!$F78:$J78))</f>
        <v>0</v>
      </c>
      <c r="AJ32" s="96">
        <f ca="1">SUMPRODUCT((Portfolio!$F76:$J76=AJ$4)*(Portfolio!$F78:$J78))</f>
        <v>0</v>
      </c>
      <c r="AK32" s="96">
        <f ca="1">SUMPRODUCT((Portfolio!$F76:$J76=AK$4)*(Portfolio!$F78:$J78))</f>
        <v>0</v>
      </c>
      <c r="AL32" s="96">
        <f ca="1">SUMPRODUCT((Portfolio!$F76:$J76=AL$4)*(Portfolio!$F78:$J78))</f>
        <v>0</v>
      </c>
      <c r="AM32" s="97">
        <f ca="1">SUMPRODUCT((Portfolio!$F76:$J76=AM$4)*(Portfolio!$F78:$J78))</f>
        <v>0</v>
      </c>
      <c r="AN32" s="96">
        <f ca="1">SUMPRODUCT((Portfolio!$F76:$J76=AN$4)*(Portfolio!$F78:$J78))</f>
        <v>0</v>
      </c>
      <c r="AO32" s="96">
        <f ca="1">SUMPRODUCT((Portfolio!$F76:$J76=AO$4)*(Portfolio!$F78:$J78))</f>
        <v>0</v>
      </c>
      <c r="AP32" s="96">
        <f ca="1">SUMPRODUCT((Portfolio!$F76:$J76=AP$4)*(Portfolio!$F78:$J78))</f>
        <v>0</v>
      </c>
      <c r="AQ32" s="97">
        <f ca="1">SUMPRODUCT((Portfolio!$F76:$J76=AQ$4)*(Portfolio!$F78:$J78))</f>
        <v>0</v>
      </c>
      <c r="AR32" s="96">
        <f ca="1">SUMPRODUCT((Portfolio!$F76:$J76=AR$4)*(Portfolio!$F78:$J78))</f>
        <v>0</v>
      </c>
      <c r="AS32" s="96">
        <f ca="1">SUMPRODUCT((Portfolio!$F76:$J76=AS$4)*(Portfolio!$F78:$J78))</f>
        <v>0</v>
      </c>
      <c r="AT32" s="96">
        <f ca="1">SUMPRODUCT((Portfolio!$F76:$J76=AT$4)*(Portfolio!$F78:$J78))</f>
        <v>0</v>
      </c>
      <c r="AU32" s="97">
        <f ca="1">SUMPRODUCT((Portfolio!$F76:$J76=AU$4)*(Portfolio!$F78:$J78))</f>
        <v>0</v>
      </c>
      <c r="AV32" s="96"/>
      <c r="AW32" s="98"/>
      <c r="AX32" s="98"/>
      <c r="AY32" s="99"/>
    </row>
    <row r="33" spans="1:51" ht="15.75" hidden="1" customHeight="1" outlineLevel="1" x14ac:dyDescent="0.2">
      <c r="A33" s="83"/>
      <c r="B33" s="92">
        <f>IF(Portfolio!C79&lt;&gt;"",Portfolio!C79,"")</f>
        <v>25</v>
      </c>
      <c r="C33" s="93" t="str">
        <f>IF(Portfolio!D79&lt;&gt;"",Portfolio!D79,"")</f>
        <v>Company 25</v>
      </c>
      <c r="D33" s="94">
        <f ca="1">SUMPRODUCT((Portfolio!$F79:$J79=D$4)*(Portfolio!$F81:$J81))</f>
        <v>0</v>
      </c>
      <c r="E33" s="94">
        <f ca="1">SUMPRODUCT((Portfolio!$F79:$J79=E$4)*(Portfolio!$F81:$J81))</f>
        <v>0</v>
      </c>
      <c r="F33" s="94">
        <f ca="1">SUMPRODUCT((Portfolio!$F79:$J79=F$4)*(Portfolio!$F81:$J81))</f>
        <v>0</v>
      </c>
      <c r="G33" s="95">
        <f ca="1">SUMPRODUCT((Portfolio!$F79:$J79=G$4)*(Portfolio!$F81:$J81))</f>
        <v>0</v>
      </c>
      <c r="H33" s="94">
        <f ca="1">SUMPRODUCT((Portfolio!$F79:$J79=H$4)*(Portfolio!$F81:$J81))</f>
        <v>0</v>
      </c>
      <c r="I33" s="94">
        <f ca="1">SUMPRODUCT((Portfolio!$F79:$J79=I$4)*(Portfolio!$F81:$J81))</f>
        <v>0</v>
      </c>
      <c r="J33" s="94">
        <f ca="1">SUMPRODUCT((Portfolio!$F79:$J79=J$4)*(Portfolio!$F81:$J81))</f>
        <v>0</v>
      </c>
      <c r="K33" s="95">
        <f ca="1">SUMPRODUCT((Portfolio!$F79:$J79=K$4)*(Portfolio!$F81:$J81))</f>
        <v>0</v>
      </c>
      <c r="L33" s="96">
        <f ca="1">SUMPRODUCT((Portfolio!$F79:$J79=L$4)*(Portfolio!$F81:$J81))</f>
        <v>0</v>
      </c>
      <c r="M33" s="96">
        <f ca="1">SUMPRODUCT((Portfolio!$F79:$J79=M$4)*(Portfolio!$F81:$J81))</f>
        <v>1250000</v>
      </c>
      <c r="N33" s="96">
        <f ca="1">SUMPRODUCT((Portfolio!$F79:$J79=N$4)*(Portfolio!$F81:$J81))</f>
        <v>0</v>
      </c>
      <c r="O33" s="95">
        <f ca="1">SUMPRODUCT((Portfolio!$F79:$J79=O$4)*(Portfolio!$F81:$J81))</f>
        <v>0</v>
      </c>
      <c r="P33" s="96">
        <f ca="1">SUMPRODUCT((Portfolio!$F79:$J79=P$4)*(Portfolio!$F81:$J81))</f>
        <v>0</v>
      </c>
      <c r="Q33" s="96">
        <f ca="1">SUMPRODUCT((Portfolio!$F79:$J79=Q$4)*(Portfolio!$F81:$J81))</f>
        <v>0</v>
      </c>
      <c r="R33" s="96">
        <f ca="1">SUMPRODUCT((Portfolio!$F79:$J79=R$4)*(Portfolio!$F81:$J81))</f>
        <v>112500</v>
      </c>
      <c r="S33" s="97">
        <f ca="1">SUMPRODUCT((Portfolio!$F79:$J79=S$4)*(Portfolio!$F81:$J81))</f>
        <v>937500</v>
      </c>
      <c r="T33" s="96">
        <f ca="1">SUMPRODUCT((Portfolio!$F79:$J79=T$4)*(Portfolio!$F81:$J81))</f>
        <v>0</v>
      </c>
      <c r="U33" s="96">
        <f ca="1">SUMPRODUCT((Portfolio!$F79:$J79=U$4)*(Portfolio!$F81:$J81))</f>
        <v>0</v>
      </c>
      <c r="V33" s="96">
        <f ca="1">SUMPRODUCT((Portfolio!$F79:$J79=V$4)*(Portfolio!$F81:$J81))</f>
        <v>0</v>
      </c>
      <c r="W33" s="97">
        <f ca="1">SUMPRODUCT((Portfolio!$F79:$J79=W$4)*(Portfolio!$F81:$J81))</f>
        <v>0</v>
      </c>
      <c r="X33" s="96">
        <f ca="1">SUMPRODUCT((Portfolio!$F79:$J79=X$4)*(Portfolio!$F81:$J81))</f>
        <v>0</v>
      </c>
      <c r="Y33" s="96">
        <f ca="1">SUMPRODUCT((Portfolio!$F79:$J79=Y$4)*(Portfolio!$F81:$J81))</f>
        <v>750000</v>
      </c>
      <c r="Z33" s="96">
        <f ca="1">SUMPRODUCT((Portfolio!$F79:$J79=Z$4)*(Portfolio!$F81:$J81))</f>
        <v>0</v>
      </c>
      <c r="AA33" s="97">
        <f ca="1">SUMPRODUCT((Portfolio!$F79:$J79=AA$4)*(Portfolio!$F81:$J81))</f>
        <v>0</v>
      </c>
      <c r="AB33" s="96">
        <f ca="1">SUMPRODUCT((Portfolio!$F79:$J79=AB$4)*(Portfolio!$F81:$J81))</f>
        <v>0</v>
      </c>
      <c r="AC33" s="96">
        <f ca="1">SUMPRODUCT((Portfolio!$F79:$J79=AC$4)*(Portfolio!$F81:$J81))</f>
        <v>0</v>
      </c>
      <c r="AD33" s="96">
        <f ca="1">SUMPRODUCT((Portfolio!$F79:$J79=AD$4)*(Portfolio!$F81:$J81))</f>
        <v>0</v>
      </c>
      <c r="AE33" s="97">
        <f ca="1">SUMPRODUCT((Portfolio!$F79:$J79=AE$4)*(Portfolio!$F81:$J81))</f>
        <v>0</v>
      </c>
      <c r="AF33" s="96">
        <f ca="1">SUMPRODUCT((Portfolio!$F79:$J79=AF$4)*(Portfolio!$F81:$J81))</f>
        <v>0</v>
      </c>
      <c r="AG33" s="96">
        <f ca="1">SUMPRODUCT((Portfolio!$F79:$J79=AG$4)*(Portfolio!$F81:$J81))</f>
        <v>0</v>
      </c>
      <c r="AH33" s="96">
        <f ca="1">SUMPRODUCT((Portfolio!$F79:$J79=AH$4)*(Portfolio!$F81:$J81))</f>
        <v>0</v>
      </c>
      <c r="AI33" s="97">
        <f ca="1">SUMPRODUCT((Portfolio!$F79:$J79=AI$4)*(Portfolio!$F81:$J81))</f>
        <v>0</v>
      </c>
      <c r="AJ33" s="96">
        <f ca="1">SUMPRODUCT((Portfolio!$F79:$J79=AJ$4)*(Portfolio!$F81:$J81))</f>
        <v>0</v>
      </c>
      <c r="AK33" s="96">
        <f ca="1">SUMPRODUCT((Portfolio!$F79:$J79=AK$4)*(Portfolio!$F81:$J81))</f>
        <v>0</v>
      </c>
      <c r="AL33" s="96">
        <f ca="1">SUMPRODUCT((Portfolio!$F79:$J79=AL$4)*(Portfolio!$F81:$J81))</f>
        <v>0</v>
      </c>
      <c r="AM33" s="97">
        <f ca="1">SUMPRODUCT((Portfolio!$F79:$J79=AM$4)*(Portfolio!$F81:$J81))</f>
        <v>0</v>
      </c>
      <c r="AN33" s="96">
        <f ca="1">SUMPRODUCT((Portfolio!$F79:$J79=AN$4)*(Portfolio!$F81:$J81))</f>
        <v>0</v>
      </c>
      <c r="AO33" s="96">
        <f ca="1">SUMPRODUCT((Portfolio!$F79:$J79=AO$4)*(Portfolio!$F81:$J81))</f>
        <v>0</v>
      </c>
      <c r="AP33" s="96">
        <f ca="1">SUMPRODUCT((Portfolio!$F79:$J79=AP$4)*(Portfolio!$F81:$J81))</f>
        <v>0</v>
      </c>
      <c r="AQ33" s="97">
        <f ca="1">SUMPRODUCT((Portfolio!$F79:$J79=AQ$4)*(Portfolio!$F81:$J81))</f>
        <v>0</v>
      </c>
      <c r="AR33" s="96">
        <f ca="1">SUMPRODUCT((Portfolio!$F79:$J79=AR$4)*(Portfolio!$F81:$J81))</f>
        <v>0</v>
      </c>
      <c r="AS33" s="96">
        <f ca="1">SUMPRODUCT((Portfolio!$F79:$J79=AS$4)*(Portfolio!$F81:$J81))</f>
        <v>0</v>
      </c>
      <c r="AT33" s="96">
        <f ca="1">SUMPRODUCT((Portfolio!$F79:$J79=AT$4)*(Portfolio!$F81:$J81))</f>
        <v>0</v>
      </c>
      <c r="AU33" s="97">
        <f ca="1">SUMPRODUCT((Portfolio!$F79:$J79=AU$4)*(Portfolio!$F81:$J81))</f>
        <v>0</v>
      </c>
      <c r="AV33" s="96"/>
      <c r="AW33" s="98"/>
      <c r="AX33" s="98"/>
      <c r="AY33" s="99"/>
    </row>
    <row r="34" spans="1:51" ht="15.75" hidden="1" customHeight="1" outlineLevel="1" x14ac:dyDescent="0.2">
      <c r="A34" s="83"/>
      <c r="B34" s="92">
        <f>IF(Portfolio!C82&lt;&gt;"",Portfolio!C82,"")</f>
        <v>26</v>
      </c>
      <c r="C34" s="93" t="str">
        <f>IF(Portfolio!D82&lt;&gt;"",Portfolio!D82,"")</f>
        <v>Company 26</v>
      </c>
      <c r="D34" s="94">
        <f ca="1">SUMPRODUCT((Portfolio!$F82:$J82=D$4)*(Portfolio!$F84:$J84))</f>
        <v>0</v>
      </c>
      <c r="E34" s="94">
        <f ca="1">SUMPRODUCT((Portfolio!$F82:$J82=E$4)*(Portfolio!$F84:$J84))</f>
        <v>0</v>
      </c>
      <c r="F34" s="94">
        <f ca="1">SUMPRODUCT((Portfolio!$F82:$J82=F$4)*(Portfolio!$F84:$J84))</f>
        <v>0</v>
      </c>
      <c r="G34" s="95">
        <f ca="1">SUMPRODUCT((Portfolio!$F82:$J82=G$4)*(Portfolio!$F84:$J84))</f>
        <v>0</v>
      </c>
      <c r="H34" s="94">
        <f ca="1">SUMPRODUCT((Portfolio!$F82:$J82=H$4)*(Portfolio!$F84:$J84))</f>
        <v>0</v>
      </c>
      <c r="I34" s="94">
        <f ca="1">SUMPRODUCT((Portfolio!$F82:$J82=I$4)*(Portfolio!$F84:$J84))</f>
        <v>0</v>
      </c>
      <c r="J34" s="94">
        <f ca="1">SUMPRODUCT((Portfolio!$F82:$J82=J$4)*(Portfolio!$F84:$J84))</f>
        <v>0</v>
      </c>
      <c r="K34" s="95">
        <f ca="1">SUMPRODUCT((Portfolio!$F82:$J82=K$4)*(Portfolio!$F84:$J84))</f>
        <v>0</v>
      </c>
      <c r="L34" s="96">
        <f ca="1">SUMPRODUCT((Portfolio!$F82:$J82=L$4)*(Portfolio!$F84:$J84))</f>
        <v>0</v>
      </c>
      <c r="M34" s="96">
        <f ca="1">SUMPRODUCT((Portfolio!$F82:$J82=M$4)*(Portfolio!$F84:$J84))</f>
        <v>1250000</v>
      </c>
      <c r="N34" s="96">
        <f ca="1">SUMPRODUCT((Portfolio!$F82:$J82=N$4)*(Portfolio!$F84:$J84))</f>
        <v>0</v>
      </c>
      <c r="O34" s="95">
        <f ca="1">SUMPRODUCT((Portfolio!$F82:$J82=O$4)*(Portfolio!$F84:$J84))</f>
        <v>0</v>
      </c>
      <c r="P34" s="96">
        <f ca="1">SUMPRODUCT((Portfolio!$F82:$J82=P$4)*(Portfolio!$F84:$J84))</f>
        <v>0</v>
      </c>
      <c r="Q34" s="96">
        <f ca="1">SUMPRODUCT((Portfolio!$F82:$J82=Q$4)*(Portfolio!$F84:$J84))</f>
        <v>0</v>
      </c>
      <c r="R34" s="96">
        <f ca="1">SUMPRODUCT((Portfolio!$F82:$J82=R$4)*(Portfolio!$F84:$J84))</f>
        <v>112500</v>
      </c>
      <c r="S34" s="97">
        <f ca="1">SUMPRODUCT((Portfolio!$F82:$J82=S$4)*(Portfolio!$F84:$J84))</f>
        <v>937500</v>
      </c>
      <c r="T34" s="96">
        <f ca="1">SUMPRODUCT((Portfolio!$F82:$J82=T$4)*(Portfolio!$F84:$J84))</f>
        <v>0</v>
      </c>
      <c r="U34" s="96">
        <f ca="1">SUMPRODUCT((Portfolio!$F82:$J82=U$4)*(Portfolio!$F84:$J84))</f>
        <v>0</v>
      </c>
      <c r="V34" s="96">
        <f ca="1">SUMPRODUCT((Portfolio!$F82:$J82=V$4)*(Portfolio!$F84:$J84))</f>
        <v>0</v>
      </c>
      <c r="W34" s="97">
        <f ca="1">SUMPRODUCT((Portfolio!$F82:$J82=W$4)*(Portfolio!$F84:$J84))</f>
        <v>0</v>
      </c>
      <c r="X34" s="96">
        <f ca="1">SUMPRODUCT((Portfolio!$F82:$J82=X$4)*(Portfolio!$F84:$J84))</f>
        <v>0</v>
      </c>
      <c r="Y34" s="96">
        <f ca="1">SUMPRODUCT((Portfolio!$F82:$J82=Y$4)*(Portfolio!$F84:$J84))</f>
        <v>750000</v>
      </c>
      <c r="Z34" s="96">
        <f ca="1">SUMPRODUCT((Portfolio!$F82:$J82=Z$4)*(Portfolio!$F84:$J84))</f>
        <v>0</v>
      </c>
      <c r="AA34" s="97">
        <f ca="1">SUMPRODUCT((Portfolio!$F82:$J82=AA$4)*(Portfolio!$F84:$J84))</f>
        <v>0</v>
      </c>
      <c r="AB34" s="96">
        <f ca="1">SUMPRODUCT((Portfolio!$F82:$J82=AB$4)*(Portfolio!$F84:$J84))</f>
        <v>0</v>
      </c>
      <c r="AC34" s="96">
        <f ca="1">SUMPRODUCT((Portfolio!$F82:$J82=AC$4)*(Portfolio!$F84:$J84))</f>
        <v>0</v>
      </c>
      <c r="AD34" s="96">
        <f ca="1">SUMPRODUCT((Portfolio!$F82:$J82=AD$4)*(Portfolio!$F84:$J84))</f>
        <v>0</v>
      </c>
      <c r="AE34" s="97">
        <f ca="1">SUMPRODUCT((Portfolio!$F82:$J82=AE$4)*(Portfolio!$F84:$J84))</f>
        <v>0</v>
      </c>
      <c r="AF34" s="96">
        <f ca="1">SUMPRODUCT((Portfolio!$F82:$J82=AF$4)*(Portfolio!$F84:$J84))</f>
        <v>0</v>
      </c>
      <c r="AG34" s="96">
        <f ca="1">SUMPRODUCT((Portfolio!$F82:$J82=AG$4)*(Portfolio!$F84:$J84))</f>
        <v>0</v>
      </c>
      <c r="AH34" s="96">
        <f ca="1">SUMPRODUCT((Portfolio!$F82:$J82=AH$4)*(Portfolio!$F84:$J84))</f>
        <v>0</v>
      </c>
      <c r="AI34" s="97">
        <f ca="1">SUMPRODUCT((Portfolio!$F82:$J82=AI$4)*(Portfolio!$F84:$J84))</f>
        <v>0</v>
      </c>
      <c r="AJ34" s="96">
        <f ca="1">SUMPRODUCT((Portfolio!$F82:$J82=AJ$4)*(Portfolio!$F84:$J84))</f>
        <v>0</v>
      </c>
      <c r="AK34" s="96">
        <f ca="1">SUMPRODUCT((Portfolio!$F82:$J82=AK$4)*(Portfolio!$F84:$J84))</f>
        <v>0</v>
      </c>
      <c r="AL34" s="96">
        <f ca="1">SUMPRODUCT((Portfolio!$F82:$J82=AL$4)*(Portfolio!$F84:$J84))</f>
        <v>0</v>
      </c>
      <c r="AM34" s="97">
        <f ca="1">SUMPRODUCT((Portfolio!$F82:$J82=AM$4)*(Portfolio!$F84:$J84))</f>
        <v>0</v>
      </c>
      <c r="AN34" s="96">
        <f ca="1">SUMPRODUCT((Portfolio!$F82:$J82=AN$4)*(Portfolio!$F84:$J84))</f>
        <v>0</v>
      </c>
      <c r="AO34" s="96">
        <f ca="1">SUMPRODUCT((Portfolio!$F82:$J82=AO$4)*(Portfolio!$F84:$J84))</f>
        <v>0</v>
      </c>
      <c r="AP34" s="96">
        <f ca="1">SUMPRODUCT((Portfolio!$F82:$J82=AP$4)*(Portfolio!$F84:$J84))</f>
        <v>0</v>
      </c>
      <c r="AQ34" s="97">
        <f ca="1">SUMPRODUCT((Portfolio!$F82:$J82=AQ$4)*(Portfolio!$F84:$J84))</f>
        <v>0</v>
      </c>
      <c r="AR34" s="96">
        <f ca="1">SUMPRODUCT((Portfolio!$F82:$J82=AR$4)*(Portfolio!$F84:$J84))</f>
        <v>0</v>
      </c>
      <c r="AS34" s="96">
        <f ca="1">SUMPRODUCT((Portfolio!$F82:$J82=AS$4)*(Portfolio!$F84:$J84))</f>
        <v>0</v>
      </c>
      <c r="AT34" s="96">
        <f ca="1">SUMPRODUCT((Portfolio!$F82:$J82=AT$4)*(Portfolio!$F84:$J84))</f>
        <v>0</v>
      </c>
      <c r="AU34" s="97">
        <f ca="1">SUMPRODUCT((Portfolio!$F82:$J82=AU$4)*(Portfolio!$F84:$J84))</f>
        <v>0</v>
      </c>
      <c r="AV34" s="96"/>
      <c r="AW34" s="98"/>
      <c r="AX34" s="98"/>
      <c r="AY34" s="99"/>
    </row>
    <row r="35" spans="1:51" ht="15.75" hidden="1" customHeight="1" outlineLevel="1" x14ac:dyDescent="0.2">
      <c r="A35" s="83"/>
      <c r="B35" s="92">
        <f>IF(Portfolio!C85&lt;&gt;"",Portfolio!C85,"")</f>
        <v>27</v>
      </c>
      <c r="C35" s="93" t="str">
        <f>IF(Portfolio!D85&lt;&gt;"",Portfolio!D85,"")</f>
        <v>Company 27</v>
      </c>
      <c r="D35" s="94">
        <f ca="1">SUMPRODUCT((Portfolio!$F85:$J85=D$4)*(Portfolio!$F87:$J87))</f>
        <v>0</v>
      </c>
      <c r="E35" s="94">
        <f ca="1">SUMPRODUCT((Portfolio!$F85:$J85=E$4)*(Portfolio!$F87:$J87))</f>
        <v>0</v>
      </c>
      <c r="F35" s="94">
        <f ca="1">SUMPRODUCT((Portfolio!$F85:$J85=F$4)*(Portfolio!$F87:$J87))</f>
        <v>0</v>
      </c>
      <c r="G35" s="95">
        <f ca="1">SUMPRODUCT((Portfolio!$F85:$J85=G$4)*(Portfolio!$F87:$J87))</f>
        <v>0</v>
      </c>
      <c r="H35" s="94">
        <f ca="1">SUMPRODUCT((Portfolio!$F85:$J85=H$4)*(Portfolio!$F87:$J87))</f>
        <v>0</v>
      </c>
      <c r="I35" s="94">
        <f ca="1">SUMPRODUCT((Portfolio!$F85:$J85=I$4)*(Portfolio!$F87:$J87))</f>
        <v>0</v>
      </c>
      <c r="J35" s="94">
        <f ca="1">SUMPRODUCT((Portfolio!$F85:$J85=J$4)*(Portfolio!$F87:$J87))</f>
        <v>0</v>
      </c>
      <c r="K35" s="95">
        <f ca="1">SUMPRODUCT((Portfolio!$F85:$J85=K$4)*(Portfolio!$F87:$J87))</f>
        <v>0</v>
      </c>
      <c r="L35" s="96">
        <f ca="1">SUMPRODUCT((Portfolio!$F85:$J85=L$4)*(Portfolio!$F87:$J87))</f>
        <v>0</v>
      </c>
      <c r="M35" s="96">
        <f ca="1">SUMPRODUCT((Portfolio!$F85:$J85=M$4)*(Portfolio!$F87:$J87))</f>
        <v>0</v>
      </c>
      <c r="N35" s="96">
        <f ca="1">SUMPRODUCT((Portfolio!$F85:$J85=N$4)*(Portfolio!$F87:$J87))</f>
        <v>1250000</v>
      </c>
      <c r="O35" s="95">
        <f ca="1">SUMPRODUCT((Portfolio!$F85:$J85=O$4)*(Portfolio!$F87:$J87))</f>
        <v>0</v>
      </c>
      <c r="P35" s="96">
        <f ca="1">SUMPRODUCT((Portfolio!$F85:$J85=P$4)*(Portfolio!$F87:$J87))</f>
        <v>0</v>
      </c>
      <c r="Q35" s="96">
        <f ca="1">SUMPRODUCT((Portfolio!$F85:$J85=Q$4)*(Portfolio!$F87:$J87))</f>
        <v>0</v>
      </c>
      <c r="R35" s="96">
        <f ca="1">SUMPRODUCT((Portfolio!$F85:$J85=R$4)*(Portfolio!$F87:$J87))</f>
        <v>0</v>
      </c>
      <c r="S35" s="97">
        <f ca="1">SUMPRODUCT((Portfolio!$F85:$J85=S$4)*(Portfolio!$F87:$J87))</f>
        <v>112500</v>
      </c>
      <c r="T35" s="96">
        <f ca="1">SUMPRODUCT((Portfolio!$F85:$J85=T$4)*(Portfolio!$F87:$J87))</f>
        <v>937500</v>
      </c>
      <c r="U35" s="96">
        <f ca="1">SUMPRODUCT((Portfolio!$F85:$J85=U$4)*(Portfolio!$F87:$J87))</f>
        <v>0</v>
      </c>
      <c r="V35" s="96">
        <f ca="1">SUMPRODUCT((Portfolio!$F85:$J85=V$4)*(Portfolio!$F87:$J87))</f>
        <v>0</v>
      </c>
      <c r="W35" s="97">
        <f ca="1">SUMPRODUCT((Portfolio!$F85:$J85=W$4)*(Portfolio!$F87:$J87))</f>
        <v>0</v>
      </c>
      <c r="X35" s="96">
        <f ca="1">SUMPRODUCT((Portfolio!$F85:$J85=X$4)*(Portfolio!$F87:$J87))</f>
        <v>0</v>
      </c>
      <c r="Y35" s="96">
        <f ca="1">SUMPRODUCT((Portfolio!$F85:$J85=Y$4)*(Portfolio!$F87:$J87))</f>
        <v>750000</v>
      </c>
      <c r="Z35" s="96">
        <f ca="1">SUMPRODUCT((Portfolio!$F85:$J85=Z$4)*(Portfolio!$F87:$J87))</f>
        <v>0</v>
      </c>
      <c r="AA35" s="97">
        <f ca="1">SUMPRODUCT((Portfolio!$F85:$J85=AA$4)*(Portfolio!$F87:$J87))</f>
        <v>0</v>
      </c>
      <c r="AB35" s="96">
        <f ca="1">SUMPRODUCT((Portfolio!$F85:$J85=AB$4)*(Portfolio!$F87:$J87))</f>
        <v>0</v>
      </c>
      <c r="AC35" s="96">
        <f ca="1">SUMPRODUCT((Portfolio!$F85:$J85=AC$4)*(Portfolio!$F87:$J87))</f>
        <v>0</v>
      </c>
      <c r="AD35" s="96">
        <f ca="1">SUMPRODUCT((Portfolio!$F85:$J85=AD$4)*(Portfolio!$F87:$J87))</f>
        <v>0</v>
      </c>
      <c r="AE35" s="97">
        <f ca="1">SUMPRODUCT((Portfolio!$F85:$J85=AE$4)*(Portfolio!$F87:$J87))</f>
        <v>0</v>
      </c>
      <c r="AF35" s="96">
        <f ca="1">SUMPRODUCT((Portfolio!$F85:$J85=AF$4)*(Portfolio!$F87:$J87))</f>
        <v>0</v>
      </c>
      <c r="AG35" s="96">
        <f ca="1">SUMPRODUCT((Portfolio!$F85:$J85=AG$4)*(Portfolio!$F87:$J87))</f>
        <v>0</v>
      </c>
      <c r="AH35" s="96">
        <f ca="1">SUMPRODUCT((Portfolio!$F85:$J85=AH$4)*(Portfolio!$F87:$J87))</f>
        <v>0</v>
      </c>
      <c r="AI35" s="97">
        <f ca="1">SUMPRODUCT((Portfolio!$F85:$J85=AI$4)*(Portfolio!$F87:$J87))</f>
        <v>0</v>
      </c>
      <c r="AJ35" s="96">
        <f ca="1">SUMPRODUCT((Portfolio!$F85:$J85=AJ$4)*(Portfolio!$F87:$J87))</f>
        <v>0</v>
      </c>
      <c r="AK35" s="96">
        <f ca="1">SUMPRODUCT((Portfolio!$F85:$J85=AK$4)*(Portfolio!$F87:$J87))</f>
        <v>0</v>
      </c>
      <c r="AL35" s="96">
        <f ca="1">SUMPRODUCT((Portfolio!$F85:$J85=AL$4)*(Portfolio!$F87:$J87))</f>
        <v>0</v>
      </c>
      <c r="AM35" s="97">
        <f ca="1">SUMPRODUCT((Portfolio!$F85:$J85=AM$4)*(Portfolio!$F87:$J87))</f>
        <v>0</v>
      </c>
      <c r="AN35" s="96">
        <f ca="1">SUMPRODUCT((Portfolio!$F85:$J85=AN$4)*(Portfolio!$F87:$J87))</f>
        <v>0</v>
      </c>
      <c r="AO35" s="96">
        <f ca="1">SUMPRODUCT((Portfolio!$F85:$J85=AO$4)*(Portfolio!$F87:$J87))</f>
        <v>0</v>
      </c>
      <c r="AP35" s="96">
        <f ca="1">SUMPRODUCT((Portfolio!$F85:$J85=AP$4)*(Portfolio!$F87:$J87))</f>
        <v>0</v>
      </c>
      <c r="AQ35" s="97">
        <f ca="1">SUMPRODUCT((Portfolio!$F85:$J85=AQ$4)*(Portfolio!$F87:$J87))</f>
        <v>0</v>
      </c>
      <c r="AR35" s="96">
        <f ca="1">SUMPRODUCT((Portfolio!$F85:$J85=AR$4)*(Portfolio!$F87:$J87))</f>
        <v>0</v>
      </c>
      <c r="AS35" s="96">
        <f ca="1">SUMPRODUCT((Portfolio!$F85:$J85=AS$4)*(Portfolio!$F87:$J87))</f>
        <v>0</v>
      </c>
      <c r="AT35" s="96">
        <f ca="1">SUMPRODUCT((Portfolio!$F85:$J85=AT$4)*(Portfolio!$F87:$J87))</f>
        <v>0</v>
      </c>
      <c r="AU35" s="97">
        <f ca="1">SUMPRODUCT((Portfolio!$F85:$J85=AU$4)*(Portfolio!$F87:$J87))</f>
        <v>0</v>
      </c>
      <c r="AV35" s="96"/>
      <c r="AW35" s="98"/>
      <c r="AX35" s="98"/>
      <c r="AY35" s="99"/>
    </row>
    <row r="36" spans="1:51" ht="15.75" hidden="1" customHeight="1" outlineLevel="1" x14ac:dyDescent="0.2">
      <c r="A36" s="83"/>
      <c r="B36" s="92">
        <f>IF(Portfolio!C88&lt;&gt;"",Portfolio!C88,"")</f>
        <v>28</v>
      </c>
      <c r="C36" s="93" t="str">
        <f>IF(Portfolio!D88&lt;&gt;"",Portfolio!D88,"")</f>
        <v>Company 28</v>
      </c>
      <c r="D36" s="94">
        <f ca="1">SUMPRODUCT((Portfolio!$F88:$J88=D$4)*(Portfolio!$F90:$J90))</f>
        <v>0</v>
      </c>
      <c r="E36" s="94">
        <f ca="1">SUMPRODUCT((Portfolio!$F88:$J88=E$4)*(Portfolio!$F90:$J90))</f>
        <v>0</v>
      </c>
      <c r="F36" s="94">
        <f ca="1">SUMPRODUCT((Portfolio!$F88:$J88=F$4)*(Portfolio!$F90:$J90))</f>
        <v>0</v>
      </c>
      <c r="G36" s="95">
        <f ca="1">SUMPRODUCT((Portfolio!$F88:$J88=G$4)*(Portfolio!$F90:$J90))</f>
        <v>0</v>
      </c>
      <c r="H36" s="94">
        <f ca="1">SUMPRODUCT((Portfolio!$F88:$J88=H$4)*(Portfolio!$F90:$J90))</f>
        <v>0</v>
      </c>
      <c r="I36" s="94">
        <f ca="1">SUMPRODUCT((Portfolio!$F88:$J88=I$4)*(Portfolio!$F90:$J90))</f>
        <v>0</v>
      </c>
      <c r="J36" s="94">
        <f ca="1">SUMPRODUCT((Portfolio!$F88:$J88=J$4)*(Portfolio!$F90:$J90))</f>
        <v>0</v>
      </c>
      <c r="K36" s="95">
        <f ca="1">SUMPRODUCT((Portfolio!$F88:$J88=K$4)*(Portfolio!$F90:$J90))</f>
        <v>0</v>
      </c>
      <c r="L36" s="96">
        <f ca="1">SUMPRODUCT((Portfolio!$F88:$J88=L$4)*(Portfolio!$F90:$J90))</f>
        <v>0</v>
      </c>
      <c r="M36" s="96">
        <f ca="1">SUMPRODUCT((Portfolio!$F88:$J88=M$4)*(Portfolio!$F90:$J90))</f>
        <v>0</v>
      </c>
      <c r="N36" s="96">
        <f ca="1">SUMPRODUCT((Portfolio!$F88:$J88=N$4)*(Portfolio!$F90:$J90))</f>
        <v>1250000</v>
      </c>
      <c r="O36" s="95">
        <f ca="1">SUMPRODUCT((Portfolio!$F88:$J88=O$4)*(Portfolio!$F90:$J90))</f>
        <v>0</v>
      </c>
      <c r="P36" s="96">
        <f ca="1">SUMPRODUCT((Portfolio!$F88:$J88=P$4)*(Portfolio!$F90:$J90))</f>
        <v>0</v>
      </c>
      <c r="Q36" s="96">
        <f ca="1">SUMPRODUCT((Portfolio!$F88:$J88=Q$4)*(Portfolio!$F90:$J90))</f>
        <v>0</v>
      </c>
      <c r="R36" s="96">
        <f ca="1">SUMPRODUCT((Portfolio!$F88:$J88=R$4)*(Portfolio!$F90:$J90))</f>
        <v>0</v>
      </c>
      <c r="S36" s="97">
        <f ca="1">SUMPRODUCT((Portfolio!$F88:$J88=S$4)*(Portfolio!$F90:$J90))</f>
        <v>112500</v>
      </c>
      <c r="T36" s="96">
        <f ca="1">SUMPRODUCT((Portfolio!$F88:$J88=T$4)*(Portfolio!$F90:$J90))</f>
        <v>937500</v>
      </c>
      <c r="U36" s="96">
        <f ca="1">SUMPRODUCT((Portfolio!$F88:$J88=U$4)*(Portfolio!$F90:$J90))</f>
        <v>0</v>
      </c>
      <c r="V36" s="96">
        <f ca="1">SUMPRODUCT((Portfolio!$F88:$J88=V$4)*(Portfolio!$F90:$J90))</f>
        <v>0</v>
      </c>
      <c r="W36" s="97">
        <f ca="1">SUMPRODUCT((Portfolio!$F88:$J88=W$4)*(Portfolio!$F90:$J90))</f>
        <v>0</v>
      </c>
      <c r="X36" s="96">
        <f ca="1">SUMPRODUCT((Portfolio!$F88:$J88=X$4)*(Portfolio!$F90:$J90))</f>
        <v>0</v>
      </c>
      <c r="Y36" s="96">
        <f ca="1">SUMPRODUCT((Portfolio!$F88:$J88=Y$4)*(Portfolio!$F90:$J90))</f>
        <v>0</v>
      </c>
      <c r="Z36" s="96">
        <f ca="1">SUMPRODUCT((Portfolio!$F88:$J88=Z$4)*(Portfolio!$F90:$J90))</f>
        <v>750000</v>
      </c>
      <c r="AA36" s="97">
        <f ca="1">SUMPRODUCT((Portfolio!$F88:$J88=AA$4)*(Portfolio!$F90:$J90))</f>
        <v>0</v>
      </c>
      <c r="AB36" s="96">
        <f ca="1">SUMPRODUCT((Portfolio!$F88:$J88=AB$4)*(Portfolio!$F90:$J90))</f>
        <v>0</v>
      </c>
      <c r="AC36" s="96">
        <f ca="1">SUMPRODUCT((Portfolio!$F88:$J88=AC$4)*(Portfolio!$F90:$J90))</f>
        <v>0</v>
      </c>
      <c r="AD36" s="96">
        <f ca="1">SUMPRODUCT((Portfolio!$F88:$J88=AD$4)*(Portfolio!$F90:$J90))</f>
        <v>0</v>
      </c>
      <c r="AE36" s="97">
        <f ca="1">SUMPRODUCT((Portfolio!$F88:$J88=AE$4)*(Portfolio!$F90:$J90))</f>
        <v>0</v>
      </c>
      <c r="AF36" s="96">
        <f ca="1">SUMPRODUCT((Portfolio!$F88:$J88=AF$4)*(Portfolio!$F90:$J90))</f>
        <v>0</v>
      </c>
      <c r="AG36" s="96">
        <f ca="1">SUMPRODUCT((Portfolio!$F88:$J88=AG$4)*(Portfolio!$F90:$J90))</f>
        <v>0</v>
      </c>
      <c r="AH36" s="96">
        <f ca="1">SUMPRODUCT((Portfolio!$F88:$J88=AH$4)*(Portfolio!$F90:$J90))</f>
        <v>0</v>
      </c>
      <c r="AI36" s="97">
        <f ca="1">SUMPRODUCT((Portfolio!$F88:$J88=AI$4)*(Portfolio!$F90:$J90))</f>
        <v>0</v>
      </c>
      <c r="AJ36" s="96">
        <f ca="1">SUMPRODUCT((Portfolio!$F88:$J88=AJ$4)*(Portfolio!$F90:$J90))</f>
        <v>0</v>
      </c>
      <c r="AK36" s="96">
        <f ca="1">SUMPRODUCT((Portfolio!$F88:$J88=AK$4)*(Portfolio!$F90:$J90))</f>
        <v>0</v>
      </c>
      <c r="AL36" s="96">
        <f ca="1">SUMPRODUCT((Portfolio!$F88:$J88=AL$4)*(Portfolio!$F90:$J90))</f>
        <v>0</v>
      </c>
      <c r="AM36" s="97">
        <f ca="1">SUMPRODUCT((Portfolio!$F88:$J88=AM$4)*(Portfolio!$F90:$J90))</f>
        <v>0</v>
      </c>
      <c r="AN36" s="96">
        <f ca="1">SUMPRODUCT((Portfolio!$F88:$J88=AN$4)*(Portfolio!$F90:$J90))</f>
        <v>0</v>
      </c>
      <c r="AO36" s="96">
        <f ca="1">SUMPRODUCT((Portfolio!$F88:$J88=AO$4)*(Portfolio!$F90:$J90))</f>
        <v>0</v>
      </c>
      <c r="AP36" s="96">
        <f ca="1">SUMPRODUCT((Portfolio!$F88:$J88=AP$4)*(Portfolio!$F90:$J90))</f>
        <v>0</v>
      </c>
      <c r="AQ36" s="97">
        <f ca="1">SUMPRODUCT((Portfolio!$F88:$J88=AQ$4)*(Portfolio!$F90:$J90))</f>
        <v>0</v>
      </c>
      <c r="AR36" s="96">
        <f ca="1">SUMPRODUCT((Portfolio!$F88:$J88=AR$4)*(Portfolio!$F90:$J90))</f>
        <v>0</v>
      </c>
      <c r="AS36" s="96">
        <f ca="1">SUMPRODUCT((Portfolio!$F88:$J88=AS$4)*(Portfolio!$F90:$J90))</f>
        <v>0</v>
      </c>
      <c r="AT36" s="96">
        <f ca="1">SUMPRODUCT((Portfolio!$F88:$J88=AT$4)*(Portfolio!$F90:$J90))</f>
        <v>0</v>
      </c>
      <c r="AU36" s="97">
        <f ca="1">SUMPRODUCT((Portfolio!$F88:$J88=AU$4)*(Portfolio!$F90:$J90))</f>
        <v>0</v>
      </c>
      <c r="AV36" s="96"/>
      <c r="AW36" s="98"/>
      <c r="AX36" s="98"/>
      <c r="AY36" s="99"/>
    </row>
    <row r="37" spans="1:51" ht="15.75" hidden="1" customHeight="1" outlineLevel="1" x14ac:dyDescent="0.2">
      <c r="A37" s="83"/>
      <c r="B37" s="92">
        <f>IF(Portfolio!C91&lt;&gt;"",Portfolio!C91,"")</f>
        <v>29</v>
      </c>
      <c r="C37" s="93" t="str">
        <f>IF(Portfolio!D91&lt;&gt;"",Portfolio!D91,"")</f>
        <v>Company 29</v>
      </c>
      <c r="D37" s="94">
        <f ca="1">SUMPRODUCT((Portfolio!$F91:$J91=D$4)*(Portfolio!$F93:$J93))</f>
        <v>0</v>
      </c>
      <c r="E37" s="94">
        <f ca="1">SUMPRODUCT((Portfolio!$F91:$J91=E$4)*(Portfolio!$F93:$J93))</f>
        <v>0</v>
      </c>
      <c r="F37" s="94">
        <f ca="1">SUMPRODUCT((Portfolio!$F91:$J91=F$4)*(Portfolio!$F93:$J93))</f>
        <v>0</v>
      </c>
      <c r="G37" s="95">
        <f ca="1">SUMPRODUCT((Portfolio!$F91:$J91=G$4)*(Portfolio!$F93:$J93))</f>
        <v>0</v>
      </c>
      <c r="H37" s="94">
        <f ca="1">SUMPRODUCT((Portfolio!$F91:$J91=H$4)*(Portfolio!$F93:$J93))</f>
        <v>0</v>
      </c>
      <c r="I37" s="94">
        <f ca="1">SUMPRODUCT((Portfolio!$F91:$J91=I$4)*(Portfolio!$F93:$J93))</f>
        <v>0</v>
      </c>
      <c r="J37" s="94">
        <f ca="1">SUMPRODUCT((Portfolio!$F91:$J91=J$4)*(Portfolio!$F93:$J93))</f>
        <v>0</v>
      </c>
      <c r="K37" s="95">
        <f ca="1">SUMPRODUCT((Portfolio!$F91:$J91=K$4)*(Portfolio!$F93:$J93))</f>
        <v>0</v>
      </c>
      <c r="L37" s="96">
        <f ca="1">SUMPRODUCT((Portfolio!$F91:$J91=L$4)*(Portfolio!$F93:$J93))</f>
        <v>0</v>
      </c>
      <c r="M37" s="96">
        <f ca="1">SUMPRODUCT((Portfolio!$F91:$J91=M$4)*(Portfolio!$F93:$J93))</f>
        <v>0</v>
      </c>
      <c r="N37" s="96">
        <f ca="1">SUMPRODUCT((Portfolio!$F91:$J91=N$4)*(Portfolio!$F93:$J93))</f>
        <v>0</v>
      </c>
      <c r="O37" s="95">
        <f ca="1">SUMPRODUCT((Portfolio!$F91:$J91=O$4)*(Portfolio!$F93:$J93))</f>
        <v>1250000</v>
      </c>
      <c r="P37" s="96">
        <f ca="1">SUMPRODUCT((Portfolio!$F91:$J91=P$4)*(Portfolio!$F93:$J93))</f>
        <v>0</v>
      </c>
      <c r="Q37" s="96">
        <f ca="1">SUMPRODUCT((Portfolio!$F91:$J91=Q$4)*(Portfolio!$F93:$J93))</f>
        <v>0</v>
      </c>
      <c r="R37" s="96">
        <f ca="1">SUMPRODUCT((Portfolio!$F91:$J91=R$4)*(Portfolio!$F93:$J93))</f>
        <v>0</v>
      </c>
      <c r="S37" s="97">
        <f ca="1">SUMPRODUCT((Portfolio!$F91:$J91=S$4)*(Portfolio!$F93:$J93))</f>
        <v>0</v>
      </c>
      <c r="T37" s="96">
        <f ca="1">SUMPRODUCT((Portfolio!$F91:$J91=T$4)*(Portfolio!$F93:$J93))</f>
        <v>1050000</v>
      </c>
      <c r="U37" s="96">
        <f ca="1">SUMPRODUCT((Portfolio!$F91:$J91=U$4)*(Portfolio!$F93:$J93))</f>
        <v>0</v>
      </c>
      <c r="V37" s="96">
        <f ca="1">SUMPRODUCT((Portfolio!$F91:$J91=V$4)*(Portfolio!$F93:$J93))</f>
        <v>0</v>
      </c>
      <c r="W37" s="97">
        <f ca="1">SUMPRODUCT((Portfolio!$F91:$J91=W$4)*(Portfolio!$F93:$J93))</f>
        <v>0</v>
      </c>
      <c r="X37" s="96">
        <f ca="1">SUMPRODUCT((Portfolio!$F91:$J91=X$4)*(Portfolio!$F93:$J93))</f>
        <v>0</v>
      </c>
      <c r="Y37" s="96">
        <f ca="1">SUMPRODUCT((Portfolio!$F91:$J91=Y$4)*(Portfolio!$F93:$J93))</f>
        <v>0</v>
      </c>
      <c r="Z37" s="96">
        <f ca="1">SUMPRODUCT((Portfolio!$F91:$J91=Z$4)*(Portfolio!$F93:$J93))</f>
        <v>750000</v>
      </c>
      <c r="AA37" s="97">
        <f ca="1">SUMPRODUCT((Portfolio!$F91:$J91=AA$4)*(Portfolio!$F93:$J93))</f>
        <v>0</v>
      </c>
      <c r="AB37" s="96">
        <f ca="1">SUMPRODUCT((Portfolio!$F91:$J91=AB$4)*(Portfolio!$F93:$J93))</f>
        <v>0</v>
      </c>
      <c r="AC37" s="96">
        <f ca="1">SUMPRODUCT((Portfolio!$F91:$J91=AC$4)*(Portfolio!$F93:$J93))</f>
        <v>0</v>
      </c>
      <c r="AD37" s="96">
        <f ca="1">SUMPRODUCT((Portfolio!$F91:$J91=AD$4)*(Portfolio!$F93:$J93))</f>
        <v>0</v>
      </c>
      <c r="AE37" s="97">
        <f ca="1">SUMPRODUCT((Portfolio!$F91:$J91=AE$4)*(Portfolio!$F93:$J93))</f>
        <v>0</v>
      </c>
      <c r="AF37" s="96">
        <f ca="1">SUMPRODUCT((Portfolio!$F91:$J91=AF$4)*(Portfolio!$F93:$J93))</f>
        <v>0</v>
      </c>
      <c r="AG37" s="96">
        <f ca="1">SUMPRODUCT((Portfolio!$F91:$J91=AG$4)*(Portfolio!$F93:$J93))</f>
        <v>0</v>
      </c>
      <c r="AH37" s="96">
        <f ca="1">SUMPRODUCT((Portfolio!$F91:$J91=AH$4)*(Portfolio!$F93:$J93))</f>
        <v>0</v>
      </c>
      <c r="AI37" s="97">
        <f ca="1">SUMPRODUCT((Portfolio!$F91:$J91=AI$4)*(Portfolio!$F93:$J93))</f>
        <v>0</v>
      </c>
      <c r="AJ37" s="96">
        <f ca="1">SUMPRODUCT((Portfolio!$F91:$J91=AJ$4)*(Portfolio!$F93:$J93))</f>
        <v>0</v>
      </c>
      <c r="AK37" s="96">
        <f ca="1">SUMPRODUCT((Portfolio!$F91:$J91=AK$4)*(Portfolio!$F93:$J93))</f>
        <v>0</v>
      </c>
      <c r="AL37" s="96">
        <f ca="1">SUMPRODUCT((Portfolio!$F91:$J91=AL$4)*(Portfolio!$F93:$J93))</f>
        <v>0</v>
      </c>
      <c r="AM37" s="97">
        <f ca="1">SUMPRODUCT((Portfolio!$F91:$J91=AM$4)*(Portfolio!$F93:$J93))</f>
        <v>0</v>
      </c>
      <c r="AN37" s="96">
        <f ca="1">SUMPRODUCT((Portfolio!$F91:$J91=AN$4)*(Portfolio!$F93:$J93))</f>
        <v>0</v>
      </c>
      <c r="AO37" s="96">
        <f ca="1">SUMPRODUCT((Portfolio!$F91:$J91=AO$4)*(Portfolio!$F93:$J93))</f>
        <v>0</v>
      </c>
      <c r="AP37" s="96">
        <f ca="1">SUMPRODUCT((Portfolio!$F91:$J91=AP$4)*(Portfolio!$F93:$J93))</f>
        <v>0</v>
      </c>
      <c r="AQ37" s="97">
        <f ca="1">SUMPRODUCT((Portfolio!$F91:$J91=AQ$4)*(Portfolio!$F93:$J93))</f>
        <v>0</v>
      </c>
      <c r="AR37" s="96">
        <f ca="1">SUMPRODUCT((Portfolio!$F91:$J91=AR$4)*(Portfolio!$F93:$J93))</f>
        <v>0</v>
      </c>
      <c r="AS37" s="96">
        <f ca="1">SUMPRODUCT((Portfolio!$F91:$J91=AS$4)*(Portfolio!$F93:$J93))</f>
        <v>0</v>
      </c>
      <c r="AT37" s="96">
        <f ca="1">SUMPRODUCT((Portfolio!$F91:$J91=AT$4)*(Portfolio!$F93:$J93))</f>
        <v>0</v>
      </c>
      <c r="AU37" s="97">
        <f ca="1">SUMPRODUCT((Portfolio!$F91:$J91=AU$4)*(Portfolio!$F93:$J93))</f>
        <v>0</v>
      </c>
      <c r="AV37" s="96"/>
      <c r="AW37" s="98"/>
      <c r="AX37" s="98"/>
      <c r="AY37" s="99"/>
    </row>
    <row r="38" spans="1:51" ht="15.75" hidden="1" customHeight="1" outlineLevel="1" x14ac:dyDescent="0.2">
      <c r="A38" s="83"/>
      <c r="B38" s="92">
        <f>IF(Portfolio!C94&lt;&gt;"",Portfolio!C94,"")</f>
        <v>30</v>
      </c>
      <c r="C38" s="93" t="str">
        <f>IF(Portfolio!D94&lt;&gt;"",Portfolio!D94,"")</f>
        <v>Company 30</v>
      </c>
      <c r="D38" s="94">
        <f ca="1">SUMPRODUCT((Portfolio!$F94:$J94=D$4)*(Portfolio!$F96:$J96))</f>
        <v>0</v>
      </c>
      <c r="E38" s="94">
        <f ca="1">SUMPRODUCT((Portfolio!$F94:$J94=E$4)*(Portfolio!$F96:$J96))</f>
        <v>0</v>
      </c>
      <c r="F38" s="94">
        <f ca="1">SUMPRODUCT((Portfolio!$F94:$J94=F$4)*(Portfolio!$F96:$J96))</f>
        <v>0</v>
      </c>
      <c r="G38" s="95">
        <f ca="1">SUMPRODUCT((Portfolio!$F94:$J94=G$4)*(Portfolio!$F96:$J96))</f>
        <v>0</v>
      </c>
      <c r="H38" s="94">
        <f ca="1">SUMPRODUCT((Portfolio!$F94:$J94=H$4)*(Portfolio!$F96:$J96))</f>
        <v>0</v>
      </c>
      <c r="I38" s="94">
        <f ca="1">SUMPRODUCT((Portfolio!$F94:$J94=I$4)*(Portfolio!$F96:$J96))</f>
        <v>0</v>
      </c>
      <c r="J38" s="94">
        <f ca="1">SUMPRODUCT((Portfolio!$F94:$J94=J$4)*(Portfolio!$F96:$J96))</f>
        <v>0</v>
      </c>
      <c r="K38" s="95">
        <f ca="1">SUMPRODUCT((Portfolio!$F94:$J94=K$4)*(Portfolio!$F96:$J96))</f>
        <v>0</v>
      </c>
      <c r="L38" s="96">
        <f ca="1">SUMPRODUCT((Portfolio!$F94:$J94=L$4)*(Portfolio!$F96:$J96))</f>
        <v>0</v>
      </c>
      <c r="M38" s="96">
        <f ca="1">SUMPRODUCT((Portfolio!$F94:$J94=M$4)*(Portfolio!$F96:$J96))</f>
        <v>0</v>
      </c>
      <c r="N38" s="96">
        <f ca="1">SUMPRODUCT((Portfolio!$F94:$J94=N$4)*(Portfolio!$F96:$J96))</f>
        <v>0</v>
      </c>
      <c r="O38" s="95">
        <f ca="1">SUMPRODUCT((Portfolio!$F94:$J94=O$4)*(Portfolio!$F96:$J96))</f>
        <v>1250000</v>
      </c>
      <c r="P38" s="96">
        <f ca="1">SUMPRODUCT((Portfolio!$F94:$J94=P$4)*(Portfolio!$F96:$J96))</f>
        <v>0</v>
      </c>
      <c r="Q38" s="96">
        <f ca="1">SUMPRODUCT((Portfolio!$F94:$J94=Q$4)*(Portfolio!$F96:$J96))</f>
        <v>0</v>
      </c>
      <c r="R38" s="96">
        <f ca="1">SUMPRODUCT((Portfolio!$F94:$J94=R$4)*(Portfolio!$F96:$J96))</f>
        <v>0</v>
      </c>
      <c r="S38" s="97">
        <f ca="1">SUMPRODUCT((Portfolio!$F94:$J94=S$4)*(Portfolio!$F96:$J96))</f>
        <v>0</v>
      </c>
      <c r="T38" s="96">
        <f ca="1">SUMPRODUCT((Portfolio!$F94:$J94=T$4)*(Portfolio!$F96:$J96))</f>
        <v>112500</v>
      </c>
      <c r="U38" s="96">
        <f ca="1">SUMPRODUCT((Portfolio!$F94:$J94=U$4)*(Portfolio!$F96:$J96))</f>
        <v>937500</v>
      </c>
      <c r="V38" s="96">
        <f ca="1">SUMPRODUCT((Portfolio!$F94:$J94=V$4)*(Portfolio!$F96:$J96))</f>
        <v>0</v>
      </c>
      <c r="W38" s="97">
        <f ca="1">SUMPRODUCT((Portfolio!$F94:$J94=W$4)*(Portfolio!$F96:$J96))</f>
        <v>0</v>
      </c>
      <c r="X38" s="96">
        <f ca="1">SUMPRODUCT((Portfolio!$F94:$J94=X$4)*(Portfolio!$F96:$J96))</f>
        <v>0</v>
      </c>
      <c r="Y38" s="96">
        <f ca="1">SUMPRODUCT((Portfolio!$F94:$J94=Y$4)*(Portfolio!$F96:$J96))</f>
        <v>0</v>
      </c>
      <c r="Z38" s="96">
        <f ca="1">SUMPRODUCT((Portfolio!$F94:$J94=Z$4)*(Portfolio!$F96:$J96))</f>
        <v>0</v>
      </c>
      <c r="AA38" s="97">
        <f ca="1">SUMPRODUCT((Portfolio!$F94:$J94=AA$4)*(Portfolio!$F96:$J96))</f>
        <v>750000</v>
      </c>
      <c r="AB38" s="96">
        <f ca="1">SUMPRODUCT((Portfolio!$F94:$J94=AB$4)*(Portfolio!$F96:$J96))</f>
        <v>0</v>
      </c>
      <c r="AC38" s="96">
        <f ca="1">SUMPRODUCT((Portfolio!$F94:$J94=AC$4)*(Portfolio!$F96:$J96))</f>
        <v>0</v>
      </c>
      <c r="AD38" s="96">
        <f ca="1">SUMPRODUCT((Portfolio!$F94:$J94=AD$4)*(Portfolio!$F96:$J96))</f>
        <v>0</v>
      </c>
      <c r="AE38" s="97">
        <f ca="1">SUMPRODUCT((Portfolio!$F94:$J94=AE$4)*(Portfolio!$F96:$J96))</f>
        <v>0</v>
      </c>
      <c r="AF38" s="96">
        <f ca="1">SUMPRODUCT((Portfolio!$F94:$J94=AF$4)*(Portfolio!$F96:$J96))</f>
        <v>0</v>
      </c>
      <c r="AG38" s="96">
        <f ca="1">SUMPRODUCT((Portfolio!$F94:$J94=AG$4)*(Portfolio!$F96:$J96))</f>
        <v>0</v>
      </c>
      <c r="AH38" s="96">
        <f ca="1">SUMPRODUCT((Portfolio!$F94:$J94=AH$4)*(Portfolio!$F96:$J96))</f>
        <v>0</v>
      </c>
      <c r="AI38" s="97">
        <f ca="1">SUMPRODUCT((Portfolio!$F94:$J94=AI$4)*(Portfolio!$F96:$J96))</f>
        <v>0</v>
      </c>
      <c r="AJ38" s="96">
        <f ca="1">SUMPRODUCT((Portfolio!$F94:$J94=AJ$4)*(Portfolio!$F96:$J96))</f>
        <v>0</v>
      </c>
      <c r="AK38" s="96">
        <f ca="1">SUMPRODUCT((Portfolio!$F94:$J94=AK$4)*(Portfolio!$F96:$J96))</f>
        <v>0</v>
      </c>
      <c r="AL38" s="96">
        <f ca="1">SUMPRODUCT((Portfolio!$F94:$J94=AL$4)*(Portfolio!$F96:$J96))</f>
        <v>0</v>
      </c>
      <c r="AM38" s="97">
        <f ca="1">SUMPRODUCT((Portfolio!$F94:$J94=AM$4)*(Portfolio!$F96:$J96))</f>
        <v>0</v>
      </c>
      <c r="AN38" s="96">
        <f ca="1">SUMPRODUCT((Portfolio!$F94:$J94=AN$4)*(Portfolio!$F96:$J96))</f>
        <v>0</v>
      </c>
      <c r="AO38" s="96">
        <f ca="1">SUMPRODUCT((Portfolio!$F94:$J94=AO$4)*(Portfolio!$F96:$J96))</f>
        <v>0</v>
      </c>
      <c r="AP38" s="96">
        <f ca="1">SUMPRODUCT((Portfolio!$F94:$J94=AP$4)*(Portfolio!$F96:$J96))</f>
        <v>0</v>
      </c>
      <c r="AQ38" s="97">
        <f ca="1">SUMPRODUCT((Portfolio!$F94:$J94=AQ$4)*(Portfolio!$F96:$J96))</f>
        <v>0</v>
      </c>
      <c r="AR38" s="96">
        <f ca="1">SUMPRODUCT((Portfolio!$F94:$J94=AR$4)*(Portfolio!$F96:$J96))</f>
        <v>0</v>
      </c>
      <c r="AS38" s="96">
        <f ca="1">SUMPRODUCT((Portfolio!$F94:$J94=AS$4)*(Portfolio!$F96:$J96))</f>
        <v>0</v>
      </c>
      <c r="AT38" s="96">
        <f ca="1">SUMPRODUCT((Portfolio!$F94:$J94=AT$4)*(Portfolio!$F96:$J96))</f>
        <v>0</v>
      </c>
      <c r="AU38" s="97">
        <f ca="1">SUMPRODUCT((Portfolio!$F94:$J94=AU$4)*(Portfolio!$F96:$J96))</f>
        <v>0</v>
      </c>
      <c r="AV38" s="96"/>
      <c r="AW38" s="98"/>
      <c r="AX38" s="98"/>
      <c r="AY38" s="99"/>
    </row>
    <row r="39" spans="1:51" ht="15.75" hidden="1" customHeight="1" outlineLevel="1" x14ac:dyDescent="0.2">
      <c r="A39" s="83"/>
      <c r="B39" s="92">
        <f>IF(Portfolio!C97&lt;&gt;"",Portfolio!C97,"")</f>
        <v>31</v>
      </c>
      <c r="C39" s="93" t="str">
        <f>IF(Portfolio!D97&lt;&gt;"",Portfolio!D97,"")</f>
        <v>Company 31</v>
      </c>
      <c r="D39" s="94">
        <f ca="1">SUMPRODUCT((Portfolio!$F97:$J97=D$4)*(Portfolio!$F99:$J99))</f>
        <v>0</v>
      </c>
      <c r="E39" s="94">
        <f ca="1">SUMPRODUCT((Portfolio!$F97:$J97=E$4)*(Portfolio!$F99:$J99))</f>
        <v>0</v>
      </c>
      <c r="F39" s="94">
        <f ca="1">SUMPRODUCT((Portfolio!$F97:$J97=F$4)*(Portfolio!$F99:$J99))</f>
        <v>0</v>
      </c>
      <c r="G39" s="95">
        <f ca="1">SUMPRODUCT((Portfolio!$F97:$J97=G$4)*(Portfolio!$F99:$J99))</f>
        <v>0</v>
      </c>
      <c r="H39" s="94">
        <f ca="1">SUMPRODUCT((Portfolio!$F97:$J97=H$4)*(Portfolio!$F99:$J99))</f>
        <v>0</v>
      </c>
      <c r="I39" s="94">
        <f ca="1">SUMPRODUCT((Portfolio!$F97:$J97=I$4)*(Portfolio!$F99:$J99))</f>
        <v>0</v>
      </c>
      <c r="J39" s="94">
        <f ca="1">SUMPRODUCT((Portfolio!$F97:$J97=J$4)*(Portfolio!$F99:$J99))</f>
        <v>0</v>
      </c>
      <c r="K39" s="95">
        <f ca="1">SUMPRODUCT((Portfolio!$F97:$J97=K$4)*(Portfolio!$F99:$J99))</f>
        <v>0</v>
      </c>
      <c r="L39" s="96">
        <f ca="1">SUMPRODUCT((Portfolio!$F97:$J97=L$4)*(Portfolio!$F99:$J99))</f>
        <v>0</v>
      </c>
      <c r="M39" s="96">
        <f ca="1">SUMPRODUCT((Portfolio!$F97:$J97=M$4)*(Portfolio!$F99:$J99))</f>
        <v>0</v>
      </c>
      <c r="N39" s="96">
        <f ca="1">SUMPRODUCT((Portfolio!$F97:$J97=N$4)*(Portfolio!$F99:$J99))</f>
        <v>0</v>
      </c>
      <c r="O39" s="95">
        <f ca="1">SUMPRODUCT((Portfolio!$F97:$J97=O$4)*(Portfolio!$F99:$J99))</f>
        <v>1250000</v>
      </c>
      <c r="P39" s="96">
        <f ca="1">SUMPRODUCT((Portfolio!$F97:$J97=P$4)*(Portfolio!$F99:$J99))</f>
        <v>0</v>
      </c>
      <c r="Q39" s="96">
        <f ca="1">SUMPRODUCT((Portfolio!$F97:$J97=Q$4)*(Portfolio!$F99:$J99))</f>
        <v>0</v>
      </c>
      <c r="R39" s="96">
        <f ca="1">SUMPRODUCT((Portfolio!$F97:$J97=R$4)*(Portfolio!$F99:$J99))</f>
        <v>0</v>
      </c>
      <c r="S39" s="97">
        <f ca="1">SUMPRODUCT((Portfolio!$F97:$J97=S$4)*(Portfolio!$F99:$J99))</f>
        <v>0</v>
      </c>
      <c r="T39" s="96">
        <f ca="1">SUMPRODUCT((Portfolio!$F97:$J97=T$4)*(Portfolio!$F99:$J99))</f>
        <v>112500</v>
      </c>
      <c r="U39" s="96">
        <f ca="1">SUMPRODUCT((Portfolio!$F97:$J97=U$4)*(Portfolio!$F99:$J99))</f>
        <v>937500</v>
      </c>
      <c r="V39" s="96">
        <f ca="1">SUMPRODUCT((Portfolio!$F97:$J97=V$4)*(Portfolio!$F99:$J99))</f>
        <v>0</v>
      </c>
      <c r="W39" s="97">
        <f ca="1">SUMPRODUCT((Portfolio!$F97:$J97=W$4)*(Portfolio!$F99:$J99))</f>
        <v>0</v>
      </c>
      <c r="X39" s="96">
        <f ca="1">SUMPRODUCT((Portfolio!$F97:$J97=X$4)*(Portfolio!$F99:$J99))</f>
        <v>0</v>
      </c>
      <c r="Y39" s="96">
        <f ca="1">SUMPRODUCT((Portfolio!$F97:$J97=Y$4)*(Portfolio!$F99:$J99))</f>
        <v>0</v>
      </c>
      <c r="Z39" s="96">
        <f ca="1">SUMPRODUCT((Portfolio!$F97:$J97=Z$4)*(Portfolio!$F99:$J99))</f>
        <v>0</v>
      </c>
      <c r="AA39" s="97">
        <f ca="1">SUMPRODUCT((Portfolio!$F97:$J97=AA$4)*(Portfolio!$F99:$J99))</f>
        <v>750000</v>
      </c>
      <c r="AB39" s="96">
        <f ca="1">SUMPRODUCT((Portfolio!$F97:$J97=AB$4)*(Portfolio!$F99:$J99))</f>
        <v>0</v>
      </c>
      <c r="AC39" s="96">
        <f ca="1">SUMPRODUCT((Portfolio!$F97:$J97=AC$4)*(Portfolio!$F99:$J99))</f>
        <v>0</v>
      </c>
      <c r="AD39" s="96">
        <f ca="1">SUMPRODUCT((Portfolio!$F97:$J97=AD$4)*(Portfolio!$F99:$J99))</f>
        <v>0</v>
      </c>
      <c r="AE39" s="97">
        <f ca="1">SUMPRODUCT((Portfolio!$F97:$J97=AE$4)*(Portfolio!$F99:$J99))</f>
        <v>0</v>
      </c>
      <c r="AF39" s="96">
        <f ca="1">SUMPRODUCT((Portfolio!$F97:$J97=AF$4)*(Portfolio!$F99:$J99))</f>
        <v>0</v>
      </c>
      <c r="AG39" s="96">
        <f ca="1">SUMPRODUCT((Portfolio!$F97:$J97=AG$4)*(Portfolio!$F99:$J99))</f>
        <v>0</v>
      </c>
      <c r="AH39" s="96">
        <f ca="1">SUMPRODUCT((Portfolio!$F97:$J97=AH$4)*(Portfolio!$F99:$J99))</f>
        <v>0</v>
      </c>
      <c r="AI39" s="97">
        <f ca="1">SUMPRODUCT((Portfolio!$F97:$J97=AI$4)*(Portfolio!$F99:$J99))</f>
        <v>0</v>
      </c>
      <c r="AJ39" s="96">
        <f ca="1">SUMPRODUCT((Portfolio!$F97:$J97=AJ$4)*(Portfolio!$F99:$J99))</f>
        <v>0</v>
      </c>
      <c r="AK39" s="96">
        <f ca="1">SUMPRODUCT((Portfolio!$F97:$J97=AK$4)*(Portfolio!$F99:$J99))</f>
        <v>0</v>
      </c>
      <c r="AL39" s="96">
        <f ca="1">SUMPRODUCT((Portfolio!$F97:$J97=AL$4)*(Portfolio!$F99:$J99))</f>
        <v>0</v>
      </c>
      <c r="AM39" s="97">
        <f ca="1">SUMPRODUCT((Portfolio!$F97:$J97=AM$4)*(Portfolio!$F99:$J99))</f>
        <v>0</v>
      </c>
      <c r="AN39" s="96">
        <f ca="1">SUMPRODUCT((Portfolio!$F97:$J97=AN$4)*(Portfolio!$F99:$J99))</f>
        <v>0</v>
      </c>
      <c r="AO39" s="96">
        <f ca="1">SUMPRODUCT((Portfolio!$F97:$J97=AO$4)*(Portfolio!$F99:$J99))</f>
        <v>0</v>
      </c>
      <c r="AP39" s="96">
        <f ca="1">SUMPRODUCT((Portfolio!$F97:$J97=AP$4)*(Portfolio!$F99:$J99))</f>
        <v>0</v>
      </c>
      <c r="AQ39" s="97">
        <f ca="1">SUMPRODUCT((Portfolio!$F97:$J97=AQ$4)*(Portfolio!$F99:$J99))</f>
        <v>0</v>
      </c>
      <c r="AR39" s="96">
        <f ca="1">SUMPRODUCT((Portfolio!$F97:$J97=AR$4)*(Portfolio!$F99:$J99))</f>
        <v>0</v>
      </c>
      <c r="AS39" s="96">
        <f ca="1">SUMPRODUCT((Portfolio!$F97:$J97=AS$4)*(Portfolio!$F99:$J99))</f>
        <v>0</v>
      </c>
      <c r="AT39" s="96">
        <f ca="1">SUMPRODUCT((Portfolio!$F97:$J97=AT$4)*(Portfolio!$F99:$J99))</f>
        <v>0</v>
      </c>
      <c r="AU39" s="97">
        <f ca="1">SUMPRODUCT((Portfolio!$F97:$J97=AU$4)*(Portfolio!$F99:$J99))</f>
        <v>0</v>
      </c>
      <c r="AV39" s="96"/>
      <c r="AW39" s="98"/>
      <c r="AX39" s="98"/>
      <c r="AY39" s="99"/>
    </row>
    <row r="40" spans="1:51" ht="15.75" hidden="1" customHeight="1" outlineLevel="1" x14ac:dyDescent="0.2">
      <c r="A40" s="83"/>
      <c r="B40" s="92">
        <f>IF(Portfolio!C100&lt;&gt;"",Portfolio!C100,"")</f>
        <v>32</v>
      </c>
      <c r="C40" s="93" t="str">
        <f>IF(Portfolio!D100&lt;&gt;"",Portfolio!D100,"")</f>
        <v>Company 32</v>
      </c>
      <c r="D40" s="94">
        <f ca="1">SUMPRODUCT((Portfolio!$F100:$J100=D$4)*(Portfolio!$F102:$J102))</f>
        <v>0</v>
      </c>
      <c r="E40" s="94">
        <f ca="1">SUMPRODUCT((Portfolio!$F100:$J100=E$4)*(Portfolio!$F102:$J102))</f>
        <v>0</v>
      </c>
      <c r="F40" s="94">
        <f ca="1">SUMPRODUCT((Portfolio!$F100:$J100=F$4)*(Portfolio!$F102:$J102))</f>
        <v>0</v>
      </c>
      <c r="G40" s="95">
        <f ca="1">SUMPRODUCT((Portfolio!$F100:$J100=G$4)*(Portfolio!$F102:$J102))</f>
        <v>0</v>
      </c>
      <c r="H40" s="94">
        <f ca="1">SUMPRODUCT((Portfolio!$F100:$J100=H$4)*(Portfolio!$F102:$J102))</f>
        <v>0</v>
      </c>
      <c r="I40" s="94">
        <f ca="1">SUMPRODUCT((Portfolio!$F100:$J100=I$4)*(Portfolio!$F102:$J102))</f>
        <v>0</v>
      </c>
      <c r="J40" s="94">
        <f ca="1">SUMPRODUCT((Portfolio!$F100:$J100=J$4)*(Portfolio!$F102:$J102))</f>
        <v>0</v>
      </c>
      <c r="K40" s="95">
        <f ca="1">SUMPRODUCT((Portfolio!$F100:$J100=K$4)*(Portfolio!$F102:$J102))</f>
        <v>0</v>
      </c>
      <c r="L40" s="96">
        <f ca="1">SUMPRODUCT((Portfolio!$F100:$J100=L$4)*(Portfolio!$F102:$J102))</f>
        <v>0</v>
      </c>
      <c r="M40" s="96">
        <f ca="1">SUMPRODUCT((Portfolio!$F100:$J100=M$4)*(Portfolio!$F102:$J102))</f>
        <v>0</v>
      </c>
      <c r="N40" s="96">
        <f ca="1">SUMPRODUCT((Portfolio!$F100:$J100=N$4)*(Portfolio!$F102:$J102))</f>
        <v>0</v>
      </c>
      <c r="O40" s="95">
        <f ca="1">SUMPRODUCT((Portfolio!$F100:$J100=O$4)*(Portfolio!$F102:$J102))</f>
        <v>0</v>
      </c>
      <c r="P40" s="96">
        <f ca="1">SUMPRODUCT((Portfolio!$F100:$J100=P$4)*(Portfolio!$F102:$J102))</f>
        <v>1250000</v>
      </c>
      <c r="Q40" s="96">
        <f ca="1">SUMPRODUCT((Portfolio!$F100:$J100=Q$4)*(Portfolio!$F102:$J102))</f>
        <v>0</v>
      </c>
      <c r="R40" s="96">
        <f ca="1">SUMPRODUCT((Portfolio!$F100:$J100=R$4)*(Portfolio!$F102:$J102))</f>
        <v>0</v>
      </c>
      <c r="S40" s="97">
        <f ca="1">SUMPRODUCT((Portfolio!$F100:$J100=S$4)*(Portfolio!$F102:$J102))</f>
        <v>0</v>
      </c>
      <c r="T40" s="96">
        <f ca="1">SUMPRODUCT((Portfolio!$F100:$J100=T$4)*(Portfolio!$F102:$J102))</f>
        <v>0</v>
      </c>
      <c r="U40" s="96">
        <f ca="1">SUMPRODUCT((Portfolio!$F100:$J100=U$4)*(Portfolio!$F102:$J102))</f>
        <v>112500</v>
      </c>
      <c r="V40" s="96">
        <f ca="1">SUMPRODUCT((Portfolio!$F100:$J100=V$4)*(Portfolio!$F102:$J102))</f>
        <v>937500</v>
      </c>
      <c r="W40" s="97">
        <f ca="1">SUMPRODUCT((Portfolio!$F100:$J100=W$4)*(Portfolio!$F102:$J102))</f>
        <v>0</v>
      </c>
      <c r="X40" s="96">
        <f ca="1">SUMPRODUCT((Portfolio!$F100:$J100=X$4)*(Portfolio!$F102:$J102))</f>
        <v>0</v>
      </c>
      <c r="Y40" s="96">
        <f ca="1">SUMPRODUCT((Portfolio!$F100:$J100=Y$4)*(Portfolio!$F102:$J102))</f>
        <v>0</v>
      </c>
      <c r="Z40" s="96">
        <f ca="1">SUMPRODUCT((Portfolio!$F100:$J100=Z$4)*(Portfolio!$F102:$J102))</f>
        <v>0</v>
      </c>
      <c r="AA40" s="97">
        <f ca="1">SUMPRODUCT((Portfolio!$F100:$J100=AA$4)*(Portfolio!$F102:$J102))</f>
        <v>750000</v>
      </c>
      <c r="AB40" s="96">
        <f ca="1">SUMPRODUCT((Portfolio!$F100:$J100=AB$4)*(Portfolio!$F102:$J102))</f>
        <v>0</v>
      </c>
      <c r="AC40" s="96">
        <f ca="1">SUMPRODUCT((Portfolio!$F100:$J100=AC$4)*(Portfolio!$F102:$J102))</f>
        <v>0</v>
      </c>
      <c r="AD40" s="96">
        <f ca="1">SUMPRODUCT((Portfolio!$F100:$J100=AD$4)*(Portfolio!$F102:$J102))</f>
        <v>0</v>
      </c>
      <c r="AE40" s="97">
        <f ca="1">SUMPRODUCT((Portfolio!$F100:$J100=AE$4)*(Portfolio!$F102:$J102))</f>
        <v>0</v>
      </c>
      <c r="AF40" s="96">
        <f ca="1">SUMPRODUCT((Portfolio!$F100:$J100=AF$4)*(Portfolio!$F102:$J102))</f>
        <v>0</v>
      </c>
      <c r="AG40" s="96">
        <f ca="1">SUMPRODUCT((Portfolio!$F100:$J100=AG$4)*(Portfolio!$F102:$J102))</f>
        <v>0</v>
      </c>
      <c r="AH40" s="96">
        <f ca="1">SUMPRODUCT((Portfolio!$F100:$J100=AH$4)*(Portfolio!$F102:$J102))</f>
        <v>0</v>
      </c>
      <c r="AI40" s="97">
        <f ca="1">SUMPRODUCT((Portfolio!$F100:$J100=AI$4)*(Portfolio!$F102:$J102))</f>
        <v>0</v>
      </c>
      <c r="AJ40" s="96">
        <f ca="1">SUMPRODUCT((Portfolio!$F100:$J100=AJ$4)*(Portfolio!$F102:$J102))</f>
        <v>0</v>
      </c>
      <c r="AK40" s="96">
        <f ca="1">SUMPRODUCT((Portfolio!$F100:$J100=AK$4)*(Portfolio!$F102:$J102))</f>
        <v>0</v>
      </c>
      <c r="AL40" s="96">
        <f ca="1">SUMPRODUCT((Portfolio!$F100:$J100=AL$4)*(Portfolio!$F102:$J102))</f>
        <v>0</v>
      </c>
      <c r="AM40" s="97">
        <f ca="1">SUMPRODUCT((Portfolio!$F100:$J100=AM$4)*(Portfolio!$F102:$J102))</f>
        <v>0</v>
      </c>
      <c r="AN40" s="96">
        <f ca="1">SUMPRODUCT((Portfolio!$F100:$J100=AN$4)*(Portfolio!$F102:$J102))</f>
        <v>0</v>
      </c>
      <c r="AO40" s="96">
        <f ca="1">SUMPRODUCT((Portfolio!$F100:$J100=AO$4)*(Portfolio!$F102:$J102))</f>
        <v>0</v>
      </c>
      <c r="AP40" s="96">
        <f ca="1">SUMPRODUCT((Portfolio!$F100:$J100=AP$4)*(Portfolio!$F102:$J102))</f>
        <v>0</v>
      </c>
      <c r="AQ40" s="97">
        <f ca="1">SUMPRODUCT((Portfolio!$F100:$J100=AQ$4)*(Portfolio!$F102:$J102))</f>
        <v>0</v>
      </c>
      <c r="AR40" s="96">
        <f ca="1">SUMPRODUCT((Portfolio!$F100:$J100=AR$4)*(Portfolio!$F102:$J102))</f>
        <v>0</v>
      </c>
      <c r="AS40" s="96">
        <f ca="1">SUMPRODUCT((Portfolio!$F100:$J100=AS$4)*(Portfolio!$F102:$J102))</f>
        <v>0</v>
      </c>
      <c r="AT40" s="96">
        <f ca="1">SUMPRODUCT((Portfolio!$F100:$J100=AT$4)*(Portfolio!$F102:$J102))</f>
        <v>0</v>
      </c>
      <c r="AU40" s="97">
        <f ca="1">SUMPRODUCT((Portfolio!$F100:$J100=AU$4)*(Portfolio!$F102:$J102))</f>
        <v>0</v>
      </c>
      <c r="AV40" s="96"/>
      <c r="AW40" s="98"/>
      <c r="AX40" s="98"/>
      <c r="AY40" s="99"/>
    </row>
    <row r="41" spans="1:51" ht="15.75" hidden="1" customHeight="1" outlineLevel="1" x14ac:dyDescent="0.2">
      <c r="A41" s="83"/>
      <c r="B41" s="92">
        <f>IF(Portfolio!C103&lt;&gt;"",Portfolio!C103,"")</f>
        <v>33</v>
      </c>
      <c r="C41" s="93" t="str">
        <f>IF(Portfolio!D103&lt;&gt;"",Portfolio!D103,"")</f>
        <v>Company 33</v>
      </c>
      <c r="D41" s="94">
        <f ca="1">SUMPRODUCT((Portfolio!$F103:$J103=D$4)*(Portfolio!$F105:$J105))</f>
        <v>0</v>
      </c>
      <c r="E41" s="94">
        <f ca="1">SUMPRODUCT((Portfolio!$F103:$J103=E$4)*(Portfolio!$F105:$J105))</f>
        <v>0</v>
      </c>
      <c r="F41" s="94">
        <f ca="1">SUMPRODUCT((Portfolio!$F103:$J103=F$4)*(Portfolio!$F105:$J105))</f>
        <v>0</v>
      </c>
      <c r="G41" s="95">
        <f ca="1">SUMPRODUCT((Portfolio!$F103:$J103=G$4)*(Portfolio!$F105:$J105))</f>
        <v>0</v>
      </c>
      <c r="H41" s="94">
        <f ca="1">SUMPRODUCT((Portfolio!$F103:$J103=H$4)*(Portfolio!$F105:$J105))</f>
        <v>0</v>
      </c>
      <c r="I41" s="94">
        <f ca="1">SUMPRODUCT((Portfolio!$F103:$J103=I$4)*(Portfolio!$F105:$J105))</f>
        <v>0</v>
      </c>
      <c r="J41" s="94">
        <f ca="1">SUMPRODUCT((Portfolio!$F103:$J103=J$4)*(Portfolio!$F105:$J105))</f>
        <v>0</v>
      </c>
      <c r="K41" s="95">
        <f ca="1">SUMPRODUCT((Portfolio!$F103:$J103=K$4)*(Portfolio!$F105:$J105))</f>
        <v>0</v>
      </c>
      <c r="L41" s="96">
        <f ca="1">SUMPRODUCT((Portfolio!$F103:$J103=L$4)*(Portfolio!$F105:$J105))</f>
        <v>0</v>
      </c>
      <c r="M41" s="96">
        <f ca="1">SUMPRODUCT((Portfolio!$F103:$J103=M$4)*(Portfolio!$F105:$J105))</f>
        <v>0</v>
      </c>
      <c r="N41" s="96">
        <f ca="1">SUMPRODUCT((Portfolio!$F103:$J103=N$4)*(Portfolio!$F105:$J105))</f>
        <v>0</v>
      </c>
      <c r="O41" s="95">
        <f ca="1">SUMPRODUCT((Portfolio!$F103:$J103=O$4)*(Portfolio!$F105:$J105))</f>
        <v>0</v>
      </c>
      <c r="P41" s="96">
        <f ca="1">SUMPRODUCT((Portfolio!$F103:$J103=P$4)*(Portfolio!$F105:$J105))</f>
        <v>1250000</v>
      </c>
      <c r="Q41" s="96">
        <f ca="1">SUMPRODUCT((Portfolio!$F103:$J103=Q$4)*(Portfolio!$F105:$J105))</f>
        <v>0</v>
      </c>
      <c r="R41" s="96">
        <f ca="1">SUMPRODUCT((Portfolio!$F103:$J103=R$4)*(Portfolio!$F105:$J105))</f>
        <v>0</v>
      </c>
      <c r="S41" s="97">
        <f ca="1">SUMPRODUCT((Portfolio!$F103:$J103=S$4)*(Portfolio!$F105:$J105))</f>
        <v>0</v>
      </c>
      <c r="T41" s="96">
        <f ca="1">SUMPRODUCT((Portfolio!$F103:$J103=T$4)*(Portfolio!$F105:$J105))</f>
        <v>0</v>
      </c>
      <c r="U41" s="96">
        <f ca="1">SUMPRODUCT((Portfolio!$F103:$J103=U$4)*(Portfolio!$F105:$J105))</f>
        <v>112500</v>
      </c>
      <c r="V41" s="96">
        <f ca="1">SUMPRODUCT((Portfolio!$F103:$J103=V$4)*(Portfolio!$F105:$J105))</f>
        <v>937500</v>
      </c>
      <c r="W41" s="97">
        <f ca="1">SUMPRODUCT((Portfolio!$F103:$J103=W$4)*(Portfolio!$F105:$J105))</f>
        <v>0</v>
      </c>
      <c r="X41" s="96">
        <f ca="1">SUMPRODUCT((Portfolio!$F103:$J103=X$4)*(Portfolio!$F105:$J105))</f>
        <v>0</v>
      </c>
      <c r="Y41" s="96">
        <f ca="1">SUMPRODUCT((Portfolio!$F103:$J103=Y$4)*(Portfolio!$F105:$J105))</f>
        <v>0</v>
      </c>
      <c r="Z41" s="96">
        <f ca="1">SUMPRODUCT((Portfolio!$F103:$J103=Z$4)*(Portfolio!$F105:$J105))</f>
        <v>0</v>
      </c>
      <c r="AA41" s="97">
        <f ca="1">SUMPRODUCT((Portfolio!$F103:$J103=AA$4)*(Portfolio!$F105:$J105))</f>
        <v>0</v>
      </c>
      <c r="AB41" s="96">
        <f ca="1">SUMPRODUCT((Portfolio!$F103:$J103=AB$4)*(Portfolio!$F105:$J105))</f>
        <v>750000</v>
      </c>
      <c r="AC41" s="96">
        <f ca="1">SUMPRODUCT((Portfolio!$F103:$J103=AC$4)*(Portfolio!$F105:$J105))</f>
        <v>0</v>
      </c>
      <c r="AD41" s="96">
        <f ca="1">SUMPRODUCT((Portfolio!$F103:$J103=AD$4)*(Portfolio!$F105:$J105))</f>
        <v>0</v>
      </c>
      <c r="AE41" s="97">
        <f ca="1">SUMPRODUCT((Portfolio!$F103:$J103=AE$4)*(Portfolio!$F105:$J105))</f>
        <v>0</v>
      </c>
      <c r="AF41" s="96">
        <f ca="1">SUMPRODUCT((Portfolio!$F103:$J103=AF$4)*(Portfolio!$F105:$J105))</f>
        <v>0</v>
      </c>
      <c r="AG41" s="96">
        <f ca="1">SUMPRODUCT((Portfolio!$F103:$J103=AG$4)*(Portfolio!$F105:$J105))</f>
        <v>0</v>
      </c>
      <c r="AH41" s="96">
        <f ca="1">SUMPRODUCT((Portfolio!$F103:$J103=AH$4)*(Portfolio!$F105:$J105))</f>
        <v>0</v>
      </c>
      <c r="AI41" s="97">
        <f ca="1">SUMPRODUCT((Portfolio!$F103:$J103=AI$4)*(Portfolio!$F105:$J105))</f>
        <v>0</v>
      </c>
      <c r="AJ41" s="96">
        <f ca="1">SUMPRODUCT((Portfolio!$F103:$J103=AJ$4)*(Portfolio!$F105:$J105))</f>
        <v>0</v>
      </c>
      <c r="AK41" s="96">
        <f ca="1">SUMPRODUCT((Portfolio!$F103:$J103=AK$4)*(Portfolio!$F105:$J105))</f>
        <v>0</v>
      </c>
      <c r="AL41" s="96">
        <f ca="1">SUMPRODUCT((Portfolio!$F103:$J103=AL$4)*(Portfolio!$F105:$J105))</f>
        <v>0</v>
      </c>
      <c r="AM41" s="97">
        <f ca="1">SUMPRODUCT((Portfolio!$F103:$J103=AM$4)*(Portfolio!$F105:$J105))</f>
        <v>0</v>
      </c>
      <c r="AN41" s="96">
        <f ca="1">SUMPRODUCT((Portfolio!$F103:$J103=AN$4)*(Portfolio!$F105:$J105))</f>
        <v>0</v>
      </c>
      <c r="AO41" s="96">
        <f ca="1">SUMPRODUCT((Portfolio!$F103:$J103=AO$4)*(Portfolio!$F105:$J105))</f>
        <v>0</v>
      </c>
      <c r="AP41" s="96">
        <f ca="1">SUMPRODUCT((Portfolio!$F103:$J103=AP$4)*(Portfolio!$F105:$J105))</f>
        <v>0</v>
      </c>
      <c r="AQ41" s="97">
        <f ca="1">SUMPRODUCT((Portfolio!$F103:$J103=AQ$4)*(Portfolio!$F105:$J105))</f>
        <v>0</v>
      </c>
      <c r="AR41" s="96">
        <f ca="1">SUMPRODUCT((Portfolio!$F103:$J103=AR$4)*(Portfolio!$F105:$J105))</f>
        <v>0</v>
      </c>
      <c r="AS41" s="96">
        <f ca="1">SUMPRODUCT((Portfolio!$F103:$J103=AS$4)*(Portfolio!$F105:$J105))</f>
        <v>0</v>
      </c>
      <c r="AT41" s="96">
        <f ca="1">SUMPRODUCT((Portfolio!$F103:$J103=AT$4)*(Portfolio!$F105:$J105))</f>
        <v>0</v>
      </c>
      <c r="AU41" s="97">
        <f ca="1">SUMPRODUCT((Portfolio!$F103:$J103=AU$4)*(Portfolio!$F105:$J105))</f>
        <v>0</v>
      </c>
      <c r="AV41" s="96"/>
      <c r="AW41" s="98"/>
      <c r="AX41" s="98"/>
      <c r="AY41" s="99"/>
    </row>
    <row r="42" spans="1:51" ht="15.75" hidden="1" customHeight="1" outlineLevel="1" x14ac:dyDescent="0.2">
      <c r="A42" s="83"/>
      <c r="B42" s="92">
        <f>IF(Portfolio!C106&lt;&gt;"",Portfolio!C106,"")</f>
        <v>34</v>
      </c>
      <c r="C42" s="93" t="str">
        <f>IF(Portfolio!D106&lt;&gt;"",Portfolio!D106,"")</f>
        <v>Company 34</v>
      </c>
      <c r="D42" s="94">
        <f ca="1">SUMPRODUCT((Portfolio!$F106:$J106=D$4)*(Portfolio!$F108:$J108))</f>
        <v>0</v>
      </c>
      <c r="E42" s="94">
        <f ca="1">SUMPRODUCT((Portfolio!$F106:$J106=E$4)*(Portfolio!$F108:$J108))</f>
        <v>0</v>
      </c>
      <c r="F42" s="94">
        <f ca="1">SUMPRODUCT((Portfolio!$F106:$J106=F$4)*(Portfolio!$F108:$J108))</f>
        <v>0</v>
      </c>
      <c r="G42" s="95">
        <f ca="1">SUMPRODUCT((Portfolio!$F106:$J106=G$4)*(Portfolio!$F108:$J108))</f>
        <v>0</v>
      </c>
      <c r="H42" s="94">
        <f ca="1">SUMPRODUCT((Portfolio!$F106:$J106=H$4)*(Portfolio!$F108:$J108))</f>
        <v>0</v>
      </c>
      <c r="I42" s="94">
        <f ca="1">SUMPRODUCT((Portfolio!$F106:$J106=I$4)*(Portfolio!$F108:$J108))</f>
        <v>0</v>
      </c>
      <c r="J42" s="94">
        <f ca="1">SUMPRODUCT((Portfolio!$F106:$J106=J$4)*(Portfolio!$F108:$J108))</f>
        <v>0</v>
      </c>
      <c r="K42" s="95">
        <f ca="1">SUMPRODUCT((Portfolio!$F106:$J106=K$4)*(Portfolio!$F108:$J108))</f>
        <v>0</v>
      </c>
      <c r="L42" s="96">
        <f ca="1">SUMPRODUCT((Portfolio!$F106:$J106=L$4)*(Portfolio!$F108:$J108))</f>
        <v>0</v>
      </c>
      <c r="M42" s="96">
        <f ca="1">SUMPRODUCT((Portfolio!$F106:$J106=M$4)*(Portfolio!$F108:$J108))</f>
        <v>0</v>
      </c>
      <c r="N42" s="96">
        <f ca="1">SUMPRODUCT((Portfolio!$F106:$J106=N$4)*(Portfolio!$F108:$J108))</f>
        <v>0</v>
      </c>
      <c r="O42" s="95">
        <f ca="1">SUMPRODUCT((Portfolio!$F106:$J106=O$4)*(Portfolio!$F108:$J108))</f>
        <v>0</v>
      </c>
      <c r="P42" s="96">
        <f ca="1">SUMPRODUCT((Portfolio!$F106:$J106=P$4)*(Portfolio!$F108:$J108))</f>
        <v>0</v>
      </c>
      <c r="Q42" s="96">
        <f ca="1">SUMPRODUCT((Portfolio!$F106:$J106=Q$4)*(Portfolio!$F108:$J108))</f>
        <v>1250000</v>
      </c>
      <c r="R42" s="96">
        <f ca="1">SUMPRODUCT((Portfolio!$F106:$J106=R$4)*(Portfolio!$F108:$J108))</f>
        <v>0</v>
      </c>
      <c r="S42" s="97">
        <f ca="1">SUMPRODUCT((Portfolio!$F106:$J106=S$4)*(Portfolio!$F108:$J108))</f>
        <v>0</v>
      </c>
      <c r="T42" s="96">
        <f ca="1">SUMPRODUCT((Portfolio!$F106:$J106=T$4)*(Portfolio!$F108:$J108))</f>
        <v>0</v>
      </c>
      <c r="U42" s="96">
        <f ca="1">SUMPRODUCT((Portfolio!$F106:$J106=U$4)*(Portfolio!$F108:$J108))</f>
        <v>0</v>
      </c>
      <c r="V42" s="96">
        <f ca="1">SUMPRODUCT((Portfolio!$F106:$J106=V$4)*(Portfolio!$F108:$J108))</f>
        <v>1050000</v>
      </c>
      <c r="W42" s="97">
        <f ca="1">SUMPRODUCT((Portfolio!$F106:$J106=W$4)*(Portfolio!$F108:$J108))</f>
        <v>0</v>
      </c>
      <c r="X42" s="96">
        <f ca="1">SUMPRODUCT((Portfolio!$F106:$J106=X$4)*(Portfolio!$F108:$J108))</f>
        <v>0</v>
      </c>
      <c r="Y42" s="96">
        <f ca="1">SUMPRODUCT((Portfolio!$F106:$J106=Y$4)*(Portfolio!$F108:$J108))</f>
        <v>0</v>
      </c>
      <c r="Z42" s="96">
        <f ca="1">SUMPRODUCT((Portfolio!$F106:$J106=Z$4)*(Portfolio!$F108:$J108))</f>
        <v>0</v>
      </c>
      <c r="AA42" s="97">
        <f ca="1">SUMPRODUCT((Portfolio!$F106:$J106=AA$4)*(Portfolio!$F108:$J108))</f>
        <v>0</v>
      </c>
      <c r="AB42" s="96">
        <f ca="1">SUMPRODUCT((Portfolio!$F106:$J106=AB$4)*(Portfolio!$F108:$J108))</f>
        <v>750000</v>
      </c>
      <c r="AC42" s="96">
        <f ca="1">SUMPRODUCT((Portfolio!$F106:$J106=AC$4)*(Portfolio!$F108:$J108))</f>
        <v>0</v>
      </c>
      <c r="AD42" s="96">
        <f ca="1">SUMPRODUCT((Portfolio!$F106:$J106=AD$4)*(Portfolio!$F108:$J108))</f>
        <v>0</v>
      </c>
      <c r="AE42" s="97">
        <f ca="1">SUMPRODUCT((Portfolio!$F106:$J106=AE$4)*(Portfolio!$F108:$J108))</f>
        <v>0</v>
      </c>
      <c r="AF42" s="96">
        <f ca="1">SUMPRODUCT((Portfolio!$F106:$J106=AF$4)*(Portfolio!$F108:$J108))</f>
        <v>0</v>
      </c>
      <c r="AG42" s="96">
        <f ca="1">SUMPRODUCT((Portfolio!$F106:$J106=AG$4)*(Portfolio!$F108:$J108))</f>
        <v>0</v>
      </c>
      <c r="AH42" s="96">
        <f ca="1">SUMPRODUCT((Portfolio!$F106:$J106=AH$4)*(Portfolio!$F108:$J108))</f>
        <v>0</v>
      </c>
      <c r="AI42" s="97">
        <f ca="1">SUMPRODUCT((Portfolio!$F106:$J106=AI$4)*(Portfolio!$F108:$J108))</f>
        <v>0</v>
      </c>
      <c r="AJ42" s="96">
        <f ca="1">SUMPRODUCT((Portfolio!$F106:$J106=AJ$4)*(Portfolio!$F108:$J108))</f>
        <v>0</v>
      </c>
      <c r="AK42" s="96">
        <f ca="1">SUMPRODUCT((Portfolio!$F106:$J106=AK$4)*(Portfolio!$F108:$J108))</f>
        <v>0</v>
      </c>
      <c r="AL42" s="96">
        <f ca="1">SUMPRODUCT((Portfolio!$F106:$J106=AL$4)*(Portfolio!$F108:$J108))</f>
        <v>0</v>
      </c>
      <c r="AM42" s="97">
        <f ca="1">SUMPRODUCT((Portfolio!$F106:$J106=AM$4)*(Portfolio!$F108:$J108))</f>
        <v>0</v>
      </c>
      <c r="AN42" s="96">
        <f ca="1">SUMPRODUCT((Portfolio!$F106:$J106=AN$4)*(Portfolio!$F108:$J108))</f>
        <v>0</v>
      </c>
      <c r="AO42" s="96">
        <f ca="1">SUMPRODUCT((Portfolio!$F106:$J106=AO$4)*(Portfolio!$F108:$J108))</f>
        <v>0</v>
      </c>
      <c r="AP42" s="96">
        <f ca="1">SUMPRODUCT((Portfolio!$F106:$J106=AP$4)*(Portfolio!$F108:$J108))</f>
        <v>0</v>
      </c>
      <c r="AQ42" s="97">
        <f ca="1">SUMPRODUCT((Portfolio!$F106:$J106=AQ$4)*(Portfolio!$F108:$J108))</f>
        <v>0</v>
      </c>
      <c r="AR42" s="96">
        <f ca="1">SUMPRODUCT((Portfolio!$F106:$J106=AR$4)*(Portfolio!$F108:$J108))</f>
        <v>0</v>
      </c>
      <c r="AS42" s="96">
        <f ca="1">SUMPRODUCT((Portfolio!$F106:$J106=AS$4)*(Portfolio!$F108:$J108))</f>
        <v>0</v>
      </c>
      <c r="AT42" s="96">
        <f ca="1">SUMPRODUCT((Portfolio!$F106:$J106=AT$4)*(Portfolio!$F108:$J108))</f>
        <v>0</v>
      </c>
      <c r="AU42" s="97">
        <f ca="1">SUMPRODUCT((Portfolio!$F106:$J106=AU$4)*(Portfolio!$F108:$J108))</f>
        <v>0</v>
      </c>
      <c r="AV42" s="96"/>
      <c r="AW42" s="98"/>
      <c r="AX42" s="98"/>
      <c r="AY42" s="99"/>
    </row>
    <row r="43" spans="1:51" ht="15.75" hidden="1" customHeight="1" outlineLevel="1" x14ac:dyDescent="0.2">
      <c r="A43" s="83"/>
      <c r="B43" s="92">
        <f>IF(Portfolio!C109&lt;&gt;"",Portfolio!C109,"")</f>
        <v>35</v>
      </c>
      <c r="C43" s="93" t="str">
        <f>IF(Portfolio!D109&lt;&gt;"",Portfolio!D109,"")</f>
        <v>Company 35</v>
      </c>
      <c r="D43" s="94">
        <f ca="1">SUMPRODUCT((Portfolio!$F109:$J109=D$4)*(Portfolio!$F111:$J111))</f>
        <v>0</v>
      </c>
      <c r="E43" s="94">
        <f ca="1">SUMPRODUCT((Portfolio!$F109:$J109=E$4)*(Portfolio!$F111:$J111))</f>
        <v>0</v>
      </c>
      <c r="F43" s="94">
        <f ca="1">SUMPRODUCT((Portfolio!$F109:$J109=F$4)*(Portfolio!$F111:$J111))</f>
        <v>0</v>
      </c>
      <c r="G43" s="95">
        <f ca="1">SUMPRODUCT((Portfolio!$F109:$J109=G$4)*(Portfolio!$F111:$J111))</f>
        <v>0</v>
      </c>
      <c r="H43" s="94">
        <f ca="1">SUMPRODUCT((Portfolio!$F109:$J109=H$4)*(Portfolio!$F111:$J111))</f>
        <v>0</v>
      </c>
      <c r="I43" s="94">
        <f ca="1">SUMPRODUCT((Portfolio!$F109:$J109=I$4)*(Portfolio!$F111:$J111))</f>
        <v>0</v>
      </c>
      <c r="J43" s="94">
        <f ca="1">SUMPRODUCT((Portfolio!$F109:$J109=J$4)*(Portfolio!$F111:$J111))</f>
        <v>0</v>
      </c>
      <c r="K43" s="95">
        <f ca="1">SUMPRODUCT((Portfolio!$F109:$J109=K$4)*(Portfolio!$F111:$J111))</f>
        <v>0</v>
      </c>
      <c r="L43" s="96">
        <f ca="1">SUMPRODUCT((Portfolio!$F109:$J109=L$4)*(Portfolio!$F111:$J111))</f>
        <v>0</v>
      </c>
      <c r="M43" s="96">
        <f ca="1">SUMPRODUCT((Portfolio!$F109:$J109=M$4)*(Portfolio!$F111:$J111))</f>
        <v>0</v>
      </c>
      <c r="N43" s="96">
        <f ca="1">SUMPRODUCT((Portfolio!$F109:$J109=N$4)*(Portfolio!$F111:$J111))</f>
        <v>0</v>
      </c>
      <c r="O43" s="95">
        <f ca="1">SUMPRODUCT((Portfolio!$F109:$J109=O$4)*(Portfolio!$F111:$J111))</f>
        <v>0</v>
      </c>
      <c r="P43" s="96">
        <f ca="1">SUMPRODUCT((Portfolio!$F109:$J109=P$4)*(Portfolio!$F111:$J111))</f>
        <v>0</v>
      </c>
      <c r="Q43" s="96">
        <f ca="1">SUMPRODUCT((Portfolio!$F109:$J109=Q$4)*(Portfolio!$F111:$J111))</f>
        <v>1250000</v>
      </c>
      <c r="R43" s="96">
        <f ca="1">SUMPRODUCT((Portfolio!$F109:$J109=R$4)*(Portfolio!$F111:$J111))</f>
        <v>0</v>
      </c>
      <c r="S43" s="97">
        <f ca="1">SUMPRODUCT((Portfolio!$F109:$J109=S$4)*(Portfolio!$F111:$J111))</f>
        <v>0</v>
      </c>
      <c r="T43" s="96">
        <f ca="1">SUMPRODUCT((Portfolio!$F109:$J109=T$4)*(Portfolio!$F111:$J111))</f>
        <v>0</v>
      </c>
      <c r="U43" s="96">
        <f ca="1">SUMPRODUCT((Portfolio!$F109:$J109=U$4)*(Portfolio!$F111:$J111))</f>
        <v>0</v>
      </c>
      <c r="V43" s="96">
        <f ca="1">SUMPRODUCT((Portfolio!$F109:$J109=V$4)*(Portfolio!$F111:$J111))</f>
        <v>112500</v>
      </c>
      <c r="W43" s="97">
        <f ca="1">SUMPRODUCT((Portfolio!$F109:$J109=W$4)*(Portfolio!$F111:$J111))</f>
        <v>937500</v>
      </c>
      <c r="X43" s="96">
        <f ca="1">SUMPRODUCT((Portfolio!$F109:$J109=X$4)*(Portfolio!$F111:$J111))</f>
        <v>0</v>
      </c>
      <c r="Y43" s="96">
        <f ca="1">SUMPRODUCT((Portfolio!$F109:$J109=Y$4)*(Portfolio!$F111:$J111))</f>
        <v>0</v>
      </c>
      <c r="Z43" s="96">
        <f ca="1">SUMPRODUCT((Portfolio!$F109:$J109=Z$4)*(Portfolio!$F111:$J111))</f>
        <v>0</v>
      </c>
      <c r="AA43" s="97">
        <f ca="1">SUMPRODUCT((Portfolio!$F109:$J109=AA$4)*(Portfolio!$F111:$J111))</f>
        <v>0</v>
      </c>
      <c r="AB43" s="96">
        <f ca="1">SUMPRODUCT((Portfolio!$F109:$J109=AB$4)*(Portfolio!$F111:$J111))</f>
        <v>0</v>
      </c>
      <c r="AC43" s="96">
        <f ca="1">SUMPRODUCT((Portfolio!$F109:$J109=AC$4)*(Portfolio!$F111:$J111))</f>
        <v>750000</v>
      </c>
      <c r="AD43" s="96">
        <f ca="1">SUMPRODUCT((Portfolio!$F109:$J109=AD$4)*(Portfolio!$F111:$J111))</f>
        <v>0</v>
      </c>
      <c r="AE43" s="97">
        <f ca="1">SUMPRODUCT((Portfolio!$F109:$J109=AE$4)*(Portfolio!$F111:$J111))</f>
        <v>0</v>
      </c>
      <c r="AF43" s="96">
        <f ca="1">SUMPRODUCT((Portfolio!$F109:$J109=AF$4)*(Portfolio!$F111:$J111))</f>
        <v>0</v>
      </c>
      <c r="AG43" s="96">
        <f ca="1">SUMPRODUCT((Portfolio!$F109:$J109=AG$4)*(Portfolio!$F111:$J111))</f>
        <v>0</v>
      </c>
      <c r="AH43" s="96">
        <f ca="1">SUMPRODUCT((Portfolio!$F109:$J109=AH$4)*(Portfolio!$F111:$J111))</f>
        <v>0</v>
      </c>
      <c r="AI43" s="97">
        <f ca="1">SUMPRODUCT((Portfolio!$F109:$J109=AI$4)*(Portfolio!$F111:$J111))</f>
        <v>0</v>
      </c>
      <c r="AJ43" s="96">
        <f ca="1">SUMPRODUCT((Portfolio!$F109:$J109=AJ$4)*(Portfolio!$F111:$J111))</f>
        <v>0</v>
      </c>
      <c r="AK43" s="96">
        <f ca="1">SUMPRODUCT((Portfolio!$F109:$J109=AK$4)*(Portfolio!$F111:$J111))</f>
        <v>0</v>
      </c>
      <c r="AL43" s="96">
        <f ca="1">SUMPRODUCT((Portfolio!$F109:$J109=AL$4)*(Portfolio!$F111:$J111))</f>
        <v>0</v>
      </c>
      <c r="AM43" s="97">
        <f ca="1">SUMPRODUCT((Portfolio!$F109:$J109=AM$4)*(Portfolio!$F111:$J111))</f>
        <v>0</v>
      </c>
      <c r="AN43" s="96">
        <f ca="1">SUMPRODUCT((Portfolio!$F109:$J109=AN$4)*(Portfolio!$F111:$J111))</f>
        <v>0</v>
      </c>
      <c r="AO43" s="96">
        <f ca="1">SUMPRODUCT((Portfolio!$F109:$J109=AO$4)*(Portfolio!$F111:$J111))</f>
        <v>0</v>
      </c>
      <c r="AP43" s="96">
        <f ca="1">SUMPRODUCT((Portfolio!$F109:$J109=AP$4)*(Portfolio!$F111:$J111))</f>
        <v>0</v>
      </c>
      <c r="AQ43" s="97">
        <f ca="1">SUMPRODUCT((Portfolio!$F109:$J109=AQ$4)*(Portfolio!$F111:$J111))</f>
        <v>0</v>
      </c>
      <c r="AR43" s="96">
        <f ca="1">SUMPRODUCT((Portfolio!$F109:$J109=AR$4)*(Portfolio!$F111:$J111))</f>
        <v>0</v>
      </c>
      <c r="AS43" s="96">
        <f ca="1">SUMPRODUCT((Portfolio!$F109:$J109=AS$4)*(Portfolio!$F111:$J111))</f>
        <v>0</v>
      </c>
      <c r="AT43" s="96">
        <f ca="1">SUMPRODUCT((Portfolio!$F109:$J109=AT$4)*(Portfolio!$F111:$J111))</f>
        <v>0</v>
      </c>
      <c r="AU43" s="97">
        <f ca="1">SUMPRODUCT((Portfolio!$F109:$J109=AU$4)*(Portfolio!$F111:$J111))</f>
        <v>0</v>
      </c>
      <c r="AV43" s="96"/>
      <c r="AW43" s="98"/>
      <c r="AX43" s="98"/>
      <c r="AY43" s="99"/>
    </row>
    <row r="44" spans="1:51" ht="15.75" hidden="1" customHeight="1" outlineLevel="1" x14ac:dyDescent="0.2">
      <c r="A44" s="83"/>
      <c r="B44" s="92">
        <f>IF(Portfolio!C112&lt;&gt;"",Portfolio!C112,"")</f>
        <v>36</v>
      </c>
      <c r="C44" s="93" t="str">
        <f>IF(Portfolio!D112&lt;&gt;"",Portfolio!D112,"")</f>
        <v/>
      </c>
      <c r="D44" s="94">
        <f>SUMPRODUCT((Portfolio!$F112:$J112=D$4)*(Portfolio!$F114:$J114))</f>
        <v>0</v>
      </c>
      <c r="E44" s="94">
        <f>SUMPRODUCT((Portfolio!$F112:$J112=E$4)*(Portfolio!$F114:$J114))</f>
        <v>0</v>
      </c>
      <c r="F44" s="94">
        <f>SUMPRODUCT((Portfolio!$F112:$J112=F$4)*(Portfolio!$F114:$J114))</f>
        <v>0</v>
      </c>
      <c r="G44" s="95">
        <f>SUMPRODUCT((Portfolio!$F112:$J112=G$4)*(Portfolio!$F114:$J114))</f>
        <v>0</v>
      </c>
      <c r="H44" s="94">
        <f>SUMPRODUCT((Portfolio!$F112:$J112=H$4)*(Portfolio!$F114:$J114))</f>
        <v>0</v>
      </c>
      <c r="I44" s="94">
        <f>SUMPRODUCT((Portfolio!$F112:$J112=I$4)*(Portfolio!$F114:$J114))</f>
        <v>0</v>
      </c>
      <c r="J44" s="94">
        <f>SUMPRODUCT((Portfolio!$F112:$J112=J$4)*(Portfolio!$F114:$J114))</f>
        <v>0</v>
      </c>
      <c r="K44" s="95">
        <f>SUMPRODUCT((Portfolio!$F112:$J112=K$4)*(Portfolio!$F114:$J114))</f>
        <v>0</v>
      </c>
      <c r="L44" s="96">
        <f>SUMPRODUCT((Portfolio!$F112:$J112=L$4)*(Portfolio!$F114:$J114))</f>
        <v>0</v>
      </c>
      <c r="M44" s="96">
        <f>SUMPRODUCT((Portfolio!$F112:$J112=M$4)*(Portfolio!$F114:$J114))</f>
        <v>0</v>
      </c>
      <c r="N44" s="96">
        <f>SUMPRODUCT((Portfolio!$F112:$J112=N$4)*(Portfolio!$F114:$J114))</f>
        <v>0</v>
      </c>
      <c r="O44" s="95">
        <f>SUMPRODUCT((Portfolio!$F112:$J112=O$4)*(Portfolio!$F114:$J114))</f>
        <v>0</v>
      </c>
      <c r="P44" s="96">
        <f>SUMPRODUCT((Portfolio!$F112:$J112=P$4)*(Portfolio!$F114:$J114))</f>
        <v>0</v>
      </c>
      <c r="Q44" s="96">
        <f>SUMPRODUCT((Portfolio!$F112:$J112=Q$4)*(Portfolio!$F114:$J114))</f>
        <v>0</v>
      </c>
      <c r="R44" s="96">
        <f>SUMPRODUCT((Portfolio!$F112:$J112=R$4)*(Portfolio!$F114:$J114))</f>
        <v>0</v>
      </c>
      <c r="S44" s="97">
        <f>SUMPRODUCT((Portfolio!$F112:$J112=S$4)*(Portfolio!$F114:$J114))</f>
        <v>0</v>
      </c>
      <c r="T44" s="96">
        <f>SUMPRODUCT((Portfolio!$F112:$J112=T$4)*(Portfolio!$F114:$J114))</f>
        <v>0</v>
      </c>
      <c r="U44" s="96">
        <f>SUMPRODUCT((Portfolio!$F112:$J112=U$4)*(Portfolio!$F114:$J114))</f>
        <v>0</v>
      </c>
      <c r="V44" s="96">
        <f>SUMPRODUCT((Portfolio!$F112:$J112=V$4)*(Portfolio!$F114:$J114))</f>
        <v>0</v>
      </c>
      <c r="W44" s="97">
        <f>SUMPRODUCT((Portfolio!$F112:$J112=W$4)*(Portfolio!$F114:$J114))</f>
        <v>0</v>
      </c>
      <c r="X44" s="96">
        <f>SUMPRODUCT((Portfolio!$F112:$J112=X$4)*(Portfolio!$F114:$J114))</f>
        <v>0</v>
      </c>
      <c r="Y44" s="96">
        <f>SUMPRODUCT((Portfolio!$F112:$J112=Y$4)*(Portfolio!$F114:$J114))</f>
        <v>0</v>
      </c>
      <c r="Z44" s="96">
        <f>SUMPRODUCT((Portfolio!$F112:$J112=Z$4)*(Portfolio!$F114:$J114))</f>
        <v>0</v>
      </c>
      <c r="AA44" s="97">
        <f>SUMPRODUCT((Portfolio!$F112:$J112=AA$4)*(Portfolio!$F114:$J114))</f>
        <v>0</v>
      </c>
      <c r="AB44" s="96">
        <f>SUMPRODUCT((Portfolio!$F112:$J112=AB$4)*(Portfolio!$F114:$J114))</f>
        <v>0</v>
      </c>
      <c r="AC44" s="96">
        <f>SUMPRODUCT((Portfolio!$F112:$J112=AC$4)*(Portfolio!$F114:$J114))</f>
        <v>0</v>
      </c>
      <c r="AD44" s="96">
        <f>SUMPRODUCT((Portfolio!$F112:$J112=AD$4)*(Portfolio!$F114:$J114))</f>
        <v>0</v>
      </c>
      <c r="AE44" s="97">
        <f>SUMPRODUCT((Portfolio!$F112:$J112=AE$4)*(Portfolio!$F114:$J114))</f>
        <v>0</v>
      </c>
      <c r="AF44" s="96">
        <f>SUMPRODUCT((Portfolio!$F112:$J112=AF$4)*(Portfolio!$F114:$J114))</f>
        <v>0</v>
      </c>
      <c r="AG44" s="96">
        <f>SUMPRODUCT((Portfolio!$F112:$J112=AG$4)*(Portfolio!$F114:$J114))</f>
        <v>0</v>
      </c>
      <c r="AH44" s="96">
        <f>SUMPRODUCT((Portfolio!$F112:$J112=AH$4)*(Portfolio!$F114:$J114))</f>
        <v>0</v>
      </c>
      <c r="AI44" s="97">
        <f>SUMPRODUCT((Portfolio!$F112:$J112=AI$4)*(Portfolio!$F114:$J114))</f>
        <v>0</v>
      </c>
      <c r="AJ44" s="96">
        <f>SUMPRODUCT((Portfolio!$F112:$J112=AJ$4)*(Portfolio!$F114:$J114))</f>
        <v>0</v>
      </c>
      <c r="AK44" s="96">
        <f>SUMPRODUCT((Portfolio!$F112:$J112=AK$4)*(Portfolio!$F114:$J114))</f>
        <v>0</v>
      </c>
      <c r="AL44" s="96">
        <f>SUMPRODUCT((Portfolio!$F112:$J112=AL$4)*(Portfolio!$F114:$J114))</f>
        <v>0</v>
      </c>
      <c r="AM44" s="97">
        <f>SUMPRODUCT((Portfolio!$F112:$J112=AM$4)*(Portfolio!$F114:$J114))</f>
        <v>0</v>
      </c>
      <c r="AN44" s="96">
        <f>SUMPRODUCT((Portfolio!$F112:$J112=AN$4)*(Portfolio!$F114:$J114))</f>
        <v>0</v>
      </c>
      <c r="AO44" s="96">
        <f>SUMPRODUCT((Portfolio!$F112:$J112=AO$4)*(Portfolio!$F114:$J114))</f>
        <v>0</v>
      </c>
      <c r="AP44" s="96">
        <f>SUMPRODUCT((Portfolio!$F112:$J112=AP$4)*(Portfolio!$F114:$J114))</f>
        <v>0</v>
      </c>
      <c r="AQ44" s="97">
        <f>SUMPRODUCT((Portfolio!$F112:$J112=AQ$4)*(Portfolio!$F114:$J114))</f>
        <v>0</v>
      </c>
      <c r="AR44" s="96">
        <f>SUMPRODUCT((Portfolio!$F112:$J112=AR$4)*(Portfolio!$F114:$J114))</f>
        <v>0</v>
      </c>
      <c r="AS44" s="96">
        <f>SUMPRODUCT((Portfolio!$F112:$J112=AS$4)*(Portfolio!$F114:$J114))</f>
        <v>0</v>
      </c>
      <c r="AT44" s="96">
        <f>SUMPRODUCT((Portfolio!$F112:$J112=AT$4)*(Portfolio!$F114:$J114))</f>
        <v>0</v>
      </c>
      <c r="AU44" s="97">
        <f>SUMPRODUCT((Portfolio!$F112:$J112=AU$4)*(Portfolio!$F114:$J114))</f>
        <v>0</v>
      </c>
      <c r="AV44" s="96"/>
      <c r="AW44" s="98"/>
      <c r="AX44" s="98"/>
      <c r="AY44" s="99"/>
    </row>
    <row r="45" spans="1:51" ht="15.75" hidden="1" customHeight="1" outlineLevel="1" x14ac:dyDescent="0.2">
      <c r="A45" s="83"/>
      <c r="B45" s="92">
        <f>IF(Portfolio!C115&lt;&gt;"",Portfolio!C115,"")</f>
        <v>37</v>
      </c>
      <c r="C45" s="93" t="str">
        <f>IF(Portfolio!D115&lt;&gt;"",Portfolio!D115,"")</f>
        <v/>
      </c>
      <c r="D45" s="94">
        <f>SUMPRODUCT((Portfolio!$F115:$J115=D$4)*(Portfolio!$F117:$J117))</f>
        <v>0</v>
      </c>
      <c r="E45" s="94">
        <f>SUMPRODUCT((Portfolio!$F115:$J115=E$4)*(Portfolio!$F117:$J117))</f>
        <v>0</v>
      </c>
      <c r="F45" s="94">
        <f>SUMPRODUCT((Portfolio!$F115:$J115=F$4)*(Portfolio!$F117:$J117))</f>
        <v>0</v>
      </c>
      <c r="G45" s="95">
        <f>SUMPRODUCT((Portfolio!$F115:$J115=G$4)*(Portfolio!$F117:$J117))</f>
        <v>0</v>
      </c>
      <c r="H45" s="94">
        <f>SUMPRODUCT((Portfolio!$F115:$J115=H$4)*(Portfolio!$F117:$J117))</f>
        <v>0</v>
      </c>
      <c r="I45" s="94">
        <f>SUMPRODUCT((Portfolio!$F115:$J115=I$4)*(Portfolio!$F117:$J117))</f>
        <v>0</v>
      </c>
      <c r="J45" s="94">
        <f>SUMPRODUCT((Portfolio!$F115:$J115=J$4)*(Portfolio!$F117:$J117))</f>
        <v>0</v>
      </c>
      <c r="K45" s="95">
        <f>SUMPRODUCT((Portfolio!$F115:$J115=K$4)*(Portfolio!$F117:$J117))</f>
        <v>0</v>
      </c>
      <c r="L45" s="96">
        <f>SUMPRODUCT((Portfolio!$F115:$J115=L$4)*(Portfolio!$F117:$J117))</f>
        <v>0</v>
      </c>
      <c r="M45" s="96">
        <f>SUMPRODUCT((Portfolio!$F115:$J115=M$4)*(Portfolio!$F117:$J117))</f>
        <v>0</v>
      </c>
      <c r="N45" s="96">
        <f>SUMPRODUCT((Portfolio!$F115:$J115=N$4)*(Portfolio!$F117:$J117))</f>
        <v>0</v>
      </c>
      <c r="O45" s="95">
        <f>SUMPRODUCT((Portfolio!$F115:$J115=O$4)*(Portfolio!$F117:$J117))</f>
        <v>0</v>
      </c>
      <c r="P45" s="96">
        <f>SUMPRODUCT((Portfolio!$F115:$J115=P$4)*(Portfolio!$F117:$J117))</f>
        <v>0</v>
      </c>
      <c r="Q45" s="96">
        <f>SUMPRODUCT((Portfolio!$F115:$J115=Q$4)*(Portfolio!$F117:$J117))</f>
        <v>0</v>
      </c>
      <c r="R45" s="96">
        <f>SUMPRODUCT((Portfolio!$F115:$J115=R$4)*(Portfolio!$F117:$J117))</f>
        <v>0</v>
      </c>
      <c r="S45" s="97">
        <f>SUMPRODUCT((Portfolio!$F115:$J115=S$4)*(Portfolio!$F117:$J117))</f>
        <v>0</v>
      </c>
      <c r="T45" s="96">
        <f>SUMPRODUCT((Portfolio!$F115:$J115=T$4)*(Portfolio!$F117:$J117))</f>
        <v>0</v>
      </c>
      <c r="U45" s="96">
        <f>SUMPRODUCT((Portfolio!$F115:$J115=U$4)*(Portfolio!$F117:$J117))</f>
        <v>0</v>
      </c>
      <c r="V45" s="96">
        <f>SUMPRODUCT((Portfolio!$F115:$J115=V$4)*(Portfolio!$F117:$J117))</f>
        <v>0</v>
      </c>
      <c r="W45" s="97">
        <f>SUMPRODUCT((Portfolio!$F115:$J115=W$4)*(Portfolio!$F117:$J117))</f>
        <v>0</v>
      </c>
      <c r="X45" s="96">
        <f>SUMPRODUCT((Portfolio!$F115:$J115=X$4)*(Portfolio!$F117:$J117))</f>
        <v>0</v>
      </c>
      <c r="Y45" s="96">
        <f>SUMPRODUCT((Portfolio!$F115:$J115=Y$4)*(Portfolio!$F117:$J117))</f>
        <v>0</v>
      </c>
      <c r="Z45" s="96">
        <f>SUMPRODUCT((Portfolio!$F115:$J115=Z$4)*(Portfolio!$F117:$J117))</f>
        <v>0</v>
      </c>
      <c r="AA45" s="97">
        <f>SUMPRODUCT((Portfolio!$F115:$J115=AA$4)*(Portfolio!$F117:$J117))</f>
        <v>0</v>
      </c>
      <c r="AB45" s="96">
        <f>SUMPRODUCT((Portfolio!$F115:$J115=AB$4)*(Portfolio!$F117:$J117))</f>
        <v>0</v>
      </c>
      <c r="AC45" s="96">
        <f>SUMPRODUCT((Portfolio!$F115:$J115=AC$4)*(Portfolio!$F117:$J117))</f>
        <v>0</v>
      </c>
      <c r="AD45" s="96">
        <f>SUMPRODUCT((Portfolio!$F115:$J115=AD$4)*(Portfolio!$F117:$J117))</f>
        <v>0</v>
      </c>
      <c r="AE45" s="97">
        <f>SUMPRODUCT((Portfolio!$F115:$J115=AE$4)*(Portfolio!$F117:$J117))</f>
        <v>0</v>
      </c>
      <c r="AF45" s="96">
        <f>SUMPRODUCT((Portfolio!$F115:$J115=AF$4)*(Portfolio!$F117:$J117))</f>
        <v>0</v>
      </c>
      <c r="AG45" s="96">
        <f>SUMPRODUCT((Portfolio!$F115:$J115=AG$4)*(Portfolio!$F117:$J117))</f>
        <v>0</v>
      </c>
      <c r="AH45" s="96">
        <f>SUMPRODUCT((Portfolio!$F115:$J115=AH$4)*(Portfolio!$F117:$J117))</f>
        <v>0</v>
      </c>
      <c r="AI45" s="97">
        <f>SUMPRODUCT((Portfolio!$F115:$J115=AI$4)*(Portfolio!$F117:$J117))</f>
        <v>0</v>
      </c>
      <c r="AJ45" s="96">
        <f>SUMPRODUCT((Portfolio!$F115:$J115=AJ$4)*(Portfolio!$F117:$J117))</f>
        <v>0</v>
      </c>
      <c r="AK45" s="96">
        <f>SUMPRODUCT((Portfolio!$F115:$J115=AK$4)*(Portfolio!$F117:$J117))</f>
        <v>0</v>
      </c>
      <c r="AL45" s="96">
        <f>SUMPRODUCT((Portfolio!$F115:$J115=AL$4)*(Portfolio!$F117:$J117))</f>
        <v>0</v>
      </c>
      <c r="AM45" s="97">
        <f>SUMPRODUCT((Portfolio!$F115:$J115=AM$4)*(Portfolio!$F117:$J117))</f>
        <v>0</v>
      </c>
      <c r="AN45" s="96">
        <f>SUMPRODUCT((Portfolio!$F115:$J115=AN$4)*(Portfolio!$F117:$J117))</f>
        <v>0</v>
      </c>
      <c r="AO45" s="96">
        <f>SUMPRODUCT((Portfolio!$F115:$J115=AO$4)*(Portfolio!$F117:$J117))</f>
        <v>0</v>
      </c>
      <c r="AP45" s="96">
        <f>SUMPRODUCT((Portfolio!$F115:$J115=AP$4)*(Portfolio!$F117:$J117))</f>
        <v>0</v>
      </c>
      <c r="AQ45" s="97">
        <f>SUMPRODUCT((Portfolio!$F115:$J115=AQ$4)*(Portfolio!$F117:$J117))</f>
        <v>0</v>
      </c>
      <c r="AR45" s="96">
        <f>SUMPRODUCT((Portfolio!$F115:$J115=AR$4)*(Portfolio!$F117:$J117))</f>
        <v>0</v>
      </c>
      <c r="AS45" s="96">
        <f>SUMPRODUCT((Portfolio!$F115:$J115=AS$4)*(Portfolio!$F117:$J117))</f>
        <v>0</v>
      </c>
      <c r="AT45" s="96">
        <f>SUMPRODUCT((Portfolio!$F115:$J115=AT$4)*(Portfolio!$F117:$J117))</f>
        <v>0</v>
      </c>
      <c r="AU45" s="97">
        <f>SUMPRODUCT((Portfolio!$F115:$J115=AU$4)*(Portfolio!$F117:$J117))</f>
        <v>0</v>
      </c>
      <c r="AV45" s="96"/>
      <c r="AW45" s="98"/>
      <c r="AX45" s="98"/>
      <c r="AY45" s="99"/>
    </row>
    <row r="46" spans="1:51" ht="15.75" hidden="1" customHeight="1" outlineLevel="1" x14ac:dyDescent="0.2">
      <c r="A46" s="83"/>
      <c r="B46" s="92">
        <f>IF(Portfolio!C118&lt;&gt;"",Portfolio!C118,"")</f>
        <v>38</v>
      </c>
      <c r="C46" s="93" t="str">
        <f>IF(Portfolio!D118&lt;&gt;"",Portfolio!D118,"")</f>
        <v/>
      </c>
      <c r="D46" s="94">
        <f>SUMPRODUCT((Portfolio!$F118:$J118=D$4)*(Portfolio!$F120:$J120))</f>
        <v>0</v>
      </c>
      <c r="E46" s="94">
        <f>SUMPRODUCT((Portfolio!$F118:$J118=E$4)*(Portfolio!$F120:$J120))</f>
        <v>0</v>
      </c>
      <c r="F46" s="94">
        <f>SUMPRODUCT((Portfolio!$F118:$J118=F$4)*(Portfolio!$F120:$J120))</f>
        <v>0</v>
      </c>
      <c r="G46" s="95">
        <f>SUMPRODUCT((Portfolio!$F118:$J118=G$4)*(Portfolio!$F120:$J120))</f>
        <v>0</v>
      </c>
      <c r="H46" s="94">
        <f>SUMPRODUCT((Portfolio!$F118:$J118=H$4)*(Portfolio!$F120:$J120))</f>
        <v>0</v>
      </c>
      <c r="I46" s="94">
        <f>SUMPRODUCT((Portfolio!$F118:$J118=I$4)*(Portfolio!$F120:$J120))</f>
        <v>0</v>
      </c>
      <c r="J46" s="94">
        <f>SUMPRODUCT((Portfolio!$F118:$J118=J$4)*(Portfolio!$F120:$J120))</f>
        <v>0</v>
      </c>
      <c r="K46" s="95">
        <f>SUMPRODUCT((Portfolio!$F118:$J118=K$4)*(Portfolio!$F120:$J120))</f>
        <v>0</v>
      </c>
      <c r="L46" s="96">
        <f>SUMPRODUCT((Portfolio!$F118:$J118=L$4)*(Portfolio!$F120:$J120))</f>
        <v>0</v>
      </c>
      <c r="M46" s="96">
        <f>SUMPRODUCT((Portfolio!$F118:$J118=M$4)*(Portfolio!$F120:$J120))</f>
        <v>0</v>
      </c>
      <c r="N46" s="96">
        <f>SUMPRODUCT((Portfolio!$F118:$J118=N$4)*(Portfolio!$F120:$J120))</f>
        <v>0</v>
      </c>
      <c r="O46" s="95">
        <f>SUMPRODUCT((Portfolio!$F118:$J118=O$4)*(Portfolio!$F120:$J120))</f>
        <v>0</v>
      </c>
      <c r="P46" s="96">
        <f>SUMPRODUCT((Portfolio!$F118:$J118=P$4)*(Portfolio!$F120:$J120))</f>
        <v>0</v>
      </c>
      <c r="Q46" s="96">
        <f>SUMPRODUCT((Portfolio!$F118:$J118=Q$4)*(Portfolio!$F120:$J120))</f>
        <v>0</v>
      </c>
      <c r="R46" s="96">
        <f>SUMPRODUCT((Portfolio!$F118:$J118=R$4)*(Portfolio!$F120:$J120))</f>
        <v>0</v>
      </c>
      <c r="S46" s="97">
        <f>SUMPRODUCT((Portfolio!$F118:$J118=S$4)*(Portfolio!$F120:$J120))</f>
        <v>0</v>
      </c>
      <c r="T46" s="96">
        <f>SUMPRODUCT((Portfolio!$F118:$J118=T$4)*(Portfolio!$F120:$J120))</f>
        <v>0</v>
      </c>
      <c r="U46" s="96">
        <f>SUMPRODUCT((Portfolio!$F118:$J118=U$4)*(Portfolio!$F120:$J120))</f>
        <v>0</v>
      </c>
      <c r="V46" s="96">
        <f>SUMPRODUCT((Portfolio!$F118:$J118=V$4)*(Portfolio!$F120:$J120))</f>
        <v>0</v>
      </c>
      <c r="W46" s="97">
        <f>SUMPRODUCT((Portfolio!$F118:$J118=W$4)*(Portfolio!$F120:$J120))</f>
        <v>0</v>
      </c>
      <c r="X46" s="96">
        <f>SUMPRODUCT((Portfolio!$F118:$J118=X$4)*(Portfolio!$F120:$J120))</f>
        <v>0</v>
      </c>
      <c r="Y46" s="96">
        <f>SUMPRODUCT((Portfolio!$F118:$J118=Y$4)*(Portfolio!$F120:$J120))</f>
        <v>0</v>
      </c>
      <c r="Z46" s="96">
        <f>SUMPRODUCT((Portfolio!$F118:$J118=Z$4)*(Portfolio!$F120:$J120))</f>
        <v>0</v>
      </c>
      <c r="AA46" s="97">
        <f>SUMPRODUCT((Portfolio!$F118:$J118=AA$4)*(Portfolio!$F120:$J120))</f>
        <v>0</v>
      </c>
      <c r="AB46" s="96">
        <f>SUMPRODUCT((Portfolio!$F118:$J118=AB$4)*(Portfolio!$F120:$J120))</f>
        <v>0</v>
      </c>
      <c r="AC46" s="96">
        <f>SUMPRODUCT((Portfolio!$F118:$J118=AC$4)*(Portfolio!$F120:$J120))</f>
        <v>0</v>
      </c>
      <c r="AD46" s="96">
        <f>SUMPRODUCT((Portfolio!$F118:$J118=AD$4)*(Portfolio!$F120:$J120))</f>
        <v>0</v>
      </c>
      <c r="AE46" s="97">
        <f>SUMPRODUCT((Portfolio!$F118:$J118=AE$4)*(Portfolio!$F120:$J120))</f>
        <v>0</v>
      </c>
      <c r="AF46" s="96">
        <f>SUMPRODUCT((Portfolio!$F118:$J118=AF$4)*(Portfolio!$F120:$J120))</f>
        <v>0</v>
      </c>
      <c r="AG46" s="96">
        <f>SUMPRODUCT((Portfolio!$F118:$J118=AG$4)*(Portfolio!$F120:$J120))</f>
        <v>0</v>
      </c>
      <c r="AH46" s="96">
        <f>SUMPRODUCT((Portfolio!$F118:$J118=AH$4)*(Portfolio!$F120:$J120))</f>
        <v>0</v>
      </c>
      <c r="AI46" s="97">
        <f>SUMPRODUCT((Portfolio!$F118:$J118=AI$4)*(Portfolio!$F120:$J120))</f>
        <v>0</v>
      </c>
      <c r="AJ46" s="96">
        <f>SUMPRODUCT((Portfolio!$F118:$J118=AJ$4)*(Portfolio!$F120:$J120))</f>
        <v>0</v>
      </c>
      <c r="AK46" s="96">
        <f>SUMPRODUCT((Portfolio!$F118:$J118=AK$4)*(Portfolio!$F120:$J120))</f>
        <v>0</v>
      </c>
      <c r="AL46" s="96">
        <f>SUMPRODUCT((Portfolio!$F118:$J118=AL$4)*(Portfolio!$F120:$J120))</f>
        <v>0</v>
      </c>
      <c r="AM46" s="97">
        <f>SUMPRODUCT((Portfolio!$F118:$J118=AM$4)*(Portfolio!$F120:$J120))</f>
        <v>0</v>
      </c>
      <c r="AN46" s="96">
        <f>SUMPRODUCT((Portfolio!$F118:$J118=AN$4)*(Portfolio!$F120:$J120))</f>
        <v>0</v>
      </c>
      <c r="AO46" s="96">
        <f>SUMPRODUCT((Portfolio!$F118:$J118=AO$4)*(Portfolio!$F120:$J120))</f>
        <v>0</v>
      </c>
      <c r="AP46" s="96">
        <f>SUMPRODUCT((Portfolio!$F118:$J118=AP$4)*(Portfolio!$F120:$J120))</f>
        <v>0</v>
      </c>
      <c r="AQ46" s="97">
        <f>SUMPRODUCT((Portfolio!$F118:$J118=AQ$4)*(Portfolio!$F120:$J120))</f>
        <v>0</v>
      </c>
      <c r="AR46" s="96">
        <f>SUMPRODUCT((Portfolio!$F118:$J118=AR$4)*(Portfolio!$F120:$J120))</f>
        <v>0</v>
      </c>
      <c r="AS46" s="96">
        <f>SUMPRODUCT((Portfolio!$F118:$J118=AS$4)*(Portfolio!$F120:$J120))</f>
        <v>0</v>
      </c>
      <c r="AT46" s="96">
        <f>SUMPRODUCT((Portfolio!$F118:$J118=AT$4)*(Portfolio!$F120:$J120))</f>
        <v>0</v>
      </c>
      <c r="AU46" s="97">
        <f>SUMPRODUCT((Portfolio!$F118:$J118=AU$4)*(Portfolio!$F120:$J120))</f>
        <v>0</v>
      </c>
      <c r="AV46" s="96"/>
      <c r="AW46" s="98"/>
      <c r="AX46" s="98"/>
      <c r="AY46" s="99"/>
    </row>
    <row r="47" spans="1:51" ht="15.75" hidden="1" customHeight="1" outlineLevel="1" x14ac:dyDescent="0.2">
      <c r="A47" s="83"/>
      <c r="B47" s="92">
        <f>IF(Portfolio!C121&lt;&gt;"",Portfolio!C121,"")</f>
        <v>39</v>
      </c>
      <c r="C47" s="93" t="str">
        <f>IF(Portfolio!D121&lt;&gt;"",Portfolio!D121,"")</f>
        <v/>
      </c>
      <c r="D47" s="94">
        <f>SUMPRODUCT((Portfolio!$F121:$J121=D$4)*(Portfolio!$F123:$J123))</f>
        <v>0</v>
      </c>
      <c r="E47" s="94">
        <f>SUMPRODUCT((Portfolio!$F121:$J121=E$4)*(Portfolio!$F123:$J123))</f>
        <v>0</v>
      </c>
      <c r="F47" s="94">
        <f>SUMPRODUCT((Portfolio!$F121:$J121=F$4)*(Portfolio!$F123:$J123))</f>
        <v>0</v>
      </c>
      <c r="G47" s="95">
        <f>SUMPRODUCT((Portfolio!$F121:$J121=G$4)*(Portfolio!$F123:$J123))</f>
        <v>0</v>
      </c>
      <c r="H47" s="94">
        <f>SUMPRODUCT((Portfolio!$F121:$J121=H$4)*(Portfolio!$F123:$J123))</f>
        <v>0</v>
      </c>
      <c r="I47" s="94">
        <f>SUMPRODUCT((Portfolio!$F121:$J121=I$4)*(Portfolio!$F123:$J123))</f>
        <v>0</v>
      </c>
      <c r="J47" s="94">
        <f>SUMPRODUCT((Portfolio!$F121:$J121=J$4)*(Portfolio!$F123:$J123))</f>
        <v>0</v>
      </c>
      <c r="K47" s="95">
        <f>SUMPRODUCT((Portfolio!$F121:$J121=K$4)*(Portfolio!$F123:$J123))</f>
        <v>0</v>
      </c>
      <c r="L47" s="96">
        <f>SUMPRODUCT((Portfolio!$F121:$J121=L$4)*(Portfolio!$F123:$J123))</f>
        <v>0</v>
      </c>
      <c r="M47" s="96">
        <f>SUMPRODUCT((Portfolio!$F121:$J121=M$4)*(Portfolio!$F123:$J123))</f>
        <v>0</v>
      </c>
      <c r="N47" s="96">
        <f>SUMPRODUCT((Portfolio!$F121:$J121=N$4)*(Portfolio!$F123:$J123))</f>
        <v>0</v>
      </c>
      <c r="O47" s="95">
        <f>SUMPRODUCT((Portfolio!$F121:$J121=O$4)*(Portfolio!$F123:$J123))</f>
        <v>0</v>
      </c>
      <c r="P47" s="96">
        <f>SUMPRODUCT((Portfolio!$F121:$J121=P$4)*(Portfolio!$F123:$J123))</f>
        <v>0</v>
      </c>
      <c r="Q47" s="96">
        <f>SUMPRODUCT((Portfolio!$F121:$J121=Q$4)*(Portfolio!$F123:$J123))</f>
        <v>0</v>
      </c>
      <c r="R47" s="96">
        <f>SUMPRODUCT((Portfolio!$F121:$J121=R$4)*(Portfolio!$F123:$J123))</f>
        <v>0</v>
      </c>
      <c r="S47" s="97">
        <f>SUMPRODUCT((Portfolio!$F121:$J121=S$4)*(Portfolio!$F123:$J123))</f>
        <v>0</v>
      </c>
      <c r="T47" s="96">
        <f>SUMPRODUCT((Portfolio!$F121:$J121=T$4)*(Portfolio!$F123:$J123))</f>
        <v>0</v>
      </c>
      <c r="U47" s="96">
        <f>SUMPRODUCT((Portfolio!$F121:$J121=U$4)*(Portfolio!$F123:$J123))</f>
        <v>0</v>
      </c>
      <c r="V47" s="96">
        <f>SUMPRODUCT((Portfolio!$F121:$J121=V$4)*(Portfolio!$F123:$J123))</f>
        <v>0</v>
      </c>
      <c r="W47" s="97">
        <f>SUMPRODUCT((Portfolio!$F121:$J121=W$4)*(Portfolio!$F123:$J123))</f>
        <v>0</v>
      </c>
      <c r="X47" s="96">
        <f>SUMPRODUCT((Portfolio!$F121:$J121=X$4)*(Portfolio!$F123:$J123))</f>
        <v>0</v>
      </c>
      <c r="Y47" s="96">
        <f>SUMPRODUCT((Portfolio!$F121:$J121=Y$4)*(Portfolio!$F123:$J123))</f>
        <v>0</v>
      </c>
      <c r="Z47" s="96">
        <f>SUMPRODUCT((Portfolio!$F121:$J121=Z$4)*(Portfolio!$F123:$J123))</f>
        <v>0</v>
      </c>
      <c r="AA47" s="97">
        <f>SUMPRODUCT((Portfolio!$F121:$J121=AA$4)*(Portfolio!$F123:$J123))</f>
        <v>0</v>
      </c>
      <c r="AB47" s="96">
        <f>SUMPRODUCT((Portfolio!$F121:$J121=AB$4)*(Portfolio!$F123:$J123))</f>
        <v>0</v>
      </c>
      <c r="AC47" s="96">
        <f>SUMPRODUCT((Portfolio!$F121:$J121=AC$4)*(Portfolio!$F123:$J123))</f>
        <v>0</v>
      </c>
      <c r="AD47" s="96">
        <f>SUMPRODUCT((Portfolio!$F121:$J121=AD$4)*(Portfolio!$F123:$J123))</f>
        <v>0</v>
      </c>
      <c r="AE47" s="97">
        <f>SUMPRODUCT((Portfolio!$F121:$J121=AE$4)*(Portfolio!$F123:$J123))</f>
        <v>0</v>
      </c>
      <c r="AF47" s="96">
        <f>SUMPRODUCT((Portfolio!$F121:$J121=AF$4)*(Portfolio!$F123:$J123))</f>
        <v>0</v>
      </c>
      <c r="AG47" s="96">
        <f>SUMPRODUCT((Portfolio!$F121:$J121=AG$4)*(Portfolio!$F123:$J123))</f>
        <v>0</v>
      </c>
      <c r="AH47" s="96">
        <f>SUMPRODUCT((Portfolio!$F121:$J121=AH$4)*(Portfolio!$F123:$J123))</f>
        <v>0</v>
      </c>
      <c r="AI47" s="97">
        <f>SUMPRODUCT((Portfolio!$F121:$J121=AI$4)*(Portfolio!$F123:$J123))</f>
        <v>0</v>
      </c>
      <c r="AJ47" s="96">
        <f>SUMPRODUCT((Portfolio!$F121:$J121=AJ$4)*(Portfolio!$F123:$J123))</f>
        <v>0</v>
      </c>
      <c r="AK47" s="96">
        <f>SUMPRODUCT((Portfolio!$F121:$J121=AK$4)*(Portfolio!$F123:$J123))</f>
        <v>0</v>
      </c>
      <c r="AL47" s="96">
        <f>SUMPRODUCT((Portfolio!$F121:$J121=AL$4)*(Portfolio!$F123:$J123))</f>
        <v>0</v>
      </c>
      <c r="AM47" s="97">
        <f>SUMPRODUCT((Portfolio!$F121:$J121=AM$4)*(Portfolio!$F123:$J123))</f>
        <v>0</v>
      </c>
      <c r="AN47" s="96">
        <f>SUMPRODUCT((Portfolio!$F121:$J121=AN$4)*(Portfolio!$F123:$J123))</f>
        <v>0</v>
      </c>
      <c r="AO47" s="96">
        <f>SUMPRODUCT((Portfolio!$F121:$J121=AO$4)*(Portfolio!$F123:$J123))</f>
        <v>0</v>
      </c>
      <c r="AP47" s="96">
        <f>SUMPRODUCT((Portfolio!$F121:$J121=AP$4)*(Portfolio!$F123:$J123))</f>
        <v>0</v>
      </c>
      <c r="AQ47" s="97">
        <f>SUMPRODUCT((Portfolio!$F121:$J121=AQ$4)*(Portfolio!$F123:$J123))</f>
        <v>0</v>
      </c>
      <c r="AR47" s="96">
        <f>SUMPRODUCT((Portfolio!$F121:$J121=AR$4)*(Portfolio!$F123:$J123))</f>
        <v>0</v>
      </c>
      <c r="AS47" s="96">
        <f>SUMPRODUCT((Portfolio!$F121:$J121=AS$4)*(Portfolio!$F123:$J123))</f>
        <v>0</v>
      </c>
      <c r="AT47" s="96">
        <f>SUMPRODUCT((Portfolio!$F121:$J121=AT$4)*(Portfolio!$F123:$J123))</f>
        <v>0</v>
      </c>
      <c r="AU47" s="97">
        <f>SUMPRODUCT((Portfolio!$F121:$J121=AU$4)*(Portfolio!$F123:$J123))</f>
        <v>0</v>
      </c>
      <c r="AV47" s="96"/>
      <c r="AW47" s="98"/>
      <c r="AX47" s="98"/>
      <c r="AY47" s="99"/>
    </row>
    <row r="48" spans="1:51" ht="15.75" hidden="1" customHeight="1" outlineLevel="1" x14ac:dyDescent="0.2">
      <c r="A48" s="83"/>
      <c r="B48" s="92">
        <f>IF(Portfolio!C124&lt;&gt;"",Portfolio!C124,"")</f>
        <v>40</v>
      </c>
      <c r="C48" s="93" t="str">
        <f>IF(Portfolio!D124&lt;&gt;"",Portfolio!D124,"")</f>
        <v/>
      </c>
      <c r="D48" s="94">
        <f>SUMPRODUCT((Portfolio!$F124:$J124=D$4)*(Portfolio!$F126:$J126))</f>
        <v>0</v>
      </c>
      <c r="E48" s="94">
        <f>SUMPRODUCT((Portfolio!$F124:$J124=E$4)*(Portfolio!$F126:$J126))</f>
        <v>0</v>
      </c>
      <c r="F48" s="94">
        <f>SUMPRODUCT((Portfolio!$F124:$J124=F$4)*(Portfolio!$F126:$J126))</f>
        <v>0</v>
      </c>
      <c r="G48" s="95">
        <f>SUMPRODUCT((Portfolio!$F124:$J124=G$4)*(Portfolio!$F126:$J126))</f>
        <v>0</v>
      </c>
      <c r="H48" s="94">
        <f>SUMPRODUCT((Portfolio!$F124:$J124=H$4)*(Portfolio!$F126:$J126))</f>
        <v>0</v>
      </c>
      <c r="I48" s="94">
        <f>SUMPRODUCT((Portfolio!$F124:$J124=I$4)*(Portfolio!$F126:$J126))</f>
        <v>0</v>
      </c>
      <c r="J48" s="94">
        <f>SUMPRODUCT((Portfolio!$F124:$J124=J$4)*(Portfolio!$F126:$J126))</f>
        <v>0</v>
      </c>
      <c r="K48" s="95">
        <f>SUMPRODUCT((Portfolio!$F124:$J124=K$4)*(Portfolio!$F126:$J126))</f>
        <v>0</v>
      </c>
      <c r="L48" s="96">
        <f>SUMPRODUCT((Portfolio!$F124:$J124=L$4)*(Portfolio!$F126:$J126))</f>
        <v>0</v>
      </c>
      <c r="M48" s="96">
        <f>SUMPRODUCT((Portfolio!$F124:$J124=M$4)*(Portfolio!$F126:$J126))</f>
        <v>0</v>
      </c>
      <c r="N48" s="96">
        <f>SUMPRODUCT((Portfolio!$F124:$J124=N$4)*(Portfolio!$F126:$J126))</f>
        <v>0</v>
      </c>
      <c r="O48" s="95">
        <f>SUMPRODUCT((Portfolio!$F124:$J124=O$4)*(Portfolio!$F126:$J126))</f>
        <v>0</v>
      </c>
      <c r="P48" s="96">
        <f>SUMPRODUCT((Portfolio!$F124:$J124=P$4)*(Portfolio!$F126:$J126))</f>
        <v>0</v>
      </c>
      <c r="Q48" s="96">
        <f>SUMPRODUCT((Portfolio!$F124:$J124=Q$4)*(Portfolio!$F126:$J126))</f>
        <v>0</v>
      </c>
      <c r="R48" s="96">
        <f>SUMPRODUCT((Portfolio!$F124:$J124=R$4)*(Portfolio!$F126:$J126))</f>
        <v>0</v>
      </c>
      <c r="S48" s="97">
        <f>SUMPRODUCT((Portfolio!$F124:$J124=S$4)*(Portfolio!$F126:$J126))</f>
        <v>0</v>
      </c>
      <c r="T48" s="96">
        <f>SUMPRODUCT((Portfolio!$F124:$J124=T$4)*(Portfolio!$F126:$J126))</f>
        <v>0</v>
      </c>
      <c r="U48" s="96">
        <f>SUMPRODUCT((Portfolio!$F124:$J124=U$4)*(Portfolio!$F126:$J126))</f>
        <v>0</v>
      </c>
      <c r="V48" s="96">
        <f>SUMPRODUCT((Portfolio!$F124:$J124=V$4)*(Portfolio!$F126:$J126))</f>
        <v>0</v>
      </c>
      <c r="W48" s="97">
        <f>SUMPRODUCT((Portfolio!$F124:$J124=W$4)*(Portfolio!$F126:$J126))</f>
        <v>0</v>
      </c>
      <c r="X48" s="96">
        <f>SUMPRODUCT((Portfolio!$F124:$J124=X$4)*(Portfolio!$F126:$J126))</f>
        <v>0</v>
      </c>
      <c r="Y48" s="96">
        <f>SUMPRODUCT((Portfolio!$F124:$J124=Y$4)*(Portfolio!$F126:$J126))</f>
        <v>0</v>
      </c>
      <c r="Z48" s="96">
        <f>SUMPRODUCT((Portfolio!$F124:$J124=Z$4)*(Portfolio!$F126:$J126))</f>
        <v>0</v>
      </c>
      <c r="AA48" s="97">
        <f>SUMPRODUCT((Portfolio!$F124:$J124=AA$4)*(Portfolio!$F126:$J126))</f>
        <v>0</v>
      </c>
      <c r="AB48" s="96">
        <f>SUMPRODUCT((Portfolio!$F124:$J124=AB$4)*(Portfolio!$F126:$J126))</f>
        <v>0</v>
      </c>
      <c r="AC48" s="96">
        <f>SUMPRODUCT((Portfolio!$F124:$J124=AC$4)*(Portfolio!$F126:$J126))</f>
        <v>0</v>
      </c>
      <c r="AD48" s="96">
        <f>SUMPRODUCT((Portfolio!$F124:$J124=AD$4)*(Portfolio!$F126:$J126))</f>
        <v>0</v>
      </c>
      <c r="AE48" s="97">
        <f>SUMPRODUCT((Portfolio!$F124:$J124=AE$4)*(Portfolio!$F126:$J126))</f>
        <v>0</v>
      </c>
      <c r="AF48" s="96">
        <f>SUMPRODUCT((Portfolio!$F124:$J124=AF$4)*(Portfolio!$F126:$J126))</f>
        <v>0</v>
      </c>
      <c r="AG48" s="96">
        <f>SUMPRODUCT((Portfolio!$F124:$J124=AG$4)*(Portfolio!$F126:$J126))</f>
        <v>0</v>
      </c>
      <c r="AH48" s="96">
        <f>SUMPRODUCT((Portfolio!$F124:$J124=AH$4)*(Portfolio!$F126:$J126))</f>
        <v>0</v>
      </c>
      <c r="AI48" s="97">
        <f>SUMPRODUCT((Portfolio!$F124:$J124=AI$4)*(Portfolio!$F126:$J126))</f>
        <v>0</v>
      </c>
      <c r="AJ48" s="96">
        <f>SUMPRODUCT((Portfolio!$F124:$J124=AJ$4)*(Portfolio!$F126:$J126))</f>
        <v>0</v>
      </c>
      <c r="AK48" s="96">
        <f>SUMPRODUCT((Portfolio!$F124:$J124=AK$4)*(Portfolio!$F126:$J126))</f>
        <v>0</v>
      </c>
      <c r="AL48" s="96">
        <f>SUMPRODUCT((Portfolio!$F124:$J124=AL$4)*(Portfolio!$F126:$J126))</f>
        <v>0</v>
      </c>
      <c r="AM48" s="97">
        <f>SUMPRODUCT((Portfolio!$F124:$J124=AM$4)*(Portfolio!$F126:$J126))</f>
        <v>0</v>
      </c>
      <c r="AN48" s="96">
        <f>SUMPRODUCT((Portfolio!$F124:$J124=AN$4)*(Portfolio!$F126:$J126))</f>
        <v>0</v>
      </c>
      <c r="AO48" s="96">
        <f>SUMPRODUCT((Portfolio!$F124:$J124=AO$4)*(Portfolio!$F126:$J126))</f>
        <v>0</v>
      </c>
      <c r="AP48" s="96">
        <f>SUMPRODUCT((Portfolio!$F124:$J124=AP$4)*(Portfolio!$F126:$J126))</f>
        <v>0</v>
      </c>
      <c r="AQ48" s="97">
        <f>SUMPRODUCT((Portfolio!$F124:$J124=AQ$4)*(Portfolio!$F126:$J126))</f>
        <v>0</v>
      </c>
      <c r="AR48" s="96">
        <f>SUMPRODUCT((Portfolio!$F124:$J124=AR$4)*(Portfolio!$F126:$J126))</f>
        <v>0</v>
      </c>
      <c r="AS48" s="96">
        <f>SUMPRODUCT((Portfolio!$F124:$J124=AS$4)*(Portfolio!$F126:$J126))</f>
        <v>0</v>
      </c>
      <c r="AT48" s="96">
        <f>SUMPRODUCT((Portfolio!$F124:$J124=AT$4)*(Portfolio!$F126:$J126))</f>
        <v>0</v>
      </c>
      <c r="AU48" s="97">
        <f>SUMPRODUCT((Portfolio!$F124:$J124=AU$4)*(Portfolio!$F126:$J126))</f>
        <v>0</v>
      </c>
      <c r="AV48" s="96"/>
      <c r="AW48" s="98"/>
      <c r="AX48" s="98"/>
      <c r="AY48" s="99"/>
    </row>
    <row r="49" spans="1:51" ht="15.75" hidden="1" customHeight="1" outlineLevel="1" x14ac:dyDescent="0.2">
      <c r="A49" s="83"/>
      <c r="B49" s="92">
        <f>IF(Portfolio!C127&lt;&gt;"",Portfolio!C127,"")</f>
        <v>41</v>
      </c>
      <c r="C49" s="93" t="str">
        <f>IF(Portfolio!D127&lt;&gt;"",Portfolio!D127,"")</f>
        <v/>
      </c>
      <c r="D49" s="94">
        <f>SUMPRODUCT((Portfolio!$F127:$J127=D$4)*(Portfolio!$F129:$J129))</f>
        <v>0</v>
      </c>
      <c r="E49" s="94">
        <f>SUMPRODUCT((Portfolio!$F127:$J127=E$4)*(Portfolio!$F129:$J129))</f>
        <v>0</v>
      </c>
      <c r="F49" s="94">
        <f>SUMPRODUCT((Portfolio!$F127:$J127=F$4)*(Portfolio!$F129:$J129))</f>
        <v>0</v>
      </c>
      <c r="G49" s="95">
        <f>SUMPRODUCT((Portfolio!$F127:$J127=G$4)*(Portfolio!$F129:$J129))</f>
        <v>0</v>
      </c>
      <c r="H49" s="94">
        <f>SUMPRODUCT((Portfolio!$F127:$J127=H$4)*(Portfolio!$F129:$J129))</f>
        <v>0</v>
      </c>
      <c r="I49" s="94">
        <f>SUMPRODUCT((Portfolio!$F127:$J127=I$4)*(Portfolio!$F129:$J129))</f>
        <v>0</v>
      </c>
      <c r="J49" s="94">
        <f>SUMPRODUCT((Portfolio!$F127:$J127=J$4)*(Portfolio!$F129:$J129))</f>
        <v>0</v>
      </c>
      <c r="K49" s="95">
        <f>SUMPRODUCT((Portfolio!$F127:$J127=K$4)*(Portfolio!$F129:$J129))</f>
        <v>0</v>
      </c>
      <c r="L49" s="96">
        <f>SUMPRODUCT((Portfolio!$F127:$J127=L$4)*(Portfolio!$F129:$J129))</f>
        <v>0</v>
      </c>
      <c r="M49" s="96">
        <f>SUMPRODUCT((Portfolio!$F127:$J127=M$4)*(Portfolio!$F129:$J129))</f>
        <v>0</v>
      </c>
      <c r="N49" s="96">
        <f>SUMPRODUCT((Portfolio!$F127:$J127=N$4)*(Portfolio!$F129:$J129))</f>
        <v>0</v>
      </c>
      <c r="O49" s="95">
        <f>SUMPRODUCT((Portfolio!$F127:$J127=O$4)*(Portfolio!$F129:$J129))</f>
        <v>0</v>
      </c>
      <c r="P49" s="96">
        <f>SUMPRODUCT((Portfolio!$F127:$J127=P$4)*(Portfolio!$F129:$J129))</f>
        <v>0</v>
      </c>
      <c r="Q49" s="96">
        <f>SUMPRODUCT((Portfolio!$F127:$J127=Q$4)*(Portfolio!$F129:$J129))</f>
        <v>0</v>
      </c>
      <c r="R49" s="96">
        <f>SUMPRODUCT((Portfolio!$F127:$J127=R$4)*(Portfolio!$F129:$J129))</f>
        <v>0</v>
      </c>
      <c r="S49" s="97">
        <f>SUMPRODUCT((Portfolio!$F127:$J127=S$4)*(Portfolio!$F129:$J129))</f>
        <v>0</v>
      </c>
      <c r="T49" s="96">
        <f>SUMPRODUCT((Portfolio!$F127:$J127=T$4)*(Portfolio!$F129:$J129))</f>
        <v>0</v>
      </c>
      <c r="U49" s="96">
        <f>SUMPRODUCT((Portfolio!$F127:$J127=U$4)*(Portfolio!$F129:$J129))</f>
        <v>0</v>
      </c>
      <c r="V49" s="96">
        <f>SUMPRODUCT((Portfolio!$F127:$J127=V$4)*(Portfolio!$F129:$J129))</f>
        <v>0</v>
      </c>
      <c r="W49" s="97">
        <f>SUMPRODUCT((Portfolio!$F127:$J127=W$4)*(Portfolio!$F129:$J129))</f>
        <v>0</v>
      </c>
      <c r="X49" s="96">
        <f>SUMPRODUCT((Portfolio!$F127:$J127=X$4)*(Portfolio!$F129:$J129))</f>
        <v>0</v>
      </c>
      <c r="Y49" s="96">
        <f>SUMPRODUCT((Portfolio!$F127:$J127=Y$4)*(Portfolio!$F129:$J129))</f>
        <v>0</v>
      </c>
      <c r="Z49" s="96">
        <f>SUMPRODUCT((Portfolio!$F127:$J127=Z$4)*(Portfolio!$F129:$J129))</f>
        <v>0</v>
      </c>
      <c r="AA49" s="97">
        <f>SUMPRODUCT((Portfolio!$F127:$J127=AA$4)*(Portfolio!$F129:$J129))</f>
        <v>0</v>
      </c>
      <c r="AB49" s="96">
        <f>SUMPRODUCT((Portfolio!$F127:$J127=AB$4)*(Portfolio!$F129:$J129))</f>
        <v>0</v>
      </c>
      <c r="AC49" s="96">
        <f>SUMPRODUCT((Portfolio!$F127:$J127=AC$4)*(Portfolio!$F129:$J129))</f>
        <v>0</v>
      </c>
      <c r="AD49" s="96">
        <f>SUMPRODUCT((Portfolio!$F127:$J127=AD$4)*(Portfolio!$F129:$J129))</f>
        <v>0</v>
      </c>
      <c r="AE49" s="97">
        <f>SUMPRODUCT((Portfolio!$F127:$J127=AE$4)*(Portfolio!$F129:$J129))</f>
        <v>0</v>
      </c>
      <c r="AF49" s="96">
        <f>SUMPRODUCT((Portfolio!$F127:$J127=AF$4)*(Portfolio!$F129:$J129))</f>
        <v>0</v>
      </c>
      <c r="AG49" s="96">
        <f>SUMPRODUCT((Portfolio!$F127:$J127=AG$4)*(Portfolio!$F129:$J129))</f>
        <v>0</v>
      </c>
      <c r="AH49" s="96">
        <f>SUMPRODUCT((Portfolio!$F127:$J127=AH$4)*(Portfolio!$F129:$J129))</f>
        <v>0</v>
      </c>
      <c r="AI49" s="97">
        <f>SUMPRODUCT((Portfolio!$F127:$J127=AI$4)*(Portfolio!$F129:$J129))</f>
        <v>0</v>
      </c>
      <c r="AJ49" s="96">
        <f>SUMPRODUCT((Portfolio!$F127:$J127=AJ$4)*(Portfolio!$F129:$J129))</f>
        <v>0</v>
      </c>
      <c r="AK49" s="96">
        <f>SUMPRODUCT((Portfolio!$F127:$J127=AK$4)*(Portfolio!$F129:$J129))</f>
        <v>0</v>
      </c>
      <c r="AL49" s="96">
        <f>SUMPRODUCT((Portfolio!$F127:$J127=AL$4)*(Portfolio!$F129:$J129))</f>
        <v>0</v>
      </c>
      <c r="AM49" s="97">
        <f>SUMPRODUCT((Portfolio!$F127:$J127=AM$4)*(Portfolio!$F129:$J129))</f>
        <v>0</v>
      </c>
      <c r="AN49" s="96">
        <f>SUMPRODUCT((Portfolio!$F127:$J127=AN$4)*(Portfolio!$F129:$J129))</f>
        <v>0</v>
      </c>
      <c r="AO49" s="96">
        <f>SUMPRODUCT((Portfolio!$F127:$J127=AO$4)*(Portfolio!$F129:$J129))</f>
        <v>0</v>
      </c>
      <c r="AP49" s="96">
        <f>SUMPRODUCT((Portfolio!$F127:$J127=AP$4)*(Portfolio!$F129:$J129))</f>
        <v>0</v>
      </c>
      <c r="AQ49" s="97">
        <f>SUMPRODUCT((Portfolio!$F127:$J127=AQ$4)*(Portfolio!$F129:$J129))</f>
        <v>0</v>
      </c>
      <c r="AR49" s="96">
        <f>SUMPRODUCT((Portfolio!$F127:$J127=AR$4)*(Portfolio!$F129:$J129))</f>
        <v>0</v>
      </c>
      <c r="AS49" s="96">
        <f>SUMPRODUCT((Portfolio!$F127:$J127=AS$4)*(Portfolio!$F129:$J129))</f>
        <v>0</v>
      </c>
      <c r="AT49" s="96">
        <f>SUMPRODUCT((Portfolio!$F127:$J127=AT$4)*(Portfolio!$F129:$J129))</f>
        <v>0</v>
      </c>
      <c r="AU49" s="97">
        <f>SUMPRODUCT((Portfolio!$F127:$J127=AU$4)*(Portfolio!$F129:$J129))</f>
        <v>0</v>
      </c>
      <c r="AV49" s="96"/>
      <c r="AW49" s="98"/>
      <c r="AX49" s="98"/>
      <c r="AY49" s="99"/>
    </row>
    <row r="50" spans="1:51" ht="15.75" hidden="1" customHeight="1" outlineLevel="1" x14ac:dyDescent="0.2">
      <c r="A50" s="83"/>
      <c r="B50" s="92">
        <f>IF(Portfolio!C130&lt;&gt;"",Portfolio!C130,"")</f>
        <v>42</v>
      </c>
      <c r="C50" s="93" t="str">
        <f>IF(Portfolio!D130&lt;&gt;"",Portfolio!D130,"")</f>
        <v/>
      </c>
      <c r="D50" s="94">
        <f>SUMPRODUCT((Portfolio!$F130:$J130=D$4)*(Portfolio!$F132:$J132))</f>
        <v>0</v>
      </c>
      <c r="E50" s="94">
        <f>SUMPRODUCT((Portfolio!$F130:$J130=E$4)*(Portfolio!$F132:$J132))</f>
        <v>0</v>
      </c>
      <c r="F50" s="94">
        <f>SUMPRODUCT((Portfolio!$F130:$J130=F$4)*(Portfolio!$F132:$J132))</f>
        <v>0</v>
      </c>
      <c r="G50" s="95">
        <f>SUMPRODUCT((Portfolio!$F130:$J130=G$4)*(Portfolio!$F132:$J132))</f>
        <v>0</v>
      </c>
      <c r="H50" s="94">
        <f>SUMPRODUCT((Portfolio!$F130:$J130=H$4)*(Portfolio!$F132:$J132))</f>
        <v>0</v>
      </c>
      <c r="I50" s="94">
        <f>SUMPRODUCT((Portfolio!$F130:$J130=I$4)*(Portfolio!$F132:$J132))</f>
        <v>0</v>
      </c>
      <c r="J50" s="94">
        <f>SUMPRODUCT((Portfolio!$F130:$J130=J$4)*(Portfolio!$F132:$J132))</f>
        <v>0</v>
      </c>
      <c r="K50" s="95">
        <f>SUMPRODUCT((Portfolio!$F130:$J130=K$4)*(Portfolio!$F132:$J132))</f>
        <v>0</v>
      </c>
      <c r="L50" s="96">
        <f>SUMPRODUCT((Portfolio!$F130:$J130=L$4)*(Portfolio!$F132:$J132))</f>
        <v>0</v>
      </c>
      <c r="M50" s="96">
        <f>SUMPRODUCT((Portfolio!$F130:$J130=M$4)*(Portfolio!$F132:$J132))</f>
        <v>0</v>
      </c>
      <c r="N50" s="96">
        <f>SUMPRODUCT((Portfolio!$F130:$J130=N$4)*(Portfolio!$F132:$J132))</f>
        <v>0</v>
      </c>
      <c r="O50" s="95">
        <f>SUMPRODUCT((Portfolio!$F130:$J130=O$4)*(Portfolio!$F132:$J132))</f>
        <v>0</v>
      </c>
      <c r="P50" s="96">
        <f>SUMPRODUCT((Portfolio!$F130:$J130=P$4)*(Portfolio!$F132:$J132))</f>
        <v>0</v>
      </c>
      <c r="Q50" s="96">
        <f>SUMPRODUCT((Portfolio!$F130:$J130=Q$4)*(Portfolio!$F132:$J132))</f>
        <v>0</v>
      </c>
      <c r="R50" s="96">
        <f>SUMPRODUCT((Portfolio!$F130:$J130=R$4)*(Portfolio!$F132:$J132))</f>
        <v>0</v>
      </c>
      <c r="S50" s="97">
        <f>SUMPRODUCT((Portfolio!$F130:$J130=S$4)*(Portfolio!$F132:$J132))</f>
        <v>0</v>
      </c>
      <c r="T50" s="96">
        <f>SUMPRODUCT((Portfolio!$F130:$J130=T$4)*(Portfolio!$F132:$J132))</f>
        <v>0</v>
      </c>
      <c r="U50" s="96">
        <f>SUMPRODUCT((Portfolio!$F130:$J130=U$4)*(Portfolio!$F132:$J132))</f>
        <v>0</v>
      </c>
      <c r="V50" s="96">
        <f>SUMPRODUCT((Portfolio!$F130:$J130=V$4)*(Portfolio!$F132:$J132))</f>
        <v>0</v>
      </c>
      <c r="W50" s="97">
        <f>SUMPRODUCT((Portfolio!$F130:$J130=W$4)*(Portfolio!$F132:$J132))</f>
        <v>0</v>
      </c>
      <c r="X50" s="96">
        <f>SUMPRODUCT((Portfolio!$F130:$J130=X$4)*(Portfolio!$F132:$J132))</f>
        <v>0</v>
      </c>
      <c r="Y50" s="96">
        <f>SUMPRODUCT((Portfolio!$F130:$J130=Y$4)*(Portfolio!$F132:$J132))</f>
        <v>0</v>
      </c>
      <c r="Z50" s="96">
        <f>SUMPRODUCT((Portfolio!$F130:$J130=Z$4)*(Portfolio!$F132:$J132))</f>
        <v>0</v>
      </c>
      <c r="AA50" s="97">
        <f>SUMPRODUCT((Portfolio!$F130:$J130=AA$4)*(Portfolio!$F132:$J132))</f>
        <v>0</v>
      </c>
      <c r="AB50" s="96">
        <f>SUMPRODUCT((Portfolio!$F130:$J130=AB$4)*(Portfolio!$F132:$J132))</f>
        <v>0</v>
      </c>
      <c r="AC50" s="96">
        <f>SUMPRODUCT((Portfolio!$F130:$J130=AC$4)*(Portfolio!$F132:$J132))</f>
        <v>0</v>
      </c>
      <c r="AD50" s="96">
        <f>SUMPRODUCT((Portfolio!$F130:$J130=AD$4)*(Portfolio!$F132:$J132))</f>
        <v>0</v>
      </c>
      <c r="AE50" s="97">
        <f>SUMPRODUCT((Portfolio!$F130:$J130=AE$4)*(Portfolio!$F132:$J132))</f>
        <v>0</v>
      </c>
      <c r="AF50" s="96">
        <f>SUMPRODUCT((Portfolio!$F130:$J130=AF$4)*(Portfolio!$F132:$J132))</f>
        <v>0</v>
      </c>
      <c r="AG50" s="96">
        <f>SUMPRODUCT((Portfolio!$F130:$J130=AG$4)*(Portfolio!$F132:$J132))</f>
        <v>0</v>
      </c>
      <c r="AH50" s="96">
        <f>SUMPRODUCT((Portfolio!$F130:$J130=AH$4)*(Portfolio!$F132:$J132))</f>
        <v>0</v>
      </c>
      <c r="AI50" s="97">
        <f>SUMPRODUCT((Portfolio!$F130:$J130=AI$4)*(Portfolio!$F132:$J132))</f>
        <v>0</v>
      </c>
      <c r="AJ50" s="96">
        <f>SUMPRODUCT((Portfolio!$F130:$J130=AJ$4)*(Portfolio!$F132:$J132))</f>
        <v>0</v>
      </c>
      <c r="AK50" s="96">
        <f>SUMPRODUCT((Portfolio!$F130:$J130=AK$4)*(Portfolio!$F132:$J132))</f>
        <v>0</v>
      </c>
      <c r="AL50" s="96">
        <f>SUMPRODUCT((Portfolio!$F130:$J130=AL$4)*(Portfolio!$F132:$J132))</f>
        <v>0</v>
      </c>
      <c r="AM50" s="97">
        <f>SUMPRODUCT((Portfolio!$F130:$J130=AM$4)*(Portfolio!$F132:$J132))</f>
        <v>0</v>
      </c>
      <c r="AN50" s="96">
        <f>SUMPRODUCT((Portfolio!$F130:$J130=AN$4)*(Portfolio!$F132:$J132))</f>
        <v>0</v>
      </c>
      <c r="AO50" s="96">
        <f>SUMPRODUCT((Portfolio!$F130:$J130=AO$4)*(Portfolio!$F132:$J132))</f>
        <v>0</v>
      </c>
      <c r="AP50" s="96">
        <f>SUMPRODUCT((Portfolio!$F130:$J130=AP$4)*(Portfolio!$F132:$J132))</f>
        <v>0</v>
      </c>
      <c r="AQ50" s="97">
        <f>SUMPRODUCT((Portfolio!$F130:$J130=AQ$4)*(Portfolio!$F132:$J132))</f>
        <v>0</v>
      </c>
      <c r="AR50" s="96">
        <f>SUMPRODUCT((Portfolio!$F130:$J130=AR$4)*(Portfolio!$F132:$J132))</f>
        <v>0</v>
      </c>
      <c r="AS50" s="96">
        <f>SUMPRODUCT((Portfolio!$F130:$J130=AS$4)*(Portfolio!$F132:$J132))</f>
        <v>0</v>
      </c>
      <c r="AT50" s="96">
        <f>SUMPRODUCT((Portfolio!$F130:$J130=AT$4)*(Portfolio!$F132:$J132))</f>
        <v>0</v>
      </c>
      <c r="AU50" s="97">
        <f>SUMPRODUCT((Portfolio!$F130:$J130=AU$4)*(Portfolio!$F132:$J132))</f>
        <v>0</v>
      </c>
      <c r="AV50" s="96"/>
      <c r="AW50" s="98"/>
      <c r="AX50" s="98"/>
      <c r="AY50" s="99"/>
    </row>
    <row r="51" spans="1:51" ht="15.75" hidden="1" customHeight="1" outlineLevel="1" x14ac:dyDescent="0.2">
      <c r="A51" s="83"/>
      <c r="B51" s="92">
        <f>IF(Portfolio!C133&lt;&gt;"",Portfolio!C133,"")</f>
        <v>43</v>
      </c>
      <c r="C51" s="93" t="str">
        <f>IF(Portfolio!D133&lt;&gt;"",Portfolio!D133,"")</f>
        <v/>
      </c>
      <c r="D51" s="94">
        <f>SUMPRODUCT((Portfolio!$F133:$J133=D$4)*(Portfolio!$F135:$J135))</f>
        <v>0</v>
      </c>
      <c r="E51" s="94">
        <f>SUMPRODUCT((Portfolio!$F133:$J133=E$4)*(Portfolio!$F135:$J135))</f>
        <v>0</v>
      </c>
      <c r="F51" s="94">
        <f>SUMPRODUCT((Portfolio!$F133:$J133=F$4)*(Portfolio!$F135:$J135))</f>
        <v>0</v>
      </c>
      <c r="G51" s="95">
        <f>SUMPRODUCT((Portfolio!$F133:$J133=G$4)*(Portfolio!$F135:$J135))</f>
        <v>0</v>
      </c>
      <c r="H51" s="94">
        <f>SUMPRODUCT((Portfolio!$F133:$J133=H$4)*(Portfolio!$F135:$J135))</f>
        <v>0</v>
      </c>
      <c r="I51" s="94">
        <f>SUMPRODUCT((Portfolio!$F133:$J133=I$4)*(Portfolio!$F135:$J135))</f>
        <v>0</v>
      </c>
      <c r="J51" s="94">
        <f>SUMPRODUCT((Portfolio!$F133:$J133=J$4)*(Portfolio!$F135:$J135))</f>
        <v>0</v>
      </c>
      <c r="K51" s="95">
        <f>SUMPRODUCT((Portfolio!$F133:$J133=K$4)*(Portfolio!$F135:$J135))</f>
        <v>0</v>
      </c>
      <c r="L51" s="96">
        <f>SUMPRODUCT((Portfolio!$F133:$J133=L$4)*(Portfolio!$F135:$J135))</f>
        <v>0</v>
      </c>
      <c r="M51" s="96">
        <f>SUMPRODUCT((Portfolio!$F133:$J133=M$4)*(Portfolio!$F135:$J135))</f>
        <v>0</v>
      </c>
      <c r="N51" s="96">
        <f>SUMPRODUCT((Portfolio!$F133:$J133=N$4)*(Portfolio!$F135:$J135))</f>
        <v>0</v>
      </c>
      <c r="O51" s="95">
        <f>SUMPRODUCT((Portfolio!$F133:$J133=O$4)*(Portfolio!$F135:$J135))</f>
        <v>0</v>
      </c>
      <c r="P51" s="96">
        <f>SUMPRODUCT((Portfolio!$F133:$J133=P$4)*(Portfolio!$F135:$J135))</f>
        <v>0</v>
      </c>
      <c r="Q51" s="96">
        <f>SUMPRODUCT((Portfolio!$F133:$J133=Q$4)*(Portfolio!$F135:$J135))</f>
        <v>0</v>
      </c>
      <c r="R51" s="96">
        <f>SUMPRODUCT((Portfolio!$F133:$J133=R$4)*(Portfolio!$F135:$J135))</f>
        <v>0</v>
      </c>
      <c r="S51" s="97">
        <f>SUMPRODUCT((Portfolio!$F133:$J133=S$4)*(Portfolio!$F135:$J135))</f>
        <v>0</v>
      </c>
      <c r="T51" s="96">
        <f>SUMPRODUCT((Portfolio!$F133:$J133=T$4)*(Portfolio!$F135:$J135))</f>
        <v>0</v>
      </c>
      <c r="U51" s="96">
        <f>SUMPRODUCT((Portfolio!$F133:$J133=U$4)*(Portfolio!$F135:$J135))</f>
        <v>0</v>
      </c>
      <c r="V51" s="96">
        <f>SUMPRODUCT((Portfolio!$F133:$J133=V$4)*(Portfolio!$F135:$J135))</f>
        <v>0</v>
      </c>
      <c r="W51" s="97">
        <f>SUMPRODUCT((Portfolio!$F133:$J133=W$4)*(Portfolio!$F135:$J135))</f>
        <v>0</v>
      </c>
      <c r="X51" s="96">
        <f>SUMPRODUCT((Portfolio!$F133:$J133=X$4)*(Portfolio!$F135:$J135))</f>
        <v>0</v>
      </c>
      <c r="Y51" s="96">
        <f>SUMPRODUCT((Portfolio!$F133:$J133=Y$4)*(Portfolio!$F135:$J135))</f>
        <v>0</v>
      </c>
      <c r="Z51" s="96">
        <f>SUMPRODUCT((Portfolio!$F133:$J133=Z$4)*(Portfolio!$F135:$J135))</f>
        <v>0</v>
      </c>
      <c r="AA51" s="97">
        <f>SUMPRODUCT((Portfolio!$F133:$J133=AA$4)*(Portfolio!$F135:$J135))</f>
        <v>0</v>
      </c>
      <c r="AB51" s="96">
        <f>SUMPRODUCT((Portfolio!$F133:$J133=AB$4)*(Portfolio!$F135:$J135))</f>
        <v>0</v>
      </c>
      <c r="AC51" s="96">
        <f>SUMPRODUCT((Portfolio!$F133:$J133=AC$4)*(Portfolio!$F135:$J135))</f>
        <v>0</v>
      </c>
      <c r="AD51" s="96">
        <f>SUMPRODUCT((Portfolio!$F133:$J133=AD$4)*(Portfolio!$F135:$J135))</f>
        <v>0</v>
      </c>
      <c r="AE51" s="97">
        <f>SUMPRODUCT((Portfolio!$F133:$J133=AE$4)*(Portfolio!$F135:$J135))</f>
        <v>0</v>
      </c>
      <c r="AF51" s="96">
        <f>SUMPRODUCT((Portfolio!$F133:$J133=AF$4)*(Portfolio!$F135:$J135))</f>
        <v>0</v>
      </c>
      <c r="AG51" s="96">
        <f>SUMPRODUCT((Portfolio!$F133:$J133=AG$4)*(Portfolio!$F135:$J135))</f>
        <v>0</v>
      </c>
      <c r="AH51" s="96">
        <f>SUMPRODUCT((Portfolio!$F133:$J133=AH$4)*(Portfolio!$F135:$J135))</f>
        <v>0</v>
      </c>
      <c r="AI51" s="97">
        <f>SUMPRODUCT((Portfolio!$F133:$J133=AI$4)*(Portfolio!$F135:$J135))</f>
        <v>0</v>
      </c>
      <c r="AJ51" s="96">
        <f>SUMPRODUCT((Portfolio!$F133:$J133=AJ$4)*(Portfolio!$F135:$J135))</f>
        <v>0</v>
      </c>
      <c r="AK51" s="96">
        <f>SUMPRODUCT((Portfolio!$F133:$J133=AK$4)*(Portfolio!$F135:$J135))</f>
        <v>0</v>
      </c>
      <c r="AL51" s="96">
        <f>SUMPRODUCT((Portfolio!$F133:$J133=AL$4)*(Portfolio!$F135:$J135))</f>
        <v>0</v>
      </c>
      <c r="AM51" s="97">
        <f>SUMPRODUCT((Portfolio!$F133:$J133=AM$4)*(Portfolio!$F135:$J135))</f>
        <v>0</v>
      </c>
      <c r="AN51" s="96">
        <f>SUMPRODUCT((Portfolio!$F133:$J133=AN$4)*(Portfolio!$F135:$J135))</f>
        <v>0</v>
      </c>
      <c r="AO51" s="96">
        <f>SUMPRODUCT((Portfolio!$F133:$J133=AO$4)*(Portfolio!$F135:$J135))</f>
        <v>0</v>
      </c>
      <c r="AP51" s="96">
        <f>SUMPRODUCT((Portfolio!$F133:$J133=AP$4)*(Portfolio!$F135:$J135))</f>
        <v>0</v>
      </c>
      <c r="AQ51" s="97">
        <f>SUMPRODUCT((Portfolio!$F133:$J133=AQ$4)*(Portfolio!$F135:$J135))</f>
        <v>0</v>
      </c>
      <c r="AR51" s="96">
        <f>SUMPRODUCT((Portfolio!$F133:$J133=AR$4)*(Portfolio!$F135:$J135))</f>
        <v>0</v>
      </c>
      <c r="AS51" s="96">
        <f>SUMPRODUCT((Portfolio!$F133:$J133=AS$4)*(Portfolio!$F135:$J135))</f>
        <v>0</v>
      </c>
      <c r="AT51" s="96">
        <f>SUMPRODUCT((Portfolio!$F133:$J133=AT$4)*(Portfolio!$F135:$J135))</f>
        <v>0</v>
      </c>
      <c r="AU51" s="97">
        <f>SUMPRODUCT((Portfolio!$F133:$J133=AU$4)*(Portfolio!$F135:$J135))</f>
        <v>0</v>
      </c>
      <c r="AV51" s="96"/>
      <c r="AW51" s="98"/>
      <c r="AX51" s="98"/>
      <c r="AY51" s="99"/>
    </row>
    <row r="52" spans="1:51" ht="15.75" hidden="1" customHeight="1" outlineLevel="1" x14ac:dyDescent="0.2">
      <c r="A52" s="83"/>
      <c r="B52" s="92">
        <f>IF(Portfolio!C136&lt;&gt;"",Portfolio!C136,"")</f>
        <v>44</v>
      </c>
      <c r="C52" s="93" t="str">
        <f>IF(Portfolio!D136&lt;&gt;"",Portfolio!D136,"")</f>
        <v/>
      </c>
      <c r="D52" s="94">
        <f>SUMPRODUCT((Portfolio!$F136:$J136=D$4)*(Portfolio!$F138:$J138))</f>
        <v>0</v>
      </c>
      <c r="E52" s="94">
        <f>SUMPRODUCT((Portfolio!$F136:$J136=E$4)*(Portfolio!$F138:$J138))</f>
        <v>0</v>
      </c>
      <c r="F52" s="94">
        <f>SUMPRODUCT((Portfolio!$F136:$J136=F$4)*(Portfolio!$F138:$J138))</f>
        <v>0</v>
      </c>
      <c r="G52" s="95">
        <f>SUMPRODUCT((Portfolio!$F136:$J136=G$4)*(Portfolio!$F138:$J138))</f>
        <v>0</v>
      </c>
      <c r="H52" s="94">
        <f>SUMPRODUCT((Portfolio!$F136:$J136=H$4)*(Portfolio!$F138:$J138))</f>
        <v>0</v>
      </c>
      <c r="I52" s="94">
        <f>SUMPRODUCT((Portfolio!$F136:$J136=I$4)*(Portfolio!$F138:$J138))</f>
        <v>0</v>
      </c>
      <c r="J52" s="94">
        <f>SUMPRODUCT((Portfolio!$F136:$J136=J$4)*(Portfolio!$F138:$J138))</f>
        <v>0</v>
      </c>
      <c r="K52" s="95">
        <f>SUMPRODUCT((Portfolio!$F136:$J136=K$4)*(Portfolio!$F138:$J138))</f>
        <v>0</v>
      </c>
      <c r="L52" s="96">
        <f>SUMPRODUCT((Portfolio!$F136:$J136=L$4)*(Portfolio!$F138:$J138))</f>
        <v>0</v>
      </c>
      <c r="M52" s="96">
        <f>SUMPRODUCT((Portfolio!$F136:$J136=M$4)*(Portfolio!$F138:$J138))</f>
        <v>0</v>
      </c>
      <c r="N52" s="96">
        <f>SUMPRODUCT((Portfolio!$F136:$J136=N$4)*(Portfolio!$F138:$J138))</f>
        <v>0</v>
      </c>
      <c r="O52" s="95">
        <f>SUMPRODUCT((Portfolio!$F136:$J136=O$4)*(Portfolio!$F138:$J138))</f>
        <v>0</v>
      </c>
      <c r="P52" s="96">
        <f>SUMPRODUCT((Portfolio!$F136:$J136=P$4)*(Portfolio!$F138:$J138))</f>
        <v>0</v>
      </c>
      <c r="Q52" s="96">
        <f>SUMPRODUCT((Portfolio!$F136:$J136=Q$4)*(Portfolio!$F138:$J138))</f>
        <v>0</v>
      </c>
      <c r="R52" s="96">
        <f>SUMPRODUCT((Portfolio!$F136:$J136=R$4)*(Portfolio!$F138:$J138))</f>
        <v>0</v>
      </c>
      <c r="S52" s="97">
        <f>SUMPRODUCT((Portfolio!$F136:$J136=S$4)*(Portfolio!$F138:$J138))</f>
        <v>0</v>
      </c>
      <c r="T52" s="96">
        <f>SUMPRODUCT((Portfolio!$F136:$J136=T$4)*(Portfolio!$F138:$J138))</f>
        <v>0</v>
      </c>
      <c r="U52" s="96">
        <f>SUMPRODUCT((Portfolio!$F136:$J136=U$4)*(Portfolio!$F138:$J138))</f>
        <v>0</v>
      </c>
      <c r="V52" s="96">
        <f>SUMPRODUCT((Portfolio!$F136:$J136=V$4)*(Portfolio!$F138:$J138))</f>
        <v>0</v>
      </c>
      <c r="W52" s="97">
        <f>SUMPRODUCT((Portfolio!$F136:$J136=W$4)*(Portfolio!$F138:$J138))</f>
        <v>0</v>
      </c>
      <c r="X52" s="96">
        <f>SUMPRODUCT((Portfolio!$F136:$J136=X$4)*(Portfolio!$F138:$J138))</f>
        <v>0</v>
      </c>
      <c r="Y52" s="96">
        <f>SUMPRODUCT((Portfolio!$F136:$J136=Y$4)*(Portfolio!$F138:$J138))</f>
        <v>0</v>
      </c>
      <c r="Z52" s="96">
        <f>SUMPRODUCT((Portfolio!$F136:$J136=Z$4)*(Portfolio!$F138:$J138))</f>
        <v>0</v>
      </c>
      <c r="AA52" s="97">
        <f>SUMPRODUCT((Portfolio!$F136:$J136=AA$4)*(Portfolio!$F138:$J138))</f>
        <v>0</v>
      </c>
      <c r="AB52" s="96">
        <f>SUMPRODUCT((Portfolio!$F136:$J136=AB$4)*(Portfolio!$F138:$J138))</f>
        <v>0</v>
      </c>
      <c r="AC52" s="96">
        <f>SUMPRODUCT((Portfolio!$F136:$J136=AC$4)*(Portfolio!$F138:$J138))</f>
        <v>0</v>
      </c>
      <c r="AD52" s="96">
        <f>SUMPRODUCT((Portfolio!$F136:$J136=AD$4)*(Portfolio!$F138:$J138))</f>
        <v>0</v>
      </c>
      <c r="AE52" s="97">
        <f>SUMPRODUCT((Portfolio!$F136:$J136=AE$4)*(Portfolio!$F138:$J138))</f>
        <v>0</v>
      </c>
      <c r="AF52" s="96">
        <f>SUMPRODUCT((Portfolio!$F136:$J136=AF$4)*(Portfolio!$F138:$J138))</f>
        <v>0</v>
      </c>
      <c r="AG52" s="96">
        <f>SUMPRODUCT((Portfolio!$F136:$J136=AG$4)*(Portfolio!$F138:$J138))</f>
        <v>0</v>
      </c>
      <c r="AH52" s="96">
        <f>SUMPRODUCT((Portfolio!$F136:$J136=AH$4)*(Portfolio!$F138:$J138))</f>
        <v>0</v>
      </c>
      <c r="AI52" s="97">
        <f>SUMPRODUCT((Portfolio!$F136:$J136=AI$4)*(Portfolio!$F138:$J138))</f>
        <v>0</v>
      </c>
      <c r="AJ52" s="96">
        <f>SUMPRODUCT((Portfolio!$F136:$J136=AJ$4)*(Portfolio!$F138:$J138))</f>
        <v>0</v>
      </c>
      <c r="AK52" s="96">
        <f>SUMPRODUCT((Portfolio!$F136:$J136=AK$4)*(Portfolio!$F138:$J138))</f>
        <v>0</v>
      </c>
      <c r="AL52" s="96">
        <f>SUMPRODUCT((Portfolio!$F136:$J136=AL$4)*(Portfolio!$F138:$J138))</f>
        <v>0</v>
      </c>
      <c r="AM52" s="97">
        <f>SUMPRODUCT((Portfolio!$F136:$J136=AM$4)*(Portfolio!$F138:$J138))</f>
        <v>0</v>
      </c>
      <c r="AN52" s="96">
        <f>SUMPRODUCT((Portfolio!$F136:$J136=AN$4)*(Portfolio!$F138:$J138))</f>
        <v>0</v>
      </c>
      <c r="AO52" s="96">
        <f>SUMPRODUCT((Portfolio!$F136:$J136=AO$4)*(Portfolio!$F138:$J138))</f>
        <v>0</v>
      </c>
      <c r="AP52" s="96">
        <f>SUMPRODUCT((Portfolio!$F136:$J136=AP$4)*(Portfolio!$F138:$J138))</f>
        <v>0</v>
      </c>
      <c r="AQ52" s="97">
        <f>SUMPRODUCT((Portfolio!$F136:$J136=AQ$4)*(Portfolio!$F138:$J138))</f>
        <v>0</v>
      </c>
      <c r="AR52" s="96">
        <f>SUMPRODUCT((Portfolio!$F136:$J136=AR$4)*(Portfolio!$F138:$J138))</f>
        <v>0</v>
      </c>
      <c r="AS52" s="96">
        <f>SUMPRODUCT((Portfolio!$F136:$J136=AS$4)*(Portfolio!$F138:$J138))</f>
        <v>0</v>
      </c>
      <c r="AT52" s="96">
        <f>SUMPRODUCT((Portfolio!$F136:$J136=AT$4)*(Portfolio!$F138:$J138))</f>
        <v>0</v>
      </c>
      <c r="AU52" s="97">
        <f>SUMPRODUCT((Portfolio!$F136:$J136=AU$4)*(Portfolio!$F138:$J138))</f>
        <v>0</v>
      </c>
      <c r="AV52" s="96"/>
      <c r="AW52" s="98"/>
      <c r="AX52" s="98"/>
      <c r="AY52" s="99"/>
    </row>
    <row r="53" spans="1:51" ht="15.75" hidden="1" customHeight="1" outlineLevel="1" x14ac:dyDescent="0.2">
      <c r="A53" s="83"/>
      <c r="B53" s="92">
        <f>IF(Portfolio!C139&lt;&gt;"",Portfolio!C139,"")</f>
        <v>45</v>
      </c>
      <c r="C53" s="93" t="str">
        <f>IF(Portfolio!D139&lt;&gt;"",Portfolio!D139,"")</f>
        <v/>
      </c>
      <c r="D53" s="94">
        <f>SUMPRODUCT((Portfolio!$F139:$J139=D$4)*(Portfolio!$F141:$J141))</f>
        <v>0</v>
      </c>
      <c r="E53" s="94">
        <f>SUMPRODUCT((Portfolio!$F139:$J139=E$4)*(Portfolio!$F141:$J141))</f>
        <v>0</v>
      </c>
      <c r="F53" s="94">
        <f>SUMPRODUCT((Portfolio!$F139:$J139=F$4)*(Portfolio!$F141:$J141))</f>
        <v>0</v>
      </c>
      <c r="G53" s="95">
        <f>SUMPRODUCT((Portfolio!$F139:$J139=G$4)*(Portfolio!$F141:$J141))</f>
        <v>0</v>
      </c>
      <c r="H53" s="94">
        <f>SUMPRODUCT((Portfolio!$F139:$J139=H$4)*(Portfolio!$F141:$J141))</f>
        <v>0</v>
      </c>
      <c r="I53" s="94">
        <f>SUMPRODUCT((Portfolio!$F139:$J139=I$4)*(Portfolio!$F141:$J141))</f>
        <v>0</v>
      </c>
      <c r="J53" s="94">
        <f>SUMPRODUCT((Portfolio!$F139:$J139=J$4)*(Portfolio!$F141:$J141))</f>
        <v>0</v>
      </c>
      <c r="K53" s="95">
        <f>SUMPRODUCT((Portfolio!$F139:$J139=K$4)*(Portfolio!$F141:$J141))</f>
        <v>0</v>
      </c>
      <c r="L53" s="96">
        <f>SUMPRODUCT((Portfolio!$F139:$J139=L$4)*(Portfolio!$F141:$J141))</f>
        <v>0</v>
      </c>
      <c r="M53" s="96">
        <f>SUMPRODUCT((Portfolio!$F139:$J139=M$4)*(Portfolio!$F141:$J141))</f>
        <v>0</v>
      </c>
      <c r="N53" s="96">
        <f>SUMPRODUCT((Portfolio!$F139:$J139=N$4)*(Portfolio!$F141:$J141))</f>
        <v>0</v>
      </c>
      <c r="O53" s="95">
        <f>SUMPRODUCT((Portfolio!$F139:$J139=O$4)*(Portfolio!$F141:$J141))</f>
        <v>0</v>
      </c>
      <c r="P53" s="96">
        <f>SUMPRODUCT((Portfolio!$F139:$J139=P$4)*(Portfolio!$F141:$J141))</f>
        <v>0</v>
      </c>
      <c r="Q53" s="96">
        <f>SUMPRODUCT((Portfolio!$F139:$J139=Q$4)*(Portfolio!$F141:$J141))</f>
        <v>0</v>
      </c>
      <c r="R53" s="96">
        <f>SUMPRODUCT((Portfolio!$F139:$J139=R$4)*(Portfolio!$F141:$J141))</f>
        <v>0</v>
      </c>
      <c r="S53" s="97">
        <f>SUMPRODUCT((Portfolio!$F139:$J139=S$4)*(Portfolio!$F141:$J141))</f>
        <v>0</v>
      </c>
      <c r="T53" s="96">
        <f>SUMPRODUCT((Portfolio!$F139:$J139=T$4)*(Portfolio!$F141:$J141))</f>
        <v>0</v>
      </c>
      <c r="U53" s="96">
        <f>SUMPRODUCT((Portfolio!$F139:$J139=U$4)*(Portfolio!$F141:$J141))</f>
        <v>0</v>
      </c>
      <c r="V53" s="96">
        <f>SUMPRODUCT((Portfolio!$F139:$J139=V$4)*(Portfolio!$F141:$J141))</f>
        <v>0</v>
      </c>
      <c r="W53" s="97">
        <f>SUMPRODUCT((Portfolio!$F139:$J139=W$4)*(Portfolio!$F141:$J141))</f>
        <v>0</v>
      </c>
      <c r="X53" s="96">
        <f>SUMPRODUCT((Portfolio!$F139:$J139=X$4)*(Portfolio!$F141:$J141))</f>
        <v>0</v>
      </c>
      <c r="Y53" s="96">
        <f>SUMPRODUCT((Portfolio!$F139:$J139=Y$4)*(Portfolio!$F141:$J141))</f>
        <v>0</v>
      </c>
      <c r="Z53" s="96">
        <f>SUMPRODUCT((Portfolio!$F139:$J139=Z$4)*(Portfolio!$F141:$J141))</f>
        <v>0</v>
      </c>
      <c r="AA53" s="97">
        <f>SUMPRODUCT((Portfolio!$F139:$J139=AA$4)*(Portfolio!$F141:$J141))</f>
        <v>0</v>
      </c>
      <c r="AB53" s="96">
        <f>SUMPRODUCT((Portfolio!$F139:$J139=AB$4)*(Portfolio!$F141:$J141))</f>
        <v>0</v>
      </c>
      <c r="AC53" s="96">
        <f>SUMPRODUCT((Portfolio!$F139:$J139=AC$4)*(Portfolio!$F141:$J141))</f>
        <v>0</v>
      </c>
      <c r="AD53" s="96">
        <f>SUMPRODUCT((Portfolio!$F139:$J139=AD$4)*(Portfolio!$F141:$J141))</f>
        <v>0</v>
      </c>
      <c r="AE53" s="97">
        <f>SUMPRODUCT((Portfolio!$F139:$J139=AE$4)*(Portfolio!$F141:$J141))</f>
        <v>0</v>
      </c>
      <c r="AF53" s="96">
        <f>SUMPRODUCT((Portfolio!$F139:$J139=AF$4)*(Portfolio!$F141:$J141))</f>
        <v>0</v>
      </c>
      <c r="AG53" s="96">
        <f>SUMPRODUCT((Portfolio!$F139:$J139=AG$4)*(Portfolio!$F141:$J141))</f>
        <v>0</v>
      </c>
      <c r="AH53" s="96">
        <f>SUMPRODUCT((Portfolio!$F139:$J139=AH$4)*(Portfolio!$F141:$J141))</f>
        <v>0</v>
      </c>
      <c r="AI53" s="97">
        <f>SUMPRODUCT((Portfolio!$F139:$J139=AI$4)*(Portfolio!$F141:$J141))</f>
        <v>0</v>
      </c>
      <c r="AJ53" s="96">
        <f>SUMPRODUCT((Portfolio!$F139:$J139=AJ$4)*(Portfolio!$F141:$J141))</f>
        <v>0</v>
      </c>
      <c r="AK53" s="96">
        <f>SUMPRODUCT((Portfolio!$F139:$J139=AK$4)*(Portfolio!$F141:$J141))</f>
        <v>0</v>
      </c>
      <c r="AL53" s="96">
        <f>SUMPRODUCT((Portfolio!$F139:$J139=AL$4)*(Portfolio!$F141:$J141))</f>
        <v>0</v>
      </c>
      <c r="AM53" s="97">
        <f>SUMPRODUCT((Portfolio!$F139:$J139=AM$4)*(Portfolio!$F141:$J141))</f>
        <v>0</v>
      </c>
      <c r="AN53" s="96">
        <f>SUMPRODUCT((Portfolio!$F139:$J139=AN$4)*(Portfolio!$F141:$J141))</f>
        <v>0</v>
      </c>
      <c r="AO53" s="96">
        <f>SUMPRODUCT((Portfolio!$F139:$J139=AO$4)*(Portfolio!$F141:$J141))</f>
        <v>0</v>
      </c>
      <c r="AP53" s="96">
        <f>SUMPRODUCT((Portfolio!$F139:$J139=AP$4)*(Portfolio!$F141:$J141))</f>
        <v>0</v>
      </c>
      <c r="AQ53" s="97">
        <f>SUMPRODUCT((Portfolio!$F139:$J139=AQ$4)*(Portfolio!$F141:$J141))</f>
        <v>0</v>
      </c>
      <c r="AR53" s="96">
        <f>SUMPRODUCT((Portfolio!$F139:$J139=AR$4)*(Portfolio!$F141:$J141))</f>
        <v>0</v>
      </c>
      <c r="AS53" s="96">
        <f>SUMPRODUCT((Portfolio!$F139:$J139=AS$4)*(Portfolio!$F141:$J141))</f>
        <v>0</v>
      </c>
      <c r="AT53" s="96">
        <f>SUMPRODUCT((Portfolio!$F139:$J139=AT$4)*(Portfolio!$F141:$J141))</f>
        <v>0</v>
      </c>
      <c r="AU53" s="97">
        <f>SUMPRODUCT((Portfolio!$F139:$J139=AU$4)*(Portfolio!$F141:$J141))</f>
        <v>0</v>
      </c>
      <c r="AV53" s="96"/>
      <c r="AW53" s="98"/>
      <c r="AX53" s="98"/>
      <c r="AY53" s="99"/>
    </row>
    <row r="54" spans="1:51" ht="15.75" hidden="1" customHeight="1" outlineLevel="1" x14ac:dyDescent="0.2">
      <c r="A54" s="83"/>
      <c r="B54" s="92">
        <f>IF(Portfolio!C142&lt;&gt;"",Portfolio!C142,"")</f>
        <v>46</v>
      </c>
      <c r="C54" s="93" t="str">
        <f>IF(Portfolio!D142&lt;&gt;"",Portfolio!D142,"")</f>
        <v/>
      </c>
      <c r="D54" s="94">
        <f>SUMPRODUCT((Portfolio!$F142:$J142=D$4)*(Portfolio!$F144:$J144))</f>
        <v>0</v>
      </c>
      <c r="E54" s="94">
        <f>SUMPRODUCT((Portfolio!$F142:$J142=E$4)*(Portfolio!$F144:$J144))</f>
        <v>0</v>
      </c>
      <c r="F54" s="94">
        <f>SUMPRODUCT((Portfolio!$F142:$J142=F$4)*(Portfolio!$F144:$J144))</f>
        <v>0</v>
      </c>
      <c r="G54" s="95">
        <f>SUMPRODUCT((Portfolio!$F142:$J142=G$4)*(Portfolio!$F144:$J144))</f>
        <v>0</v>
      </c>
      <c r="H54" s="94">
        <f>SUMPRODUCT((Portfolio!$F142:$J142=H$4)*(Portfolio!$F144:$J144))</f>
        <v>0</v>
      </c>
      <c r="I54" s="94">
        <f>SUMPRODUCT((Portfolio!$F142:$J142=I$4)*(Portfolio!$F144:$J144))</f>
        <v>0</v>
      </c>
      <c r="J54" s="94">
        <f>SUMPRODUCT((Portfolio!$F142:$J142=J$4)*(Portfolio!$F144:$J144))</f>
        <v>0</v>
      </c>
      <c r="K54" s="95">
        <f>SUMPRODUCT((Portfolio!$F142:$J142=K$4)*(Portfolio!$F144:$J144))</f>
        <v>0</v>
      </c>
      <c r="L54" s="96">
        <f>SUMPRODUCT((Portfolio!$F142:$J142=L$4)*(Portfolio!$F144:$J144))</f>
        <v>0</v>
      </c>
      <c r="M54" s="96">
        <f>SUMPRODUCT((Portfolio!$F142:$J142=M$4)*(Portfolio!$F144:$J144))</f>
        <v>0</v>
      </c>
      <c r="N54" s="96">
        <f>SUMPRODUCT((Portfolio!$F142:$J142=N$4)*(Portfolio!$F144:$J144))</f>
        <v>0</v>
      </c>
      <c r="O54" s="95">
        <f>SUMPRODUCT((Portfolio!$F142:$J142=O$4)*(Portfolio!$F144:$J144))</f>
        <v>0</v>
      </c>
      <c r="P54" s="96">
        <f>SUMPRODUCT((Portfolio!$F142:$J142=P$4)*(Portfolio!$F144:$J144))</f>
        <v>0</v>
      </c>
      <c r="Q54" s="96">
        <f>SUMPRODUCT((Portfolio!$F142:$J142=Q$4)*(Portfolio!$F144:$J144))</f>
        <v>0</v>
      </c>
      <c r="R54" s="96">
        <f>SUMPRODUCT((Portfolio!$F142:$J142=R$4)*(Portfolio!$F144:$J144))</f>
        <v>0</v>
      </c>
      <c r="S54" s="97">
        <f>SUMPRODUCT((Portfolio!$F142:$J142=S$4)*(Portfolio!$F144:$J144))</f>
        <v>0</v>
      </c>
      <c r="T54" s="96">
        <f>SUMPRODUCT((Portfolio!$F142:$J142=T$4)*(Portfolio!$F144:$J144))</f>
        <v>0</v>
      </c>
      <c r="U54" s="96">
        <f>SUMPRODUCT((Portfolio!$F142:$J142=U$4)*(Portfolio!$F144:$J144))</f>
        <v>0</v>
      </c>
      <c r="V54" s="96">
        <f>SUMPRODUCT((Portfolio!$F142:$J142=V$4)*(Portfolio!$F144:$J144))</f>
        <v>0</v>
      </c>
      <c r="W54" s="97">
        <f>SUMPRODUCT((Portfolio!$F142:$J142=W$4)*(Portfolio!$F144:$J144))</f>
        <v>0</v>
      </c>
      <c r="X54" s="96">
        <f>SUMPRODUCT((Portfolio!$F142:$J142=X$4)*(Portfolio!$F144:$J144))</f>
        <v>0</v>
      </c>
      <c r="Y54" s="96">
        <f>SUMPRODUCT((Portfolio!$F142:$J142=Y$4)*(Portfolio!$F144:$J144))</f>
        <v>0</v>
      </c>
      <c r="Z54" s="96">
        <f>SUMPRODUCT((Portfolio!$F142:$J142=Z$4)*(Portfolio!$F144:$J144))</f>
        <v>0</v>
      </c>
      <c r="AA54" s="97">
        <f>SUMPRODUCT((Portfolio!$F142:$J142=AA$4)*(Portfolio!$F144:$J144))</f>
        <v>0</v>
      </c>
      <c r="AB54" s="96">
        <f>SUMPRODUCT((Portfolio!$F142:$J142=AB$4)*(Portfolio!$F144:$J144))</f>
        <v>0</v>
      </c>
      <c r="AC54" s="96">
        <f>SUMPRODUCT((Portfolio!$F142:$J142=AC$4)*(Portfolio!$F144:$J144))</f>
        <v>0</v>
      </c>
      <c r="AD54" s="96">
        <f>SUMPRODUCT((Portfolio!$F142:$J142=AD$4)*(Portfolio!$F144:$J144))</f>
        <v>0</v>
      </c>
      <c r="AE54" s="97">
        <f>SUMPRODUCT((Portfolio!$F142:$J142=AE$4)*(Portfolio!$F144:$J144))</f>
        <v>0</v>
      </c>
      <c r="AF54" s="96">
        <f>SUMPRODUCT((Portfolio!$F142:$J142=AF$4)*(Portfolio!$F144:$J144))</f>
        <v>0</v>
      </c>
      <c r="AG54" s="96">
        <f>SUMPRODUCT((Portfolio!$F142:$J142=AG$4)*(Portfolio!$F144:$J144))</f>
        <v>0</v>
      </c>
      <c r="AH54" s="96">
        <f>SUMPRODUCT((Portfolio!$F142:$J142=AH$4)*(Portfolio!$F144:$J144))</f>
        <v>0</v>
      </c>
      <c r="AI54" s="97">
        <f>SUMPRODUCT((Portfolio!$F142:$J142=AI$4)*(Portfolio!$F144:$J144))</f>
        <v>0</v>
      </c>
      <c r="AJ54" s="96">
        <f>SUMPRODUCT((Portfolio!$F142:$J142=AJ$4)*(Portfolio!$F144:$J144))</f>
        <v>0</v>
      </c>
      <c r="AK54" s="96">
        <f>SUMPRODUCT((Portfolio!$F142:$J142=AK$4)*(Portfolio!$F144:$J144))</f>
        <v>0</v>
      </c>
      <c r="AL54" s="96">
        <f>SUMPRODUCT((Portfolio!$F142:$J142=AL$4)*(Portfolio!$F144:$J144))</f>
        <v>0</v>
      </c>
      <c r="AM54" s="97">
        <f>SUMPRODUCT((Portfolio!$F142:$J142=AM$4)*(Portfolio!$F144:$J144))</f>
        <v>0</v>
      </c>
      <c r="AN54" s="96">
        <f>SUMPRODUCT((Portfolio!$F142:$J142=AN$4)*(Portfolio!$F144:$J144))</f>
        <v>0</v>
      </c>
      <c r="AO54" s="96">
        <f>SUMPRODUCT((Portfolio!$F142:$J142=AO$4)*(Portfolio!$F144:$J144))</f>
        <v>0</v>
      </c>
      <c r="AP54" s="96">
        <f>SUMPRODUCT((Portfolio!$F142:$J142=AP$4)*(Portfolio!$F144:$J144))</f>
        <v>0</v>
      </c>
      <c r="AQ54" s="97">
        <f>SUMPRODUCT((Portfolio!$F142:$J142=AQ$4)*(Portfolio!$F144:$J144))</f>
        <v>0</v>
      </c>
      <c r="AR54" s="96">
        <f>SUMPRODUCT((Portfolio!$F142:$J142=AR$4)*(Portfolio!$F144:$J144))</f>
        <v>0</v>
      </c>
      <c r="AS54" s="96">
        <f>SUMPRODUCT((Portfolio!$F142:$J142=AS$4)*(Portfolio!$F144:$J144))</f>
        <v>0</v>
      </c>
      <c r="AT54" s="96">
        <f>SUMPRODUCT((Portfolio!$F142:$J142=AT$4)*(Portfolio!$F144:$J144))</f>
        <v>0</v>
      </c>
      <c r="AU54" s="97">
        <f>SUMPRODUCT((Portfolio!$F142:$J142=AU$4)*(Portfolio!$F144:$J144))</f>
        <v>0</v>
      </c>
      <c r="AV54" s="96"/>
      <c r="AW54" s="98"/>
      <c r="AX54" s="98"/>
      <c r="AY54" s="99"/>
    </row>
    <row r="55" spans="1:51" ht="15.75" hidden="1" customHeight="1" outlineLevel="1" x14ac:dyDescent="0.2">
      <c r="A55" s="83"/>
      <c r="B55" s="92">
        <f>IF(Portfolio!C145&lt;&gt;"",Portfolio!C145,"")</f>
        <v>47</v>
      </c>
      <c r="C55" s="93" t="str">
        <f>IF(Portfolio!D145&lt;&gt;"",Portfolio!D145,"")</f>
        <v/>
      </c>
      <c r="D55" s="94">
        <f>SUMPRODUCT((Portfolio!$F145:$J145=D$4)*(Portfolio!$F147:$J147))</f>
        <v>0</v>
      </c>
      <c r="E55" s="94">
        <f>SUMPRODUCT((Portfolio!$F145:$J145=E$4)*(Portfolio!$F147:$J147))</f>
        <v>0</v>
      </c>
      <c r="F55" s="94">
        <f>SUMPRODUCT((Portfolio!$F145:$J145=F$4)*(Portfolio!$F147:$J147))</f>
        <v>0</v>
      </c>
      <c r="G55" s="95">
        <f>SUMPRODUCT((Portfolio!$F145:$J145=G$4)*(Portfolio!$F147:$J147))</f>
        <v>0</v>
      </c>
      <c r="H55" s="94">
        <f>SUMPRODUCT((Portfolio!$F145:$J145=H$4)*(Portfolio!$F147:$J147))</f>
        <v>0</v>
      </c>
      <c r="I55" s="94">
        <f>SUMPRODUCT((Portfolio!$F145:$J145=I$4)*(Portfolio!$F147:$J147))</f>
        <v>0</v>
      </c>
      <c r="J55" s="94">
        <f>SUMPRODUCT((Portfolio!$F145:$J145=J$4)*(Portfolio!$F147:$J147))</f>
        <v>0</v>
      </c>
      <c r="K55" s="95">
        <f>SUMPRODUCT((Portfolio!$F145:$J145=K$4)*(Portfolio!$F147:$J147))</f>
        <v>0</v>
      </c>
      <c r="L55" s="96">
        <f>SUMPRODUCT((Portfolio!$F145:$J145=L$4)*(Portfolio!$F147:$J147))</f>
        <v>0</v>
      </c>
      <c r="M55" s="96">
        <f>SUMPRODUCT((Portfolio!$F145:$J145=M$4)*(Portfolio!$F147:$J147))</f>
        <v>0</v>
      </c>
      <c r="N55" s="96">
        <f>SUMPRODUCT((Portfolio!$F145:$J145=N$4)*(Portfolio!$F147:$J147))</f>
        <v>0</v>
      </c>
      <c r="O55" s="95">
        <f>SUMPRODUCT((Portfolio!$F145:$J145=O$4)*(Portfolio!$F147:$J147))</f>
        <v>0</v>
      </c>
      <c r="P55" s="96">
        <f>SUMPRODUCT((Portfolio!$F145:$J145=P$4)*(Portfolio!$F147:$J147))</f>
        <v>0</v>
      </c>
      <c r="Q55" s="96">
        <f>SUMPRODUCT((Portfolio!$F145:$J145=Q$4)*(Portfolio!$F147:$J147))</f>
        <v>0</v>
      </c>
      <c r="R55" s="96">
        <f>SUMPRODUCT((Portfolio!$F145:$J145=R$4)*(Portfolio!$F147:$J147))</f>
        <v>0</v>
      </c>
      <c r="S55" s="97">
        <f>SUMPRODUCT((Portfolio!$F145:$J145=S$4)*(Portfolio!$F147:$J147))</f>
        <v>0</v>
      </c>
      <c r="T55" s="96">
        <f>SUMPRODUCT((Portfolio!$F145:$J145=T$4)*(Portfolio!$F147:$J147))</f>
        <v>0</v>
      </c>
      <c r="U55" s="96">
        <f>SUMPRODUCT((Portfolio!$F145:$J145=U$4)*(Portfolio!$F147:$J147))</f>
        <v>0</v>
      </c>
      <c r="V55" s="96">
        <f>SUMPRODUCT((Portfolio!$F145:$J145=V$4)*(Portfolio!$F147:$J147))</f>
        <v>0</v>
      </c>
      <c r="W55" s="97">
        <f>SUMPRODUCT((Portfolio!$F145:$J145=W$4)*(Portfolio!$F147:$J147))</f>
        <v>0</v>
      </c>
      <c r="X55" s="96">
        <f>SUMPRODUCT((Portfolio!$F145:$J145=X$4)*(Portfolio!$F147:$J147))</f>
        <v>0</v>
      </c>
      <c r="Y55" s="96">
        <f>SUMPRODUCT((Portfolio!$F145:$J145=Y$4)*(Portfolio!$F147:$J147))</f>
        <v>0</v>
      </c>
      <c r="Z55" s="96">
        <f>SUMPRODUCT((Portfolio!$F145:$J145=Z$4)*(Portfolio!$F147:$J147))</f>
        <v>0</v>
      </c>
      <c r="AA55" s="97">
        <f>SUMPRODUCT((Portfolio!$F145:$J145=AA$4)*(Portfolio!$F147:$J147))</f>
        <v>0</v>
      </c>
      <c r="AB55" s="96">
        <f>SUMPRODUCT((Portfolio!$F145:$J145=AB$4)*(Portfolio!$F147:$J147))</f>
        <v>0</v>
      </c>
      <c r="AC55" s="96">
        <f>SUMPRODUCT((Portfolio!$F145:$J145=AC$4)*(Portfolio!$F147:$J147))</f>
        <v>0</v>
      </c>
      <c r="AD55" s="96">
        <f>SUMPRODUCT((Portfolio!$F145:$J145=AD$4)*(Portfolio!$F147:$J147))</f>
        <v>0</v>
      </c>
      <c r="AE55" s="97">
        <f>SUMPRODUCT((Portfolio!$F145:$J145=AE$4)*(Portfolio!$F147:$J147))</f>
        <v>0</v>
      </c>
      <c r="AF55" s="96">
        <f>SUMPRODUCT((Portfolio!$F145:$J145=AF$4)*(Portfolio!$F147:$J147))</f>
        <v>0</v>
      </c>
      <c r="AG55" s="96">
        <f>SUMPRODUCT((Portfolio!$F145:$J145=AG$4)*(Portfolio!$F147:$J147))</f>
        <v>0</v>
      </c>
      <c r="AH55" s="96">
        <f>SUMPRODUCT((Portfolio!$F145:$J145=AH$4)*(Portfolio!$F147:$J147))</f>
        <v>0</v>
      </c>
      <c r="AI55" s="97">
        <f>SUMPRODUCT((Portfolio!$F145:$J145=AI$4)*(Portfolio!$F147:$J147))</f>
        <v>0</v>
      </c>
      <c r="AJ55" s="96">
        <f>SUMPRODUCT((Portfolio!$F145:$J145=AJ$4)*(Portfolio!$F147:$J147))</f>
        <v>0</v>
      </c>
      <c r="AK55" s="96">
        <f>SUMPRODUCT((Portfolio!$F145:$J145=AK$4)*(Portfolio!$F147:$J147))</f>
        <v>0</v>
      </c>
      <c r="AL55" s="96">
        <f>SUMPRODUCT((Portfolio!$F145:$J145=AL$4)*(Portfolio!$F147:$J147))</f>
        <v>0</v>
      </c>
      <c r="AM55" s="97">
        <f>SUMPRODUCT((Portfolio!$F145:$J145=AM$4)*(Portfolio!$F147:$J147))</f>
        <v>0</v>
      </c>
      <c r="AN55" s="96">
        <f>SUMPRODUCT((Portfolio!$F145:$J145=AN$4)*(Portfolio!$F147:$J147))</f>
        <v>0</v>
      </c>
      <c r="AO55" s="96">
        <f>SUMPRODUCT((Portfolio!$F145:$J145=AO$4)*(Portfolio!$F147:$J147))</f>
        <v>0</v>
      </c>
      <c r="AP55" s="96">
        <f>SUMPRODUCT((Portfolio!$F145:$J145=AP$4)*(Portfolio!$F147:$J147))</f>
        <v>0</v>
      </c>
      <c r="AQ55" s="97">
        <f>SUMPRODUCT((Portfolio!$F145:$J145=AQ$4)*(Portfolio!$F147:$J147))</f>
        <v>0</v>
      </c>
      <c r="AR55" s="96">
        <f>SUMPRODUCT((Portfolio!$F145:$J145=AR$4)*(Portfolio!$F147:$J147))</f>
        <v>0</v>
      </c>
      <c r="AS55" s="96">
        <f>SUMPRODUCT((Portfolio!$F145:$J145=AS$4)*(Portfolio!$F147:$J147))</f>
        <v>0</v>
      </c>
      <c r="AT55" s="96">
        <f>SUMPRODUCT((Portfolio!$F145:$J145=AT$4)*(Portfolio!$F147:$J147))</f>
        <v>0</v>
      </c>
      <c r="AU55" s="97">
        <f>SUMPRODUCT((Portfolio!$F145:$J145=AU$4)*(Portfolio!$F147:$J147))</f>
        <v>0</v>
      </c>
      <c r="AV55" s="96"/>
      <c r="AW55" s="98"/>
      <c r="AX55" s="98"/>
      <c r="AY55" s="99"/>
    </row>
    <row r="56" spans="1:51" ht="15.75" customHeight="1" collapsed="1" x14ac:dyDescent="0.2">
      <c r="A56" s="83"/>
      <c r="B56" s="92">
        <f>IF(Portfolio!C148&lt;&gt;"",Portfolio!C148,"")</f>
        <v>48</v>
      </c>
      <c r="C56" s="93" t="str">
        <f>IF(Portfolio!D148&lt;&gt;"",Portfolio!D148,"")</f>
        <v/>
      </c>
      <c r="D56" s="94">
        <f>SUMPRODUCT((Portfolio!$F148:$J148=D$4)*(Portfolio!$F150:$J150))</f>
        <v>0</v>
      </c>
      <c r="E56" s="94">
        <f>SUMPRODUCT((Portfolio!$F148:$J148=E$4)*(Portfolio!$F150:$J150))</f>
        <v>0</v>
      </c>
      <c r="F56" s="94">
        <f>SUMPRODUCT((Portfolio!$F148:$J148=F$4)*(Portfolio!$F150:$J150))</f>
        <v>0</v>
      </c>
      <c r="G56" s="95">
        <f>SUMPRODUCT((Portfolio!$F148:$J148=G$4)*(Portfolio!$F150:$J150))</f>
        <v>0</v>
      </c>
      <c r="H56" s="94">
        <f>SUMPRODUCT((Portfolio!$F148:$J148=H$4)*(Portfolio!$F150:$J150))</f>
        <v>0</v>
      </c>
      <c r="I56" s="94">
        <f>SUMPRODUCT((Portfolio!$F148:$J148=I$4)*(Portfolio!$F150:$J150))</f>
        <v>0</v>
      </c>
      <c r="J56" s="94">
        <f>SUMPRODUCT((Portfolio!$F148:$J148=J$4)*(Portfolio!$F150:$J150))</f>
        <v>0</v>
      </c>
      <c r="K56" s="95">
        <f>SUMPRODUCT((Portfolio!$F148:$J148=K$4)*(Portfolio!$F150:$J150))</f>
        <v>0</v>
      </c>
      <c r="L56" s="96">
        <f>SUMPRODUCT((Portfolio!$F148:$J148=L$4)*(Portfolio!$F150:$J150))</f>
        <v>0</v>
      </c>
      <c r="M56" s="96">
        <f>SUMPRODUCT((Portfolio!$F148:$J148=M$4)*(Portfolio!$F150:$J150))</f>
        <v>0</v>
      </c>
      <c r="N56" s="96">
        <f>SUMPRODUCT((Portfolio!$F148:$J148=N$4)*(Portfolio!$F150:$J150))</f>
        <v>0</v>
      </c>
      <c r="O56" s="95">
        <f>SUMPRODUCT((Portfolio!$F148:$J148=O$4)*(Portfolio!$F150:$J150))</f>
        <v>0</v>
      </c>
      <c r="P56" s="96">
        <f>SUMPRODUCT((Portfolio!$F148:$J148=P$4)*(Portfolio!$F150:$J150))</f>
        <v>0</v>
      </c>
      <c r="Q56" s="96">
        <f>SUMPRODUCT((Portfolio!$F148:$J148=Q$4)*(Portfolio!$F150:$J150))</f>
        <v>0</v>
      </c>
      <c r="R56" s="96">
        <f>SUMPRODUCT((Portfolio!$F148:$J148=R$4)*(Portfolio!$F150:$J150))</f>
        <v>0</v>
      </c>
      <c r="S56" s="97">
        <f>SUMPRODUCT((Portfolio!$F148:$J148=S$4)*(Portfolio!$F150:$J150))</f>
        <v>0</v>
      </c>
      <c r="T56" s="96">
        <f>SUMPRODUCT((Portfolio!$F148:$J148=T$4)*(Portfolio!$F150:$J150))</f>
        <v>0</v>
      </c>
      <c r="U56" s="96">
        <f>SUMPRODUCT((Portfolio!$F148:$J148=U$4)*(Portfolio!$F150:$J150))</f>
        <v>0</v>
      </c>
      <c r="V56" s="96">
        <f>SUMPRODUCT((Portfolio!$F148:$J148=V$4)*(Portfolio!$F150:$J150))</f>
        <v>0</v>
      </c>
      <c r="W56" s="97">
        <f>SUMPRODUCT((Portfolio!$F148:$J148=W$4)*(Portfolio!$F150:$J150))</f>
        <v>0</v>
      </c>
      <c r="X56" s="96">
        <f>SUMPRODUCT((Portfolio!$F148:$J148=X$4)*(Portfolio!$F150:$J150))</f>
        <v>0</v>
      </c>
      <c r="Y56" s="96">
        <f>SUMPRODUCT((Portfolio!$F148:$J148=Y$4)*(Portfolio!$F150:$J150))</f>
        <v>0</v>
      </c>
      <c r="Z56" s="96">
        <f>SUMPRODUCT((Portfolio!$F148:$J148=Z$4)*(Portfolio!$F150:$J150))</f>
        <v>0</v>
      </c>
      <c r="AA56" s="97">
        <f>SUMPRODUCT((Portfolio!$F148:$J148=AA$4)*(Portfolio!$F150:$J150))</f>
        <v>0</v>
      </c>
      <c r="AB56" s="96">
        <f>SUMPRODUCT((Portfolio!$F148:$J148=AB$4)*(Portfolio!$F150:$J150))</f>
        <v>0</v>
      </c>
      <c r="AC56" s="96">
        <f>SUMPRODUCT((Portfolio!$F148:$J148=AC$4)*(Portfolio!$F150:$J150))</f>
        <v>0</v>
      </c>
      <c r="AD56" s="96">
        <f>SUMPRODUCT((Portfolio!$F148:$J148=AD$4)*(Portfolio!$F150:$J150))</f>
        <v>0</v>
      </c>
      <c r="AE56" s="97">
        <f>SUMPRODUCT((Portfolio!$F148:$J148=AE$4)*(Portfolio!$F150:$J150))</f>
        <v>0</v>
      </c>
      <c r="AF56" s="96">
        <f>SUMPRODUCT((Portfolio!$F148:$J148=AF$4)*(Portfolio!$F150:$J150))</f>
        <v>0</v>
      </c>
      <c r="AG56" s="96">
        <f>SUMPRODUCT((Portfolio!$F148:$J148=AG$4)*(Portfolio!$F150:$J150))</f>
        <v>0</v>
      </c>
      <c r="AH56" s="96">
        <f>SUMPRODUCT((Portfolio!$F148:$J148=AH$4)*(Portfolio!$F150:$J150))</f>
        <v>0</v>
      </c>
      <c r="AI56" s="97">
        <f>SUMPRODUCT((Portfolio!$F148:$J148=AI$4)*(Portfolio!$F150:$J150))</f>
        <v>0</v>
      </c>
      <c r="AJ56" s="96">
        <f>SUMPRODUCT((Portfolio!$F148:$J148=AJ$4)*(Portfolio!$F150:$J150))</f>
        <v>0</v>
      </c>
      <c r="AK56" s="96">
        <f>SUMPRODUCT((Portfolio!$F148:$J148=AK$4)*(Portfolio!$F150:$J150))</f>
        <v>0</v>
      </c>
      <c r="AL56" s="96">
        <f>SUMPRODUCT((Portfolio!$F148:$J148=AL$4)*(Portfolio!$F150:$J150))</f>
        <v>0</v>
      </c>
      <c r="AM56" s="97">
        <f>SUMPRODUCT((Portfolio!$F148:$J148=AM$4)*(Portfolio!$F150:$J150))</f>
        <v>0</v>
      </c>
      <c r="AN56" s="96">
        <f>SUMPRODUCT((Portfolio!$F148:$J148=AN$4)*(Portfolio!$F150:$J150))</f>
        <v>0</v>
      </c>
      <c r="AO56" s="96">
        <f>SUMPRODUCT((Portfolio!$F148:$J148=AO$4)*(Portfolio!$F150:$J150))</f>
        <v>0</v>
      </c>
      <c r="AP56" s="96">
        <f>SUMPRODUCT((Portfolio!$F148:$J148=AP$4)*(Portfolio!$F150:$J150))</f>
        <v>0</v>
      </c>
      <c r="AQ56" s="97">
        <f>SUMPRODUCT((Portfolio!$F148:$J148=AQ$4)*(Portfolio!$F150:$J150))</f>
        <v>0</v>
      </c>
      <c r="AR56" s="96">
        <f>SUMPRODUCT((Portfolio!$F148:$J148=AR$4)*(Portfolio!$F150:$J150))</f>
        <v>0</v>
      </c>
      <c r="AS56" s="96">
        <f>SUMPRODUCT((Portfolio!$F148:$J148=AS$4)*(Portfolio!$F150:$J150))</f>
        <v>0</v>
      </c>
      <c r="AT56" s="96">
        <f>SUMPRODUCT((Portfolio!$F148:$J148=AT$4)*(Portfolio!$F150:$J150))</f>
        <v>0</v>
      </c>
      <c r="AU56" s="97">
        <f>SUMPRODUCT((Portfolio!$F148:$J148=AU$4)*(Portfolio!$F150:$J150))</f>
        <v>0</v>
      </c>
      <c r="AV56" s="96"/>
      <c r="AW56" s="98"/>
      <c r="AX56" s="98"/>
      <c r="AY56" s="99"/>
    </row>
    <row r="57" spans="1:51" ht="15.75" customHeight="1" x14ac:dyDescent="0.2">
      <c r="A57" s="83"/>
      <c r="B57" s="92">
        <f>IF(Portfolio!C151&lt;&gt;"",Portfolio!C151,"")</f>
        <v>49</v>
      </c>
      <c r="C57" s="93" t="str">
        <f>IF(Portfolio!D151&lt;&gt;"",Portfolio!D151,"")</f>
        <v/>
      </c>
      <c r="D57" s="94">
        <f>SUMPRODUCT((Portfolio!$F151:$J151=D$4)*(Portfolio!$F153:$J153))</f>
        <v>0</v>
      </c>
      <c r="E57" s="94">
        <f>SUMPRODUCT((Portfolio!$F151:$J151=E$4)*(Portfolio!$F153:$J153))</f>
        <v>0</v>
      </c>
      <c r="F57" s="94">
        <f>SUMPRODUCT((Portfolio!$F151:$J151=F$4)*(Portfolio!$F153:$J153))</f>
        <v>0</v>
      </c>
      <c r="G57" s="95">
        <f>SUMPRODUCT((Portfolio!$F151:$J151=G$4)*(Portfolio!$F153:$J153))</f>
        <v>0</v>
      </c>
      <c r="H57" s="94">
        <f>SUMPRODUCT((Portfolio!$F151:$J151=H$4)*(Portfolio!$F153:$J153))</f>
        <v>0</v>
      </c>
      <c r="I57" s="94">
        <f>SUMPRODUCT((Portfolio!$F151:$J151=I$4)*(Portfolio!$F153:$J153))</f>
        <v>0</v>
      </c>
      <c r="J57" s="94">
        <f>SUMPRODUCT((Portfolio!$F151:$J151=J$4)*(Portfolio!$F153:$J153))</f>
        <v>0</v>
      </c>
      <c r="K57" s="95">
        <f>SUMPRODUCT((Portfolio!$F151:$J151=K$4)*(Portfolio!$F153:$J153))</f>
        <v>0</v>
      </c>
      <c r="L57" s="96">
        <f>SUMPRODUCT((Portfolio!$F151:$J151=L$4)*(Portfolio!$F153:$J153))</f>
        <v>0</v>
      </c>
      <c r="M57" s="96">
        <f>SUMPRODUCT((Portfolio!$F151:$J151=M$4)*(Portfolio!$F153:$J153))</f>
        <v>0</v>
      </c>
      <c r="N57" s="96">
        <f>SUMPRODUCT((Portfolio!$F151:$J151=N$4)*(Portfolio!$F153:$J153))</f>
        <v>0</v>
      </c>
      <c r="O57" s="95">
        <f>SUMPRODUCT((Portfolio!$F151:$J151=O$4)*(Portfolio!$F153:$J153))</f>
        <v>0</v>
      </c>
      <c r="P57" s="96">
        <f>SUMPRODUCT((Portfolio!$F151:$J151=P$4)*(Portfolio!$F153:$J153))</f>
        <v>0</v>
      </c>
      <c r="Q57" s="96">
        <f>SUMPRODUCT((Portfolio!$F151:$J151=Q$4)*(Portfolio!$F153:$J153))</f>
        <v>0</v>
      </c>
      <c r="R57" s="96">
        <f>SUMPRODUCT((Portfolio!$F151:$J151=R$4)*(Portfolio!$F153:$J153))</f>
        <v>0</v>
      </c>
      <c r="S57" s="97">
        <f>SUMPRODUCT((Portfolio!$F151:$J151=S$4)*(Portfolio!$F153:$J153))</f>
        <v>0</v>
      </c>
      <c r="T57" s="96">
        <f>SUMPRODUCT((Portfolio!$F151:$J151=T$4)*(Portfolio!$F153:$J153))</f>
        <v>0</v>
      </c>
      <c r="U57" s="96">
        <f>SUMPRODUCT((Portfolio!$F151:$J151=U$4)*(Portfolio!$F153:$J153))</f>
        <v>0</v>
      </c>
      <c r="V57" s="96">
        <f>SUMPRODUCT((Portfolio!$F151:$J151=V$4)*(Portfolio!$F153:$J153))</f>
        <v>0</v>
      </c>
      <c r="W57" s="97">
        <f>SUMPRODUCT((Portfolio!$F151:$J151=W$4)*(Portfolio!$F153:$J153))</f>
        <v>0</v>
      </c>
      <c r="X57" s="96">
        <f>SUMPRODUCT((Portfolio!$F151:$J151=X$4)*(Portfolio!$F153:$J153))</f>
        <v>0</v>
      </c>
      <c r="Y57" s="96">
        <f>SUMPRODUCT((Portfolio!$F151:$J151=Y$4)*(Portfolio!$F153:$J153))</f>
        <v>0</v>
      </c>
      <c r="Z57" s="96">
        <f>SUMPRODUCT((Portfolio!$F151:$J151=Z$4)*(Portfolio!$F153:$J153))</f>
        <v>0</v>
      </c>
      <c r="AA57" s="97">
        <f>SUMPRODUCT((Portfolio!$F151:$J151=AA$4)*(Portfolio!$F153:$J153))</f>
        <v>0</v>
      </c>
      <c r="AB57" s="96">
        <f>SUMPRODUCT((Portfolio!$F151:$J151=AB$4)*(Portfolio!$F153:$J153))</f>
        <v>0</v>
      </c>
      <c r="AC57" s="96">
        <f>SUMPRODUCT((Portfolio!$F151:$J151=AC$4)*(Portfolio!$F153:$J153))</f>
        <v>0</v>
      </c>
      <c r="AD57" s="96">
        <f>SUMPRODUCT((Portfolio!$F151:$J151=AD$4)*(Portfolio!$F153:$J153))</f>
        <v>0</v>
      </c>
      <c r="AE57" s="97">
        <f>SUMPRODUCT((Portfolio!$F151:$J151=AE$4)*(Portfolio!$F153:$J153))</f>
        <v>0</v>
      </c>
      <c r="AF57" s="96">
        <f>SUMPRODUCT((Portfolio!$F151:$J151=AF$4)*(Portfolio!$F153:$J153))</f>
        <v>0</v>
      </c>
      <c r="AG57" s="96">
        <f>SUMPRODUCT((Portfolio!$F151:$J151=AG$4)*(Portfolio!$F153:$J153))</f>
        <v>0</v>
      </c>
      <c r="AH57" s="96">
        <f>SUMPRODUCT((Portfolio!$F151:$J151=AH$4)*(Portfolio!$F153:$J153))</f>
        <v>0</v>
      </c>
      <c r="AI57" s="97">
        <f>SUMPRODUCT((Portfolio!$F151:$J151=AI$4)*(Portfolio!$F153:$J153))</f>
        <v>0</v>
      </c>
      <c r="AJ57" s="96">
        <f>SUMPRODUCT((Portfolio!$F151:$J151=AJ$4)*(Portfolio!$F153:$J153))</f>
        <v>0</v>
      </c>
      <c r="AK57" s="96">
        <f>SUMPRODUCT((Portfolio!$F151:$J151=AK$4)*(Portfolio!$F153:$J153))</f>
        <v>0</v>
      </c>
      <c r="AL57" s="96">
        <f>SUMPRODUCT((Portfolio!$F151:$J151=AL$4)*(Portfolio!$F153:$J153))</f>
        <v>0</v>
      </c>
      <c r="AM57" s="97">
        <f>SUMPRODUCT((Portfolio!$F151:$J151=AM$4)*(Portfolio!$F153:$J153))</f>
        <v>0</v>
      </c>
      <c r="AN57" s="96">
        <f>SUMPRODUCT((Portfolio!$F151:$J151=AN$4)*(Portfolio!$F153:$J153))</f>
        <v>0</v>
      </c>
      <c r="AO57" s="96">
        <f>SUMPRODUCT((Portfolio!$F151:$J151=AO$4)*(Portfolio!$F153:$J153))</f>
        <v>0</v>
      </c>
      <c r="AP57" s="96">
        <f>SUMPRODUCT((Portfolio!$F151:$J151=AP$4)*(Portfolio!$F153:$J153))</f>
        <v>0</v>
      </c>
      <c r="AQ57" s="97">
        <f>SUMPRODUCT((Portfolio!$F151:$J151=AQ$4)*(Portfolio!$F153:$J153))</f>
        <v>0</v>
      </c>
      <c r="AR57" s="96">
        <f>SUMPRODUCT((Portfolio!$F151:$J151=AR$4)*(Portfolio!$F153:$J153))</f>
        <v>0</v>
      </c>
      <c r="AS57" s="96">
        <f>SUMPRODUCT((Portfolio!$F151:$J151=AS$4)*(Portfolio!$F153:$J153))</f>
        <v>0</v>
      </c>
      <c r="AT57" s="96">
        <f>SUMPRODUCT((Portfolio!$F151:$J151=AT$4)*(Portfolio!$F153:$J153))</f>
        <v>0</v>
      </c>
      <c r="AU57" s="97">
        <f>SUMPRODUCT((Portfolio!$F151:$J151=AU$4)*(Portfolio!$F153:$J153))</f>
        <v>0</v>
      </c>
      <c r="AV57" s="96"/>
      <c r="AW57" s="98"/>
      <c r="AX57" s="98"/>
      <c r="AY57" s="99"/>
    </row>
    <row r="58" spans="1:51" ht="15.75" customHeight="1" x14ac:dyDescent="0.2">
      <c r="A58" s="83"/>
      <c r="B58" s="92">
        <f>IF(Portfolio!C154&lt;&gt;"",Portfolio!C154,"")</f>
        <v>50</v>
      </c>
      <c r="C58" s="93" t="str">
        <f>IF(Portfolio!D154&lt;&gt;"",Portfolio!D154,"")</f>
        <v/>
      </c>
      <c r="D58" s="94">
        <f>SUMPRODUCT((Portfolio!$F154:$J154=D$4)*(Portfolio!$F156:$J156))</f>
        <v>0</v>
      </c>
      <c r="E58" s="94">
        <f>SUMPRODUCT((Portfolio!$F154:$J154=E$4)*(Portfolio!$F156:$J156))</f>
        <v>0</v>
      </c>
      <c r="F58" s="94">
        <f>SUMPRODUCT((Portfolio!$F154:$J154=F$4)*(Portfolio!$F156:$J156))</f>
        <v>0</v>
      </c>
      <c r="G58" s="95">
        <f>SUMPRODUCT((Portfolio!$F154:$J154=G$4)*(Portfolio!$F156:$J156))</f>
        <v>0</v>
      </c>
      <c r="H58" s="94">
        <f>SUMPRODUCT((Portfolio!$F154:$J154=H$4)*(Portfolio!$F156:$J156))</f>
        <v>0</v>
      </c>
      <c r="I58" s="94">
        <f>SUMPRODUCT((Portfolio!$F154:$J154=I$4)*(Portfolio!$F156:$J156))</f>
        <v>0</v>
      </c>
      <c r="J58" s="94">
        <f>SUMPRODUCT((Portfolio!$F154:$J154=J$4)*(Portfolio!$F156:$J156))</f>
        <v>0</v>
      </c>
      <c r="K58" s="257">
        <f>SUMPRODUCT((Portfolio!$F154:$J154=K$4)*(Portfolio!$F156:$J156))</f>
        <v>0</v>
      </c>
      <c r="L58" s="259">
        <f>SUMPRODUCT((Portfolio!$F154:$J154=L$4)*(Portfolio!$F156:$J156))</f>
        <v>0</v>
      </c>
      <c r="M58" s="259">
        <f>SUMPRODUCT((Portfolio!$F154:$J154=M$4)*(Portfolio!$F156:$J156))</f>
        <v>0</v>
      </c>
      <c r="N58" s="259">
        <f>SUMPRODUCT((Portfolio!$F154:$J154=N$4)*(Portfolio!$F156:$J156))</f>
        <v>0</v>
      </c>
      <c r="O58" s="95">
        <f>SUMPRODUCT((Portfolio!$F154:$J154=O$4)*(Portfolio!$F156:$J156))</f>
        <v>0</v>
      </c>
      <c r="P58" s="259">
        <f>SUMPRODUCT((Portfolio!$F154:$J154=P$4)*(Portfolio!$F156:$J156))</f>
        <v>0</v>
      </c>
      <c r="Q58" s="259">
        <f>SUMPRODUCT((Portfolio!$F154:$J154=Q$4)*(Portfolio!$F156:$J156))</f>
        <v>0</v>
      </c>
      <c r="R58" s="259">
        <f>SUMPRODUCT((Portfolio!$F154:$J154=R$4)*(Portfolio!$F156:$J156))</f>
        <v>0</v>
      </c>
      <c r="S58" s="263">
        <f>SUMPRODUCT((Portfolio!$F154:$J154=S$4)*(Portfolio!$F156:$J156))</f>
        <v>0</v>
      </c>
      <c r="T58" s="259">
        <f>SUMPRODUCT((Portfolio!$F154:$J154=T$4)*(Portfolio!$F156:$J156))</f>
        <v>0</v>
      </c>
      <c r="U58" s="259">
        <f>SUMPRODUCT((Portfolio!$F154:$J154=U$4)*(Portfolio!$F156:$J156))</f>
        <v>0</v>
      </c>
      <c r="V58" s="259">
        <f>SUMPRODUCT((Portfolio!$F154:$J154=V$4)*(Portfolio!$F156:$J156))</f>
        <v>0</v>
      </c>
      <c r="W58" s="263">
        <f>SUMPRODUCT((Portfolio!$F154:$J154=W$4)*(Portfolio!$F156:$J156))</f>
        <v>0</v>
      </c>
      <c r="X58" s="259">
        <f>SUMPRODUCT((Portfolio!$F154:$J154=X$4)*(Portfolio!$F156:$J156))</f>
        <v>0</v>
      </c>
      <c r="Y58" s="259">
        <f>SUMPRODUCT((Portfolio!$F154:$J154=Y$4)*(Portfolio!$F156:$J156))</f>
        <v>0</v>
      </c>
      <c r="Z58" s="259">
        <f>SUMPRODUCT((Portfolio!$F154:$J154=Z$4)*(Portfolio!$F156:$J156))</f>
        <v>0</v>
      </c>
      <c r="AA58" s="263">
        <f>SUMPRODUCT((Portfolio!$F154:$J154=AA$4)*(Portfolio!$F156:$J156))</f>
        <v>0</v>
      </c>
      <c r="AB58" s="259">
        <f>SUMPRODUCT((Portfolio!$F154:$J154=AB$4)*(Portfolio!$F156:$J156))</f>
        <v>0</v>
      </c>
      <c r="AC58" s="259">
        <f>SUMPRODUCT((Portfolio!$F154:$J154=AC$4)*(Portfolio!$F156:$J156))</f>
        <v>0</v>
      </c>
      <c r="AD58" s="259">
        <f>SUMPRODUCT((Portfolio!$F154:$J154=AD$4)*(Portfolio!$F156:$J156))</f>
        <v>0</v>
      </c>
      <c r="AE58" s="263">
        <f>SUMPRODUCT((Portfolio!$F154:$J154=AE$4)*(Portfolio!$F156:$J156))</f>
        <v>0</v>
      </c>
      <c r="AF58" s="259">
        <f>SUMPRODUCT((Portfolio!$F154:$J154=AF$4)*(Portfolio!$F156:$J156))</f>
        <v>0</v>
      </c>
      <c r="AG58" s="259">
        <f>SUMPRODUCT((Portfolio!$F154:$J154=AG$4)*(Portfolio!$F156:$J156))</f>
        <v>0</v>
      </c>
      <c r="AH58" s="259">
        <f>SUMPRODUCT((Portfolio!$F154:$J154=AH$4)*(Portfolio!$F156:$J156))</f>
        <v>0</v>
      </c>
      <c r="AI58" s="263">
        <f>SUMPRODUCT((Portfolio!$F154:$J154=AI$4)*(Portfolio!$F156:$J156))</f>
        <v>0</v>
      </c>
      <c r="AJ58" s="259">
        <f>SUMPRODUCT((Portfolio!$F154:$J154=AJ$4)*(Portfolio!$F156:$J156))</f>
        <v>0</v>
      </c>
      <c r="AK58" s="259">
        <f>SUMPRODUCT((Portfolio!$F154:$J154=AK$4)*(Portfolio!$F156:$J156))</f>
        <v>0</v>
      </c>
      <c r="AL58" s="259">
        <f>SUMPRODUCT((Portfolio!$F154:$J154=AL$4)*(Portfolio!$F156:$J156))</f>
        <v>0</v>
      </c>
      <c r="AM58" s="263">
        <f>SUMPRODUCT((Portfolio!$F154:$J154=AM$4)*(Portfolio!$F156:$J156))</f>
        <v>0</v>
      </c>
      <c r="AN58" s="259">
        <f>SUMPRODUCT((Portfolio!$F154:$J154=AN$4)*(Portfolio!$F156:$J156))</f>
        <v>0</v>
      </c>
      <c r="AO58" s="259">
        <f>SUMPRODUCT((Portfolio!$F154:$J154=AO$4)*(Portfolio!$F156:$J156))</f>
        <v>0</v>
      </c>
      <c r="AP58" s="259">
        <f>SUMPRODUCT((Portfolio!$F154:$J154=AP$4)*(Portfolio!$F156:$J156))</f>
        <v>0</v>
      </c>
      <c r="AQ58" s="263">
        <f>SUMPRODUCT((Portfolio!$F154:$J154=AQ$4)*(Portfolio!$F156:$J156))</f>
        <v>0</v>
      </c>
      <c r="AR58" s="259">
        <f>SUMPRODUCT((Portfolio!$F154:$J154=AR$4)*(Portfolio!$F156:$J156))</f>
        <v>0</v>
      </c>
      <c r="AS58" s="259">
        <f>SUMPRODUCT((Portfolio!$F154:$J154=AS$4)*(Portfolio!$F156:$J156))</f>
        <v>0</v>
      </c>
      <c r="AT58" s="259">
        <f>SUMPRODUCT((Portfolio!$F154:$J154=AT$4)*(Portfolio!$F156:$J156))</f>
        <v>0</v>
      </c>
      <c r="AU58" s="263">
        <f>SUMPRODUCT((Portfolio!$F154:$J154=AU$4)*(Portfolio!$F156:$J156))</f>
        <v>0</v>
      </c>
      <c r="AV58" s="259"/>
      <c r="AW58" s="98"/>
      <c r="AX58" s="98"/>
      <c r="AY58" s="99"/>
    </row>
    <row r="59" spans="1:51" ht="15.75" customHeight="1" x14ac:dyDescent="0.2">
      <c r="A59" s="83"/>
      <c r="B59" s="262" t="s">
        <v>145</v>
      </c>
      <c r="C59" s="276"/>
      <c r="D59" s="279">
        <f ca="1">SUM(D9:D57)</f>
        <v>2500000</v>
      </c>
      <c r="E59" s="279">
        <f t="shared" ref="E59:AU59" ca="1" si="11">SUM(E9:E58)</f>
        <v>3750000</v>
      </c>
      <c r="F59" s="279">
        <f t="shared" ca="1" si="11"/>
        <v>2500000</v>
      </c>
      <c r="G59" s="280">
        <f t="shared" ca="1" si="11"/>
        <v>3750000</v>
      </c>
      <c r="H59" s="279">
        <f t="shared" ca="1" si="11"/>
        <v>2500000</v>
      </c>
      <c r="I59" s="279">
        <f t="shared" ca="1" si="11"/>
        <v>3975000</v>
      </c>
      <c r="J59" s="279">
        <f t="shared" ca="1" si="11"/>
        <v>6900000</v>
      </c>
      <c r="K59" s="282">
        <f t="shared" ca="1" si="11"/>
        <v>4600000</v>
      </c>
      <c r="L59" s="279">
        <f t="shared" ca="1" si="11"/>
        <v>6900000</v>
      </c>
      <c r="M59" s="279">
        <f t="shared" ca="1" si="11"/>
        <v>6900000</v>
      </c>
      <c r="N59" s="279">
        <f t="shared" ca="1" si="11"/>
        <v>4600000</v>
      </c>
      <c r="O59" s="282">
        <f t="shared" ca="1" si="11"/>
        <v>7650000</v>
      </c>
      <c r="P59" s="279">
        <f t="shared" ca="1" si="11"/>
        <v>6100000</v>
      </c>
      <c r="Q59" s="279">
        <f t="shared" ca="1" si="11"/>
        <v>7900000</v>
      </c>
      <c r="R59" s="279">
        <f t="shared" ca="1" si="11"/>
        <v>4650000</v>
      </c>
      <c r="S59" s="282">
        <f t="shared" ca="1" si="11"/>
        <v>4350000</v>
      </c>
      <c r="T59" s="279">
        <f t="shared" ca="1" si="11"/>
        <v>5400000</v>
      </c>
      <c r="U59" s="279">
        <f t="shared" ca="1" si="11"/>
        <v>3600000</v>
      </c>
      <c r="V59" s="279">
        <f t="shared" ca="1" si="11"/>
        <v>5287500</v>
      </c>
      <c r="W59" s="282">
        <f t="shared" ca="1" si="11"/>
        <v>2437500</v>
      </c>
      <c r="X59" s="279">
        <f t="shared" ca="1" si="11"/>
        <v>2250000</v>
      </c>
      <c r="Y59" s="279">
        <f t="shared" ca="1" si="11"/>
        <v>2250000</v>
      </c>
      <c r="Z59" s="279">
        <f t="shared" ca="1" si="11"/>
        <v>1500000</v>
      </c>
      <c r="AA59" s="280">
        <f t="shared" ca="1" si="11"/>
        <v>2250000</v>
      </c>
      <c r="AB59" s="279">
        <f t="shared" ca="1" si="11"/>
        <v>1500000</v>
      </c>
      <c r="AC59" s="279">
        <f t="shared" ca="1" si="11"/>
        <v>750000</v>
      </c>
      <c r="AD59" s="279">
        <f t="shared" ca="1" si="11"/>
        <v>0</v>
      </c>
      <c r="AE59" s="280">
        <f t="shared" ca="1" si="11"/>
        <v>0</v>
      </c>
      <c r="AF59" s="279">
        <f t="shared" ca="1" si="11"/>
        <v>0</v>
      </c>
      <c r="AG59" s="279">
        <f t="shared" ca="1" si="11"/>
        <v>0</v>
      </c>
      <c r="AH59" s="279">
        <f t="shared" ca="1" si="11"/>
        <v>0</v>
      </c>
      <c r="AI59" s="280">
        <f t="shared" ca="1" si="11"/>
        <v>0</v>
      </c>
      <c r="AJ59" s="279">
        <f t="shared" ca="1" si="11"/>
        <v>0</v>
      </c>
      <c r="AK59" s="279">
        <f t="shared" ca="1" si="11"/>
        <v>0</v>
      </c>
      <c r="AL59" s="279">
        <f t="shared" ca="1" si="11"/>
        <v>0</v>
      </c>
      <c r="AM59" s="280">
        <f t="shared" ca="1" si="11"/>
        <v>0</v>
      </c>
      <c r="AN59" s="279">
        <f t="shared" ca="1" si="11"/>
        <v>0</v>
      </c>
      <c r="AO59" s="279">
        <f t="shared" ca="1" si="11"/>
        <v>0</v>
      </c>
      <c r="AP59" s="279">
        <f t="shared" ca="1" si="11"/>
        <v>0</v>
      </c>
      <c r="AQ59" s="280">
        <f t="shared" ca="1" si="11"/>
        <v>0</v>
      </c>
      <c r="AR59" s="279">
        <f t="shared" ca="1" si="11"/>
        <v>0</v>
      </c>
      <c r="AS59" s="279">
        <f t="shared" ca="1" si="11"/>
        <v>0</v>
      </c>
      <c r="AT59" s="279">
        <f t="shared" ca="1" si="11"/>
        <v>0</v>
      </c>
      <c r="AU59" s="280">
        <f t="shared" ca="1" si="11"/>
        <v>0</v>
      </c>
      <c r="AV59" s="284"/>
      <c r="AW59" s="284"/>
      <c r="AX59" s="284"/>
      <c r="AY59" s="285"/>
    </row>
    <row r="60" spans="1:51" ht="15.75" customHeight="1" x14ac:dyDescent="0.2">
      <c r="A60" s="83"/>
      <c r="B60" s="287"/>
      <c r="C60" s="93"/>
      <c r="D60" s="94"/>
      <c r="E60" s="94"/>
      <c r="F60" s="94"/>
      <c r="G60" s="288"/>
      <c r="H60" s="94"/>
      <c r="I60" s="94"/>
      <c r="J60" s="94"/>
      <c r="K60" s="288"/>
      <c r="L60" s="94"/>
      <c r="M60" s="94"/>
      <c r="N60" s="94"/>
      <c r="O60" s="288"/>
      <c r="P60" s="94"/>
      <c r="Q60" s="94"/>
      <c r="R60" s="94"/>
      <c r="S60" s="288"/>
      <c r="T60" s="94"/>
      <c r="U60" s="94"/>
      <c r="V60" s="94"/>
      <c r="W60" s="288"/>
      <c r="X60" s="94"/>
      <c r="Y60" s="94"/>
      <c r="Z60" s="94"/>
      <c r="AA60" s="288"/>
      <c r="AB60" s="94"/>
      <c r="AC60" s="94"/>
      <c r="AD60" s="94"/>
      <c r="AE60" s="288"/>
      <c r="AF60" s="94"/>
      <c r="AG60" s="94"/>
      <c r="AH60" s="94"/>
      <c r="AI60" s="288"/>
      <c r="AJ60" s="94"/>
      <c r="AK60" s="94"/>
      <c r="AL60" s="94"/>
      <c r="AM60" s="288"/>
      <c r="AN60" s="94"/>
      <c r="AO60" s="94"/>
      <c r="AP60" s="94"/>
      <c r="AQ60" s="288"/>
      <c r="AR60" s="94"/>
      <c r="AS60" s="94"/>
      <c r="AT60" s="94"/>
      <c r="AU60" s="288"/>
      <c r="AV60" s="98"/>
      <c r="AW60" s="98"/>
      <c r="AX60" s="98"/>
      <c r="AY60" s="99"/>
    </row>
    <row r="61" spans="1:51" ht="15.75" customHeight="1" x14ac:dyDescent="0.2">
      <c r="A61" s="83" t="s">
        <v>30</v>
      </c>
      <c r="B61" s="39" t="s">
        <v>72</v>
      </c>
      <c r="C61" s="73"/>
      <c r="D61" s="74"/>
      <c r="E61" s="74"/>
      <c r="F61" s="74"/>
      <c r="G61" s="75"/>
      <c r="H61" s="74"/>
      <c r="I61" s="74"/>
      <c r="J61" s="74"/>
      <c r="K61" s="289"/>
      <c r="L61" s="74"/>
      <c r="M61" s="74"/>
      <c r="N61" s="74"/>
      <c r="O61" s="289"/>
      <c r="P61" s="74"/>
      <c r="Q61" s="74"/>
      <c r="R61" s="74"/>
      <c r="S61" s="75"/>
      <c r="T61" s="74"/>
      <c r="U61" s="74"/>
      <c r="V61" s="74"/>
      <c r="W61" s="75"/>
      <c r="X61" s="74"/>
      <c r="Y61" s="74"/>
      <c r="Z61" s="74"/>
      <c r="AA61" s="75"/>
      <c r="AB61" s="74"/>
      <c r="AC61" s="74"/>
      <c r="AD61" s="74"/>
      <c r="AE61" s="75"/>
      <c r="AF61" s="74"/>
      <c r="AG61" s="74"/>
      <c r="AH61" s="74"/>
      <c r="AI61" s="75"/>
      <c r="AJ61" s="74"/>
      <c r="AK61" s="74"/>
      <c r="AL61" s="74"/>
      <c r="AM61" s="75"/>
      <c r="AN61" s="74"/>
      <c r="AO61" s="74"/>
      <c r="AP61" s="74"/>
      <c r="AQ61" s="75"/>
      <c r="AR61" s="74"/>
      <c r="AS61" s="74"/>
      <c r="AT61" s="74"/>
      <c r="AU61" s="75"/>
      <c r="AV61" s="76"/>
      <c r="AW61" s="76"/>
      <c r="AX61" s="76"/>
      <c r="AY61" s="77"/>
    </row>
    <row r="62" spans="1:51" ht="15.75" customHeight="1" x14ac:dyDescent="0.2">
      <c r="A62" s="83"/>
      <c r="B62" s="92">
        <f>IF(Portfolio!C7&lt;&gt;"",Portfolio!C7,"")</f>
        <v>1</v>
      </c>
      <c r="C62" s="93" t="str">
        <f>IF(Portfolio!D7&lt;&gt;"",Portfolio!D7,"")</f>
        <v>Company 1</v>
      </c>
      <c r="D62" s="94">
        <f ca="1">SUMPRODUCT((Portfolio!$L7=D$4)*(Portfolio!$L9))</f>
        <v>0</v>
      </c>
      <c r="E62" s="94">
        <f ca="1">SUMPRODUCT((Portfolio!$L7=E$4)*(Portfolio!$L9))</f>
        <v>0</v>
      </c>
      <c r="F62" s="96">
        <f ca="1">SUMPRODUCT((Portfolio!$L7=F$4)*(Portfolio!$L9))</f>
        <v>0</v>
      </c>
      <c r="G62" s="97">
        <f ca="1">SUMPRODUCT((Portfolio!$L7=G$4)*(Portfolio!$L9))</f>
        <v>0</v>
      </c>
      <c r="H62" s="94">
        <f ca="1">SUMPRODUCT((Portfolio!$L7=H$4)*(Portfolio!$L9))</f>
        <v>0</v>
      </c>
      <c r="I62" s="94">
        <f ca="1">SUMPRODUCT((Portfolio!$L7=I$4)*(Portfolio!$L9))</f>
        <v>0</v>
      </c>
      <c r="J62" s="96">
        <f ca="1">SUMPRODUCT((Portfolio!$L7=J$4)*(Portfolio!$L9))</f>
        <v>0</v>
      </c>
      <c r="K62" s="97">
        <f ca="1">SUMPRODUCT((Portfolio!$L7=K$4)*(Portfolio!$L9))</f>
        <v>0</v>
      </c>
      <c r="L62" s="96">
        <f ca="1">SUMPRODUCT((Portfolio!$L7=L$4)*(Portfolio!$L9))</f>
        <v>0</v>
      </c>
      <c r="M62" s="96">
        <f ca="1">SUMPRODUCT((Portfolio!$L7=M$4)*(Portfolio!$L9))</f>
        <v>0</v>
      </c>
      <c r="N62" s="96">
        <f ca="1">SUMPRODUCT((Portfolio!$L7=N$4)*(Portfolio!$L9))</f>
        <v>0</v>
      </c>
      <c r="O62" s="97">
        <f ca="1">SUMPRODUCT((Portfolio!$L7=O$4)*(Portfolio!$L9))</f>
        <v>0</v>
      </c>
      <c r="P62" s="96">
        <f ca="1">SUMPRODUCT((Portfolio!$L7=P$4)*(Portfolio!$L9))</f>
        <v>0</v>
      </c>
      <c r="Q62" s="96">
        <f ca="1">SUMPRODUCT((Portfolio!$L7=Q$4)*(Portfolio!$L9))</f>
        <v>0</v>
      </c>
      <c r="R62" s="96">
        <f ca="1">SUMPRODUCT((Portfolio!$L7=R$4)*(Portfolio!$L9))</f>
        <v>0</v>
      </c>
      <c r="S62" s="97">
        <f ca="1">SUMPRODUCT((Portfolio!$L7=S$4)*(Portfolio!$L9))</f>
        <v>0</v>
      </c>
      <c r="T62" s="96">
        <f ca="1">SUMPRODUCT((Portfolio!$L7=T$4)*(Portfolio!$L9))</f>
        <v>0</v>
      </c>
      <c r="U62" s="96">
        <f ca="1">SUMPRODUCT((Portfolio!$L7=U$4)*(Portfolio!$L9))</f>
        <v>0</v>
      </c>
      <c r="V62" s="96">
        <f ca="1">SUMPRODUCT((Portfolio!$L7=V$4)*(Portfolio!$L9))</f>
        <v>0</v>
      </c>
      <c r="W62" s="97">
        <f ca="1">SUMPRODUCT((Portfolio!$L7=W$4)*(Portfolio!$L9))</f>
        <v>0</v>
      </c>
      <c r="X62" s="96">
        <f ca="1">SUMPRODUCT((Portfolio!$L7=X$4)*(Portfolio!$L9))</f>
        <v>0</v>
      </c>
      <c r="Y62" s="96">
        <f ca="1">SUMPRODUCT((Portfolio!$L7=Y$4)*(Portfolio!$L9))</f>
        <v>0</v>
      </c>
      <c r="Z62" s="96">
        <f ca="1">SUMPRODUCT((Portfolio!$L7=Z$4)*(Portfolio!$L9))</f>
        <v>0</v>
      </c>
      <c r="AA62" s="97">
        <f ca="1">SUMPRODUCT((Portfolio!$L7=AA$4)*(Portfolio!$L9))</f>
        <v>0</v>
      </c>
      <c r="AB62" s="96">
        <f ca="1">SUMPRODUCT((Portfolio!$L7=AB$4)*(Portfolio!$L9))</f>
        <v>0</v>
      </c>
      <c r="AC62" s="96">
        <f ca="1">SUMPRODUCT((Portfolio!$L7=AC$4)*(Portfolio!$L9))</f>
        <v>0</v>
      </c>
      <c r="AD62" s="96">
        <f ca="1">SUMPRODUCT((Portfolio!$L7=AD$4)*(Portfolio!$L9))</f>
        <v>0</v>
      </c>
      <c r="AE62" s="97">
        <f ca="1">SUMPRODUCT((Portfolio!$L7=AE$4)*(Portfolio!$L9))</f>
        <v>0</v>
      </c>
      <c r="AF62" s="96">
        <f ca="1">SUMPRODUCT((Portfolio!$L7=AF$4)*(Portfolio!$L9))</f>
        <v>0</v>
      </c>
      <c r="AG62" s="96">
        <f ca="1">SUMPRODUCT((Portfolio!$L7=AG$4)*(Portfolio!$L9))</f>
        <v>0</v>
      </c>
      <c r="AH62" s="96">
        <f ca="1">SUMPRODUCT((Portfolio!$L7=AH$4)*(Portfolio!$L9))</f>
        <v>0</v>
      </c>
      <c r="AI62" s="97">
        <f ca="1">SUMPRODUCT((Portfolio!$L7=AI$4)*(Portfolio!$L9))</f>
        <v>0</v>
      </c>
      <c r="AJ62" s="96">
        <f ca="1">SUMPRODUCT((Portfolio!$L7=AJ$4)*(Portfolio!$L9))</f>
        <v>0</v>
      </c>
      <c r="AK62" s="96">
        <f ca="1">SUMPRODUCT((Portfolio!$L7=AK$4)*(Portfolio!$L9))</f>
        <v>0</v>
      </c>
      <c r="AL62" s="96">
        <f ca="1">SUMPRODUCT((Portfolio!$L7=AL$4)*(Portfolio!$L9))</f>
        <v>0</v>
      </c>
      <c r="AM62" s="97">
        <f ca="1">SUMPRODUCT((Portfolio!$L7=AM$4)*(Portfolio!$L9))</f>
        <v>0</v>
      </c>
      <c r="AN62" s="96">
        <f ca="1">SUMPRODUCT((Portfolio!$L7=AN$4)*(Portfolio!$L9))</f>
        <v>0</v>
      </c>
      <c r="AO62" s="96">
        <f ca="1">SUMPRODUCT((Portfolio!$L7=AO$4)*(Portfolio!$L9))</f>
        <v>0</v>
      </c>
      <c r="AP62" s="96">
        <f ca="1">SUMPRODUCT((Portfolio!$L7=AP$4)*(Portfolio!$L9))</f>
        <v>0</v>
      </c>
      <c r="AQ62" s="97">
        <f ca="1">SUMPRODUCT((Portfolio!$L7=AQ$4)*(Portfolio!$L9))</f>
        <v>0</v>
      </c>
      <c r="AR62" s="96">
        <f ca="1">SUMPRODUCT((Portfolio!$L7=AR$4)*(Portfolio!$L9))</f>
        <v>0</v>
      </c>
      <c r="AS62" s="96">
        <f ca="1">SUMPRODUCT((Portfolio!$L7=AS$4)*(Portfolio!$L9))</f>
        <v>0</v>
      </c>
      <c r="AT62" s="96">
        <f ca="1">SUMPRODUCT((Portfolio!$L7=AT$4)*(Portfolio!$L9))</f>
        <v>0</v>
      </c>
      <c r="AU62" s="97">
        <f ca="1">SUMPRODUCT((Portfolio!$L7=AU$4)*(Portfolio!$L9))</f>
        <v>0</v>
      </c>
      <c r="AV62" s="96"/>
      <c r="AW62" s="96"/>
      <c r="AX62" s="96"/>
      <c r="AY62" s="99"/>
    </row>
    <row r="63" spans="1:51" ht="15.75" customHeight="1" x14ac:dyDescent="0.2">
      <c r="A63" s="83"/>
      <c r="B63" s="92">
        <f>IF(Portfolio!C10&lt;&gt;"",Portfolio!C10,"")</f>
        <v>2</v>
      </c>
      <c r="C63" s="93" t="str">
        <f>IF(Portfolio!D10&lt;&gt;"",Portfolio!D10,"")</f>
        <v>Company 2</v>
      </c>
      <c r="D63" s="94">
        <f ca="1">SUMPRODUCT((Portfolio!$L10=D$4)*(Portfolio!$L12))</f>
        <v>0</v>
      </c>
      <c r="E63" s="94">
        <f ca="1">SUMPRODUCT((Portfolio!$L10=E$4)*(Portfolio!$L12))</f>
        <v>0</v>
      </c>
      <c r="F63" s="96">
        <f ca="1">SUMPRODUCT((Portfolio!$L10=F$4)*(Portfolio!$L12))</f>
        <v>0</v>
      </c>
      <c r="G63" s="97">
        <f ca="1">SUMPRODUCT((Portfolio!$L10=G$4)*(Portfolio!$L12))</f>
        <v>0</v>
      </c>
      <c r="H63" s="94">
        <f ca="1">SUMPRODUCT((Portfolio!$L10=H$4)*(Portfolio!$L12))</f>
        <v>0</v>
      </c>
      <c r="I63" s="94">
        <f ca="1">SUMPRODUCT((Portfolio!$L10=I$4)*(Portfolio!$L12))</f>
        <v>0</v>
      </c>
      <c r="J63" s="96">
        <f ca="1">SUMPRODUCT((Portfolio!$L10=J$4)*(Portfolio!$L12))</f>
        <v>0</v>
      </c>
      <c r="K63" s="97">
        <f ca="1">SUMPRODUCT((Portfolio!$L10=K$4)*(Portfolio!$L12))</f>
        <v>0</v>
      </c>
      <c r="L63" s="96">
        <f ca="1">SUMPRODUCT((Portfolio!$L10=L$4)*(Portfolio!$L12))</f>
        <v>0</v>
      </c>
      <c r="M63" s="96">
        <f ca="1">SUMPRODUCT((Portfolio!$L10=M$4)*(Portfolio!$L12))</f>
        <v>0</v>
      </c>
      <c r="N63" s="96">
        <f ca="1">SUMPRODUCT((Portfolio!$L10=N$4)*(Portfolio!$L12))</f>
        <v>0</v>
      </c>
      <c r="O63" s="97">
        <f ca="1">SUMPRODUCT((Portfolio!$L10=O$4)*(Portfolio!$L12))</f>
        <v>0</v>
      </c>
      <c r="P63" s="96">
        <f ca="1">SUMPRODUCT((Portfolio!$L10=P$4)*(Portfolio!$L12))</f>
        <v>0</v>
      </c>
      <c r="Q63" s="96">
        <f ca="1">SUMPRODUCT((Portfolio!$L10=Q$4)*(Portfolio!$L12))</f>
        <v>0</v>
      </c>
      <c r="R63" s="96">
        <f ca="1">SUMPRODUCT((Portfolio!$L10=R$4)*(Portfolio!$L12))</f>
        <v>0</v>
      </c>
      <c r="S63" s="97">
        <f ca="1">SUMPRODUCT((Portfolio!$L10=S$4)*(Portfolio!$L12))</f>
        <v>0</v>
      </c>
      <c r="T63" s="96">
        <f ca="1">SUMPRODUCT((Portfolio!$L10=T$4)*(Portfolio!$L12))</f>
        <v>0</v>
      </c>
      <c r="U63" s="96">
        <f ca="1">SUMPRODUCT((Portfolio!$L10=U$4)*(Portfolio!$L12))</f>
        <v>0</v>
      </c>
      <c r="V63" s="96">
        <f ca="1">SUMPRODUCT((Portfolio!$L10=V$4)*(Portfolio!$L12))</f>
        <v>0</v>
      </c>
      <c r="W63" s="97">
        <f ca="1">SUMPRODUCT((Portfolio!$L10=W$4)*(Portfolio!$L12))</f>
        <v>0</v>
      </c>
      <c r="X63" s="96">
        <f ca="1">SUMPRODUCT((Portfolio!$L10=X$4)*(Portfolio!$L12))</f>
        <v>0</v>
      </c>
      <c r="Y63" s="96">
        <f ca="1">SUMPRODUCT((Portfolio!$L10=Y$4)*(Portfolio!$L12))</f>
        <v>0</v>
      </c>
      <c r="Z63" s="96">
        <f ca="1">SUMPRODUCT((Portfolio!$L10=Z$4)*(Portfolio!$L12))</f>
        <v>0</v>
      </c>
      <c r="AA63" s="97">
        <f ca="1">SUMPRODUCT((Portfolio!$L10=AA$4)*(Portfolio!$L12))</f>
        <v>0</v>
      </c>
      <c r="AB63" s="96">
        <f ca="1">SUMPRODUCT((Portfolio!$L10=AB$4)*(Portfolio!$L12))</f>
        <v>0</v>
      </c>
      <c r="AC63" s="96">
        <f ca="1">SUMPRODUCT((Portfolio!$L10=AC$4)*(Portfolio!$L12))</f>
        <v>0</v>
      </c>
      <c r="AD63" s="96">
        <f ca="1">SUMPRODUCT((Portfolio!$L10=AD$4)*(Portfolio!$L12))</f>
        <v>0</v>
      </c>
      <c r="AE63" s="97">
        <f ca="1">SUMPRODUCT((Portfolio!$L10=AE$4)*(Portfolio!$L12))</f>
        <v>0</v>
      </c>
      <c r="AF63" s="96">
        <f ca="1">SUMPRODUCT((Portfolio!$L10=AF$4)*(Portfolio!$L12))</f>
        <v>0</v>
      </c>
      <c r="AG63" s="96">
        <f ca="1">SUMPRODUCT((Portfolio!$L10=AG$4)*(Portfolio!$L12))</f>
        <v>0</v>
      </c>
      <c r="AH63" s="96">
        <f ca="1">SUMPRODUCT((Portfolio!$L10=AH$4)*(Portfolio!$L12))</f>
        <v>0</v>
      </c>
      <c r="AI63" s="97">
        <f ca="1">SUMPRODUCT((Portfolio!$L10=AI$4)*(Portfolio!$L12))</f>
        <v>0</v>
      </c>
      <c r="AJ63" s="96">
        <f ca="1">SUMPRODUCT((Portfolio!$L10=AJ$4)*(Portfolio!$L12))</f>
        <v>0</v>
      </c>
      <c r="AK63" s="96">
        <f ca="1">SUMPRODUCT((Portfolio!$L10=AK$4)*(Portfolio!$L12))</f>
        <v>0</v>
      </c>
      <c r="AL63" s="96">
        <f ca="1">SUMPRODUCT((Portfolio!$L10=AL$4)*(Portfolio!$L12))</f>
        <v>0</v>
      </c>
      <c r="AM63" s="97">
        <f ca="1">SUMPRODUCT((Portfolio!$L10=AM$4)*(Portfolio!$L12))</f>
        <v>0</v>
      </c>
      <c r="AN63" s="96">
        <f ca="1">SUMPRODUCT((Portfolio!$L10=AN$4)*(Portfolio!$L12))</f>
        <v>0</v>
      </c>
      <c r="AO63" s="96">
        <f ca="1">SUMPRODUCT((Portfolio!$L10=AO$4)*(Portfolio!$L12))</f>
        <v>0</v>
      </c>
      <c r="AP63" s="96">
        <f ca="1">SUMPRODUCT((Portfolio!$L10=AP$4)*(Portfolio!$L12))</f>
        <v>0</v>
      </c>
      <c r="AQ63" s="97">
        <f ca="1">SUMPRODUCT((Portfolio!$L10=AQ$4)*(Portfolio!$L12))</f>
        <v>0</v>
      </c>
      <c r="AR63" s="96">
        <f ca="1">SUMPRODUCT((Portfolio!$L10=AR$4)*(Portfolio!$L12))</f>
        <v>0</v>
      </c>
      <c r="AS63" s="96">
        <f ca="1">SUMPRODUCT((Portfolio!$L10=AS$4)*(Portfolio!$L12))</f>
        <v>0</v>
      </c>
      <c r="AT63" s="96">
        <f ca="1">SUMPRODUCT((Portfolio!$L10=AT$4)*(Portfolio!$L12))</f>
        <v>0</v>
      </c>
      <c r="AU63" s="97">
        <f ca="1">SUMPRODUCT((Portfolio!$L10=AU$4)*(Portfolio!$L12))</f>
        <v>0</v>
      </c>
      <c r="AV63" s="96"/>
      <c r="AW63" s="96"/>
      <c r="AX63" s="96"/>
      <c r="AY63" s="99"/>
    </row>
    <row r="64" spans="1:51" ht="15.75" customHeight="1" x14ac:dyDescent="0.2">
      <c r="A64" s="83"/>
      <c r="B64" s="92">
        <f>IF(Portfolio!C13&lt;&gt;"",Portfolio!C13,"")</f>
        <v>3</v>
      </c>
      <c r="C64" s="93" t="str">
        <f>IF(Portfolio!D13&lt;&gt;"",Portfolio!D13,"")</f>
        <v>Company 3</v>
      </c>
      <c r="D64" s="94">
        <f ca="1">SUMPRODUCT((Portfolio!$L13=D$4)*(Portfolio!$L15))</f>
        <v>0</v>
      </c>
      <c r="E64" s="94">
        <f ca="1">SUMPRODUCT((Portfolio!$L13=E$4)*(Portfolio!$L15))</f>
        <v>0</v>
      </c>
      <c r="F64" s="96">
        <f ca="1">SUMPRODUCT((Portfolio!$L13=F$4)*(Portfolio!$L15))</f>
        <v>0</v>
      </c>
      <c r="G64" s="97">
        <f ca="1">SUMPRODUCT((Portfolio!$L13=G$4)*(Portfolio!$L15))</f>
        <v>0</v>
      </c>
      <c r="H64" s="94">
        <f ca="1">SUMPRODUCT((Portfolio!$L13=H$4)*(Portfolio!$L15))</f>
        <v>0</v>
      </c>
      <c r="I64" s="94">
        <f ca="1">SUMPRODUCT((Portfolio!$L13=I$4)*(Portfolio!$L15))</f>
        <v>0</v>
      </c>
      <c r="J64" s="96">
        <f ca="1">SUMPRODUCT((Portfolio!$L13=J$4)*(Portfolio!$L15))</f>
        <v>0</v>
      </c>
      <c r="K64" s="97">
        <f ca="1">SUMPRODUCT((Portfolio!$L13=K$4)*(Portfolio!$L15))</f>
        <v>0</v>
      </c>
      <c r="L64" s="96">
        <f ca="1">SUMPRODUCT((Portfolio!$L13=L$4)*(Portfolio!$L15))</f>
        <v>0</v>
      </c>
      <c r="M64" s="96">
        <f ca="1">SUMPRODUCT((Portfolio!$L13=M$4)*(Portfolio!$L15))</f>
        <v>0</v>
      </c>
      <c r="N64" s="96">
        <f ca="1">SUMPRODUCT((Portfolio!$L13=N$4)*(Portfolio!$L15))</f>
        <v>0</v>
      </c>
      <c r="O64" s="97">
        <f ca="1">SUMPRODUCT((Portfolio!$L13=O$4)*(Portfolio!$L15))</f>
        <v>0</v>
      </c>
      <c r="P64" s="96">
        <f ca="1">SUMPRODUCT((Portfolio!$L13=P$4)*(Portfolio!$L15))</f>
        <v>0</v>
      </c>
      <c r="Q64" s="96">
        <f ca="1">SUMPRODUCT((Portfolio!$L13=Q$4)*(Portfolio!$L15))</f>
        <v>0</v>
      </c>
      <c r="R64" s="96">
        <f ca="1">SUMPRODUCT((Portfolio!$L13=R$4)*(Portfolio!$L15))</f>
        <v>0</v>
      </c>
      <c r="S64" s="97">
        <f ca="1">SUMPRODUCT((Portfolio!$L13=S$4)*(Portfolio!$L15))</f>
        <v>0</v>
      </c>
      <c r="T64" s="96">
        <f ca="1">SUMPRODUCT((Portfolio!$L13=T$4)*(Portfolio!$L15))</f>
        <v>0</v>
      </c>
      <c r="U64" s="96">
        <f ca="1">SUMPRODUCT((Portfolio!$L13=U$4)*(Portfolio!$L15))</f>
        <v>0</v>
      </c>
      <c r="V64" s="96">
        <f ca="1">SUMPRODUCT((Portfolio!$L13=V$4)*(Portfolio!$L15))</f>
        <v>0</v>
      </c>
      <c r="W64" s="97">
        <f ca="1">SUMPRODUCT((Portfolio!$L13=W$4)*(Portfolio!$L15))</f>
        <v>0</v>
      </c>
      <c r="X64" s="96">
        <f ca="1">SUMPRODUCT((Portfolio!$L13=X$4)*(Portfolio!$L15))</f>
        <v>0</v>
      </c>
      <c r="Y64" s="96">
        <f ca="1">SUMPRODUCT((Portfolio!$L13=Y$4)*(Portfolio!$L15))</f>
        <v>0</v>
      </c>
      <c r="Z64" s="96">
        <f ca="1">SUMPRODUCT((Portfolio!$L13=Z$4)*(Portfolio!$L15))</f>
        <v>0</v>
      </c>
      <c r="AA64" s="97">
        <f ca="1">SUMPRODUCT((Portfolio!$L13=AA$4)*(Portfolio!$L15))</f>
        <v>0</v>
      </c>
      <c r="AB64" s="96">
        <f ca="1">SUMPRODUCT((Portfolio!$L13=AB$4)*(Portfolio!$L15))</f>
        <v>0</v>
      </c>
      <c r="AC64" s="96">
        <f ca="1">SUMPRODUCT((Portfolio!$L13=AC$4)*(Portfolio!$L15))</f>
        <v>0</v>
      </c>
      <c r="AD64" s="96">
        <f ca="1">SUMPRODUCT((Portfolio!$L13=AD$4)*(Portfolio!$L15))</f>
        <v>0</v>
      </c>
      <c r="AE64" s="97">
        <f ca="1">SUMPRODUCT((Portfolio!$L13=AE$4)*(Portfolio!$L15))</f>
        <v>0</v>
      </c>
      <c r="AF64" s="96">
        <f ca="1">SUMPRODUCT((Portfolio!$L13=AF$4)*(Portfolio!$L15))</f>
        <v>0</v>
      </c>
      <c r="AG64" s="96">
        <f ca="1">SUMPRODUCT((Portfolio!$L13=AG$4)*(Portfolio!$L15))</f>
        <v>0</v>
      </c>
      <c r="AH64" s="96">
        <f ca="1">SUMPRODUCT((Portfolio!$L13=AH$4)*(Portfolio!$L15))</f>
        <v>0</v>
      </c>
      <c r="AI64" s="97">
        <f ca="1">SUMPRODUCT((Portfolio!$L13=AI$4)*(Portfolio!$L15))</f>
        <v>0</v>
      </c>
      <c r="AJ64" s="96">
        <f ca="1">SUMPRODUCT((Portfolio!$L13=AJ$4)*(Portfolio!$L15))</f>
        <v>0</v>
      </c>
      <c r="AK64" s="96">
        <f ca="1">SUMPRODUCT((Portfolio!$L13=AK$4)*(Portfolio!$L15))</f>
        <v>0</v>
      </c>
      <c r="AL64" s="96">
        <f ca="1">SUMPRODUCT((Portfolio!$L13=AL$4)*(Portfolio!$L15))</f>
        <v>0</v>
      </c>
      <c r="AM64" s="97">
        <f ca="1">SUMPRODUCT((Portfolio!$L13=AM$4)*(Portfolio!$L15))</f>
        <v>0</v>
      </c>
      <c r="AN64" s="96">
        <f ca="1">SUMPRODUCT((Portfolio!$L13=AN$4)*(Portfolio!$L15))</f>
        <v>0</v>
      </c>
      <c r="AO64" s="96">
        <f ca="1">SUMPRODUCT((Portfolio!$L13=AO$4)*(Portfolio!$L15))</f>
        <v>0</v>
      </c>
      <c r="AP64" s="96">
        <f ca="1">SUMPRODUCT((Portfolio!$L13=AP$4)*(Portfolio!$L15))</f>
        <v>0</v>
      </c>
      <c r="AQ64" s="97">
        <f ca="1">SUMPRODUCT((Portfolio!$L13=AQ$4)*(Portfolio!$L15))</f>
        <v>0</v>
      </c>
      <c r="AR64" s="96">
        <f ca="1">SUMPRODUCT((Portfolio!$L13=AR$4)*(Portfolio!$L15))</f>
        <v>0</v>
      </c>
      <c r="AS64" s="96">
        <f ca="1">SUMPRODUCT((Portfolio!$L13=AS$4)*(Portfolio!$L15))</f>
        <v>0</v>
      </c>
      <c r="AT64" s="96">
        <f ca="1">SUMPRODUCT((Portfolio!$L13=AT$4)*(Portfolio!$L15))</f>
        <v>0</v>
      </c>
      <c r="AU64" s="97">
        <f ca="1">SUMPRODUCT((Portfolio!$L13=AU$4)*(Portfolio!$L15))</f>
        <v>0</v>
      </c>
      <c r="AV64" s="96"/>
      <c r="AW64" s="96"/>
      <c r="AX64" s="96"/>
      <c r="AY64" s="99"/>
    </row>
    <row r="65" spans="1:51" ht="15.75" customHeight="1" x14ac:dyDescent="0.2">
      <c r="A65" s="83"/>
      <c r="B65" s="92">
        <f>IF(Portfolio!C16&lt;&gt;"",Portfolio!C16,"")</f>
        <v>4</v>
      </c>
      <c r="C65" s="93" t="str">
        <f>IF(Portfolio!D16&lt;&gt;"",Portfolio!D16,"")</f>
        <v>Company 4</v>
      </c>
      <c r="D65" s="94">
        <f ca="1">SUMPRODUCT((Portfolio!$L16=D$4)*(Portfolio!$L18))</f>
        <v>0</v>
      </c>
      <c r="E65" s="94">
        <f ca="1">SUMPRODUCT((Portfolio!$L16=E$4)*(Portfolio!$L18))</f>
        <v>0</v>
      </c>
      <c r="F65" s="96">
        <f ca="1">SUMPRODUCT((Portfolio!$L16=F$4)*(Portfolio!$L18))</f>
        <v>0</v>
      </c>
      <c r="G65" s="97">
        <f ca="1">SUMPRODUCT((Portfolio!$L16=G$4)*(Portfolio!$L18))</f>
        <v>0</v>
      </c>
      <c r="H65" s="94">
        <f ca="1">SUMPRODUCT((Portfolio!$L16=H$4)*(Portfolio!$L18))</f>
        <v>0</v>
      </c>
      <c r="I65" s="94">
        <f ca="1">SUMPRODUCT((Portfolio!$L16=I$4)*(Portfolio!$L18))</f>
        <v>0</v>
      </c>
      <c r="J65" s="96">
        <f ca="1">SUMPRODUCT((Portfolio!$L16=J$4)*(Portfolio!$L18))</f>
        <v>0</v>
      </c>
      <c r="K65" s="97">
        <f ca="1">SUMPRODUCT((Portfolio!$L16=K$4)*(Portfolio!$L18))</f>
        <v>0</v>
      </c>
      <c r="L65" s="96">
        <f ca="1">SUMPRODUCT((Portfolio!$L16=L$4)*(Portfolio!$L18))</f>
        <v>0</v>
      </c>
      <c r="M65" s="96">
        <f ca="1">SUMPRODUCT((Portfolio!$L16=M$4)*(Portfolio!$L18))</f>
        <v>0</v>
      </c>
      <c r="N65" s="96">
        <f ca="1">SUMPRODUCT((Portfolio!$L16=N$4)*(Portfolio!$L18))</f>
        <v>0</v>
      </c>
      <c r="O65" s="97">
        <f ca="1">SUMPRODUCT((Portfolio!$L16=O$4)*(Portfolio!$L18))</f>
        <v>0</v>
      </c>
      <c r="P65" s="96">
        <f ca="1">SUMPRODUCT((Portfolio!$L16=P$4)*(Portfolio!$L18))</f>
        <v>0</v>
      </c>
      <c r="Q65" s="96">
        <f ca="1">SUMPRODUCT((Portfolio!$L16=Q$4)*(Portfolio!$L18))</f>
        <v>0</v>
      </c>
      <c r="R65" s="96">
        <f ca="1">SUMPRODUCT((Portfolio!$L16=R$4)*(Portfolio!$L18))</f>
        <v>0</v>
      </c>
      <c r="S65" s="97">
        <f ca="1">SUMPRODUCT((Portfolio!$L16=S$4)*(Portfolio!$L18))</f>
        <v>0</v>
      </c>
      <c r="T65" s="96">
        <f ca="1">SUMPRODUCT((Portfolio!$L16=T$4)*(Portfolio!$L18))</f>
        <v>0</v>
      </c>
      <c r="U65" s="96">
        <f ca="1">SUMPRODUCT((Portfolio!$L16=U$4)*(Portfolio!$L18))</f>
        <v>0</v>
      </c>
      <c r="V65" s="96">
        <f ca="1">SUMPRODUCT((Portfolio!$L16=V$4)*(Portfolio!$L18))</f>
        <v>0</v>
      </c>
      <c r="W65" s="97">
        <f ca="1">SUMPRODUCT((Portfolio!$L16=W$4)*(Portfolio!$L18))</f>
        <v>0</v>
      </c>
      <c r="X65" s="96">
        <f ca="1">SUMPRODUCT((Portfolio!$L16=X$4)*(Portfolio!$L18))</f>
        <v>0</v>
      </c>
      <c r="Y65" s="96">
        <f ca="1">SUMPRODUCT((Portfolio!$L16=Y$4)*(Portfolio!$L18))</f>
        <v>0</v>
      </c>
      <c r="Z65" s="96">
        <f ca="1">SUMPRODUCT((Portfolio!$L16=Z$4)*(Portfolio!$L18))</f>
        <v>0</v>
      </c>
      <c r="AA65" s="97">
        <f ca="1">SUMPRODUCT((Portfolio!$L16=AA$4)*(Portfolio!$L18))</f>
        <v>0</v>
      </c>
      <c r="AB65" s="96">
        <f ca="1">SUMPRODUCT((Portfolio!$L16=AB$4)*(Portfolio!$L18))</f>
        <v>0</v>
      </c>
      <c r="AC65" s="96">
        <f ca="1">SUMPRODUCT((Portfolio!$L16=AC$4)*(Portfolio!$L18))</f>
        <v>0</v>
      </c>
      <c r="AD65" s="96">
        <f ca="1">SUMPRODUCT((Portfolio!$L16=AD$4)*(Portfolio!$L18))</f>
        <v>0</v>
      </c>
      <c r="AE65" s="97">
        <f ca="1">SUMPRODUCT((Portfolio!$L16=AE$4)*(Portfolio!$L18))</f>
        <v>0</v>
      </c>
      <c r="AF65" s="96">
        <f ca="1">SUMPRODUCT((Portfolio!$L16=AF$4)*(Portfolio!$L18))</f>
        <v>0</v>
      </c>
      <c r="AG65" s="96">
        <f ca="1">SUMPRODUCT((Portfolio!$L16=AG$4)*(Portfolio!$L18))</f>
        <v>0</v>
      </c>
      <c r="AH65" s="96">
        <f ca="1">SUMPRODUCT((Portfolio!$L16=AH$4)*(Portfolio!$L18))</f>
        <v>0</v>
      </c>
      <c r="AI65" s="97">
        <f ca="1">SUMPRODUCT((Portfolio!$L16=AI$4)*(Portfolio!$L18))</f>
        <v>0</v>
      </c>
      <c r="AJ65" s="96">
        <f ca="1">SUMPRODUCT((Portfolio!$L16=AJ$4)*(Portfolio!$L18))</f>
        <v>0</v>
      </c>
      <c r="AK65" s="96">
        <f ca="1">SUMPRODUCT((Portfolio!$L16=AK$4)*(Portfolio!$L18))</f>
        <v>0</v>
      </c>
      <c r="AL65" s="96">
        <f ca="1">SUMPRODUCT((Portfolio!$L16=AL$4)*(Portfolio!$L18))</f>
        <v>0</v>
      </c>
      <c r="AM65" s="97">
        <f ca="1">SUMPRODUCT((Portfolio!$L16=AM$4)*(Portfolio!$L18))</f>
        <v>0</v>
      </c>
      <c r="AN65" s="96">
        <f ca="1">SUMPRODUCT((Portfolio!$L16=AN$4)*(Portfolio!$L18))</f>
        <v>0</v>
      </c>
      <c r="AO65" s="96">
        <f ca="1">SUMPRODUCT((Portfolio!$L16=AO$4)*(Portfolio!$L18))</f>
        <v>0</v>
      </c>
      <c r="AP65" s="96">
        <f ca="1">SUMPRODUCT((Portfolio!$L16=AP$4)*(Portfolio!$L18))</f>
        <v>0</v>
      </c>
      <c r="AQ65" s="97">
        <f ca="1">SUMPRODUCT((Portfolio!$L16=AQ$4)*(Portfolio!$L18))</f>
        <v>0</v>
      </c>
      <c r="AR65" s="96">
        <f ca="1">SUMPRODUCT((Portfolio!$L16=AR$4)*(Portfolio!$L18))</f>
        <v>0</v>
      </c>
      <c r="AS65" s="96">
        <f ca="1">SUMPRODUCT((Portfolio!$L16=AS$4)*(Portfolio!$L18))</f>
        <v>0</v>
      </c>
      <c r="AT65" s="96">
        <f ca="1">SUMPRODUCT((Portfolio!$L16=AT$4)*(Portfolio!$L18))</f>
        <v>0</v>
      </c>
      <c r="AU65" s="97">
        <f ca="1">SUMPRODUCT((Portfolio!$L16=AU$4)*(Portfolio!$L18))</f>
        <v>0</v>
      </c>
      <c r="AV65" s="96"/>
      <c r="AW65" s="96"/>
      <c r="AX65" s="96"/>
      <c r="AY65" s="99"/>
    </row>
    <row r="66" spans="1:51" ht="15.75" hidden="1" customHeight="1" outlineLevel="1" x14ac:dyDescent="0.2">
      <c r="A66" s="83"/>
      <c r="B66" s="92">
        <f>IF(Portfolio!C19&lt;&gt;"",Portfolio!C19,"")</f>
        <v>5</v>
      </c>
      <c r="C66" s="93" t="str">
        <f>IF(Portfolio!D19&lt;&gt;"",Portfolio!D19,"")</f>
        <v>Company 5</v>
      </c>
      <c r="D66" s="94">
        <f ca="1">SUMPRODUCT((Portfolio!$L19=D$4)*(Portfolio!$L21))</f>
        <v>0</v>
      </c>
      <c r="E66" s="94">
        <f ca="1">SUMPRODUCT((Portfolio!$L19=E$4)*(Portfolio!$L21))</f>
        <v>0</v>
      </c>
      <c r="F66" s="96">
        <f ca="1">SUMPRODUCT((Portfolio!$L19=F$4)*(Portfolio!$L21))</f>
        <v>0</v>
      </c>
      <c r="G66" s="97">
        <f ca="1">SUMPRODUCT((Portfolio!$L19=G$4)*(Portfolio!$L21))</f>
        <v>0</v>
      </c>
      <c r="H66" s="94">
        <f ca="1">SUMPRODUCT((Portfolio!$L19=H$4)*(Portfolio!$L21))</f>
        <v>0</v>
      </c>
      <c r="I66" s="94">
        <f ca="1">SUMPRODUCT((Portfolio!$L19=I$4)*(Portfolio!$L21))</f>
        <v>0</v>
      </c>
      <c r="J66" s="96">
        <f ca="1">SUMPRODUCT((Portfolio!$L19=J$4)*(Portfolio!$L21))</f>
        <v>0</v>
      </c>
      <c r="K66" s="97">
        <f ca="1">SUMPRODUCT((Portfolio!$L19=K$4)*(Portfolio!$L21))</f>
        <v>0</v>
      </c>
      <c r="L66" s="96">
        <f ca="1">SUMPRODUCT((Portfolio!$L19=L$4)*(Portfolio!$L21))</f>
        <v>0</v>
      </c>
      <c r="M66" s="96">
        <f ca="1">SUMPRODUCT((Portfolio!$L19=M$4)*(Portfolio!$L21))</f>
        <v>0</v>
      </c>
      <c r="N66" s="96">
        <f ca="1">SUMPRODUCT((Portfolio!$L19=N$4)*(Portfolio!$L21))</f>
        <v>0</v>
      </c>
      <c r="O66" s="97">
        <f ca="1">SUMPRODUCT((Portfolio!$L19=O$4)*(Portfolio!$L21))</f>
        <v>0</v>
      </c>
      <c r="P66" s="96">
        <f ca="1">SUMPRODUCT((Portfolio!$L19=P$4)*(Portfolio!$L21))</f>
        <v>0</v>
      </c>
      <c r="Q66" s="96">
        <f ca="1">SUMPRODUCT((Portfolio!$L19=Q$4)*(Portfolio!$L21))</f>
        <v>0</v>
      </c>
      <c r="R66" s="96">
        <f ca="1">SUMPRODUCT((Portfolio!$L19=R$4)*(Portfolio!$L21))</f>
        <v>0</v>
      </c>
      <c r="S66" s="97">
        <f ca="1">SUMPRODUCT((Portfolio!$L19=S$4)*(Portfolio!$L21))</f>
        <v>0</v>
      </c>
      <c r="T66" s="96">
        <f ca="1">SUMPRODUCT((Portfolio!$L19=T$4)*(Portfolio!$L21))</f>
        <v>0</v>
      </c>
      <c r="U66" s="96">
        <f ca="1">SUMPRODUCT((Portfolio!$L19=U$4)*(Portfolio!$L21))</f>
        <v>0</v>
      </c>
      <c r="V66" s="96">
        <f ca="1">SUMPRODUCT((Portfolio!$L19=V$4)*(Portfolio!$L21))</f>
        <v>0</v>
      </c>
      <c r="W66" s="97">
        <f ca="1">SUMPRODUCT((Portfolio!$L19=W$4)*(Portfolio!$L21))</f>
        <v>0</v>
      </c>
      <c r="X66" s="96">
        <f ca="1">SUMPRODUCT((Portfolio!$L19=X$4)*(Portfolio!$L21))</f>
        <v>0</v>
      </c>
      <c r="Y66" s="96">
        <f ca="1">SUMPRODUCT((Portfolio!$L19=Y$4)*(Portfolio!$L21))</f>
        <v>0</v>
      </c>
      <c r="Z66" s="96">
        <f ca="1">SUMPRODUCT((Portfolio!$L19=Z$4)*(Portfolio!$L21))</f>
        <v>0</v>
      </c>
      <c r="AA66" s="97">
        <f ca="1">SUMPRODUCT((Portfolio!$L19=AA$4)*(Portfolio!$L21))</f>
        <v>0</v>
      </c>
      <c r="AB66" s="96">
        <f ca="1">SUMPRODUCT((Portfolio!$L19=AB$4)*(Portfolio!$L21))</f>
        <v>0</v>
      </c>
      <c r="AC66" s="96">
        <f ca="1">SUMPRODUCT((Portfolio!$L19=AC$4)*(Portfolio!$L21))</f>
        <v>0</v>
      </c>
      <c r="AD66" s="96">
        <f ca="1">SUMPRODUCT((Portfolio!$L19=AD$4)*(Portfolio!$L21))</f>
        <v>0</v>
      </c>
      <c r="AE66" s="97">
        <f ca="1">SUMPRODUCT((Portfolio!$L19=AE$4)*(Portfolio!$L21))</f>
        <v>0</v>
      </c>
      <c r="AF66" s="96">
        <f ca="1">SUMPRODUCT((Portfolio!$L19=AF$4)*(Portfolio!$L21))</f>
        <v>0</v>
      </c>
      <c r="AG66" s="96">
        <f ca="1">SUMPRODUCT((Portfolio!$L19=AG$4)*(Portfolio!$L21))</f>
        <v>0</v>
      </c>
      <c r="AH66" s="96">
        <f ca="1">SUMPRODUCT((Portfolio!$L19=AH$4)*(Portfolio!$L21))</f>
        <v>0</v>
      </c>
      <c r="AI66" s="97">
        <f ca="1">SUMPRODUCT((Portfolio!$L19=AI$4)*(Portfolio!$L21))</f>
        <v>0</v>
      </c>
      <c r="AJ66" s="96">
        <f ca="1">SUMPRODUCT((Portfolio!$L19=AJ$4)*(Portfolio!$L21))</f>
        <v>0</v>
      </c>
      <c r="AK66" s="96">
        <f ca="1">SUMPRODUCT((Portfolio!$L19=AK$4)*(Portfolio!$L21))</f>
        <v>0</v>
      </c>
      <c r="AL66" s="96">
        <f ca="1">SUMPRODUCT((Portfolio!$L19=AL$4)*(Portfolio!$L21))</f>
        <v>0</v>
      </c>
      <c r="AM66" s="97">
        <f ca="1">SUMPRODUCT((Portfolio!$L19=AM$4)*(Portfolio!$L21))</f>
        <v>0</v>
      </c>
      <c r="AN66" s="96">
        <f ca="1">SUMPRODUCT((Portfolio!$L19=AN$4)*(Portfolio!$L21))</f>
        <v>0</v>
      </c>
      <c r="AO66" s="96">
        <f ca="1">SUMPRODUCT((Portfolio!$L19=AO$4)*(Portfolio!$L21))</f>
        <v>0</v>
      </c>
      <c r="AP66" s="96">
        <f ca="1">SUMPRODUCT((Portfolio!$L19=AP$4)*(Portfolio!$L21))</f>
        <v>0</v>
      </c>
      <c r="AQ66" s="97">
        <f ca="1">SUMPRODUCT((Portfolio!$L19=AQ$4)*(Portfolio!$L21))</f>
        <v>0</v>
      </c>
      <c r="AR66" s="96">
        <f ca="1">SUMPRODUCT((Portfolio!$L19=AR$4)*(Portfolio!$L21))</f>
        <v>0</v>
      </c>
      <c r="AS66" s="96">
        <f ca="1">SUMPRODUCT((Portfolio!$L19=AS$4)*(Portfolio!$L21))</f>
        <v>0</v>
      </c>
      <c r="AT66" s="96">
        <f ca="1">SUMPRODUCT((Portfolio!$L19=AT$4)*(Portfolio!$L21))</f>
        <v>0</v>
      </c>
      <c r="AU66" s="97">
        <f ca="1">SUMPRODUCT((Portfolio!$L19=AU$4)*(Portfolio!$L21))</f>
        <v>0</v>
      </c>
      <c r="AV66" s="96"/>
      <c r="AW66" s="96"/>
      <c r="AX66" s="96"/>
      <c r="AY66" s="99"/>
    </row>
    <row r="67" spans="1:51" ht="15.75" hidden="1" customHeight="1" outlineLevel="1" x14ac:dyDescent="0.2">
      <c r="A67" s="83"/>
      <c r="B67" s="92">
        <f>IF(Portfolio!C22&lt;&gt;"",Portfolio!C22,"")</f>
        <v>6</v>
      </c>
      <c r="C67" s="93" t="str">
        <f>IF(Portfolio!D22&lt;&gt;"",Portfolio!D22,"")</f>
        <v>Company 6</v>
      </c>
      <c r="D67" s="94">
        <f ca="1">SUMPRODUCT((Portfolio!$L22=D$4)*(Portfolio!$L24))</f>
        <v>0</v>
      </c>
      <c r="E67" s="94">
        <f ca="1">SUMPRODUCT((Portfolio!$L22=E$4)*(Portfolio!$L24))</f>
        <v>0</v>
      </c>
      <c r="F67" s="96">
        <f ca="1">SUMPRODUCT((Portfolio!$L22=F$4)*(Portfolio!$L24))</f>
        <v>0</v>
      </c>
      <c r="G67" s="97">
        <f ca="1">SUMPRODUCT((Portfolio!$L22=G$4)*(Portfolio!$L24))</f>
        <v>0</v>
      </c>
      <c r="H67" s="94">
        <f ca="1">SUMPRODUCT((Portfolio!$L22=H$4)*(Portfolio!$L24))</f>
        <v>0</v>
      </c>
      <c r="I67" s="94">
        <f ca="1">SUMPRODUCT((Portfolio!$L22=I$4)*(Portfolio!$L24))</f>
        <v>0</v>
      </c>
      <c r="J67" s="96">
        <f ca="1">SUMPRODUCT((Portfolio!$L22=J$4)*(Portfolio!$L24))</f>
        <v>0</v>
      </c>
      <c r="K67" s="97">
        <f ca="1">SUMPRODUCT((Portfolio!$L22=K$4)*(Portfolio!$L24))</f>
        <v>0</v>
      </c>
      <c r="L67" s="96">
        <f ca="1">SUMPRODUCT((Portfolio!$L22=L$4)*(Portfolio!$L24))</f>
        <v>0</v>
      </c>
      <c r="M67" s="96">
        <f ca="1">SUMPRODUCT((Portfolio!$L22=M$4)*(Portfolio!$L24))</f>
        <v>0</v>
      </c>
      <c r="N67" s="96">
        <f ca="1">SUMPRODUCT((Portfolio!$L22=N$4)*(Portfolio!$L24))</f>
        <v>0</v>
      </c>
      <c r="O67" s="97">
        <f ca="1">SUMPRODUCT((Portfolio!$L22=O$4)*(Portfolio!$L24))</f>
        <v>0</v>
      </c>
      <c r="P67" s="96">
        <f ca="1">SUMPRODUCT((Portfolio!$L22=P$4)*(Portfolio!$L24))</f>
        <v>0</v>
      </c>
      <c r="Q67" s="96">
        <f ca="1">SUMPRODUCT((Portfolio!$L22=Q$4)*(Portfolio!$L24))</f>
        <v>0</v>
      </c>
      <c r="R67" s="96">
        <f ca="1">SUMPRODUCT((Portfolio!$L22=R$4)*(Portfolio!$L24))</f>
        <v>0</v>
      </c>
      <c r="S67" s="97">
        <f ca="1">SUMPRODUCT((Portfolio!$L22=S$4)*(Portfolio!$L24))</f>
        <v>0</v>
      </c>
      <c r="T67" s="96">
        <f ca="1">SUMPRODUCT((Portfolio!$L22=T$4)*(Portfolio!$L24))</f>
        <v>0</v>
      </c>
      <c r="U67" s="96">
        <f ca="1">SUMPRODUCT((Portfolio!$L22=U$4)*(Portfolio!$L24))</f>
        <v>0</v>
      </c>
      <c r="V67" s="96">
        <f ca="1">SUMPRODUCT((Portfolio!$L22=V$4)*(Portfolio!$L24))</f>
        <v>0</v>
      </c>
      <c r="W67" s="97">
        <f ca="1">SUMPRODUCT((Portfolio!$L22=W$4)*(Portfolio!$L24))</f>
        <v>0</v>
      </c>
      <c r="X67" s="96">
        <f ca="1">SUMPRODUCT((Portfolio!$L22=X$4)*(Portfolio!$L24))</f>
        <v>0</v>
      </c>
      <c r="Y67" s="96">
        <f ca="1">SUMPRODUCT((Portfolio!$L22=Y$4)*(Portfolio!$L24))</f>
        <v>0</v>
      </c>
      <c r="Z67" s="96">
        <f ca="1">SUMPRODUCT((Portfolio!$L22=Z$4)*(Portfolio!$L24))</f>
        <v>0</v>
      </c>
      <c r="AA67" s="97">
        <f ca="1">SUMPRODUCT((Portfolio!$L22=AA$4)*(Portfolio!$L24))</f>
        <v>0</v>
      </c>
      <c r="AB67" s="96">
        <f ca="1">SUMPRODUCT((Portfolio!$L22=AB$4)*(Portfolio!$L24))</f>
        <v>0</v>
      </c>
      <c r="AC67" s="96">
        <f ca="1">SUMPRODUCT((Portfolio!$L22=AC$4)*(Portfolio!$L24))</f>
        <v>0</v>
      </c>
      <c r="AD67" s="96">
        <f ca="1">SUMPRODUCT((Portfolio!$L22=AD$4)*(Portfolio!$L24))</f>
        <v>0</v>
      </c>
      <c r="AE67" s="97">
        <f ca="1">SUMPRODUCT((Portfolio!$L22=AE$4)*(Portfolio!$L24))</f>
        <v>0</v>
      </c>
      <c r="AF67" s="96">
        <f ca="1">SUMPRODUCT((Portfolio!$L22=AF$4)*(Portfolio!$L24))</f>
        <v>0</v>
      </c>
      <c r="AG67" s="96">
        <f ca="1">SUMPRODUCT((Portfolio!$L22=AG$4)*(Portfolio!$L24))</f>
        <v>0</v>
      </c>
      <c r="AH67" s="96">
        <f ca="1">SUMPRODUCT((Portfolio!$L22=AH$4)*(Portfolio!$L24))</f>
        <v>0</v>
      </c>
      <c r="AI67" s="97">
        <f ca="1">SUMPRODUCT((Portfolio!$L22=AI$4)*(Portfolio!$L24))</f>
        <v>0</v>
      </c>
      <c r="AJ67" s="96">
        <f ca="1">SUMPRODUCT((Portfolio!$L22=AJ$4)*(Portfolio!$L24))</f>
        <v>0</v>
      </c>
      <c r="AK67" s="96">
        <f ca="1">SUMPRODUCT((Portfolio!$L22=AK$4)*(Portfolio!$L24))</f>
        <v>0</v>
      </c>
      <c r="AL67" s="96">
        <f ca="1">SUMPRODUCT((Portfolio!$L22=AL$4)*(Portfolio!$L24))</f>
        <v>0</v>
      </c>
      <c r="AM67" s="97">
        <f ca="1">SUMPRODUCT((Portfolio!$L22=AM$4)*(Portfolio!$L24))</f>
        <v>0</v>
      </c>
      <c r="AN67" s="96">
        <f ca="1">SUMPRODUCT((Portfolio!$L22=AN$4)*(Portfolio!$L24))</f>
        <v>0</v>
      </c>
      <c r="AO67" s="96">
        <f ca="1">SUMPRODUCT((Portfolio!$L22=AO$4)*(Portfolio!$L24))</f>
        <v>0</v>
      </c>
      <c r="AP67" s="96">
        <f ca="1">SUMPRODUCT((Portfolio!$L22=AP$4)*(Portfolio!$L24))</f>
        <v>0</v>
      </c>
      <c r="AQ67" s="97">
        <f ca="1">SUMPRODUCT((Portfolio!$L22=AQ$4)*(Portfolio!$L24))</f>
        <v>0</v>
      </c>
      <c r="AR67" s="96">
        <f ca="1">SUMPRODUCT((Portfolio!$L22=AR$4)*(Portfolio!$L24))</f>
        <v>0</v>
      </c>
      <c r="AS67" s="96">
        <f ca="1">SUMPRODUCT((Portfolio!$L22=AS$4)*(Portfolio!$L24))</f>
        <v>0</v>
      </c>
      <c r="AT67" s="96">
        <f ca="1">SUMPRODUCT((Portfolio!$L22=AT$4)*(Portfolio!$L24))</f>
        <v>0</v>
      </c>
      <c r="AU67" s="97">
        <f ca="1">SUMPRODUCT((Portfolio!$L22=AU$4)*(Portfolio!$L24))</f>
        <v>0</v>
      </c>
      <c r="AV67" s="96"/>
      <c r="AW67" s="96"/>
      <c r="AX67" s="96"/>
      <c r="AY67" s="99"/>
    </row>
    <row r="68" spans="1:51" ht="15.75" hidden="1" customHeight="1" outlineLevel="1" x14ac:dyDescent="0.2">
      <c r="A68" s="83"/>
      <c r="B68" s="92">
        <f>IF(Portfolio!C25&lt;&gt;"",Portfolio!C25,"")</f>
        <v>7</v>
      </c>
      <c r="C68" s="93" t="str">
        <f>IF(Portfolio!D25&lt;&gt;"",Portfolio!D25,"")</f>
        <v>Company 7</v>
      </c>
      <c r="D68" s="94">
        <f ca="1">SUMPRODUCT((Portfolio!$L25=D$4)*(Portfolio!$L27))</f>
        <v>0</v>
      </c>
      <c r="E68" s="94">
        <f ca="1">SUMPRODUCT((Portfolio!$L25=E$4)*(Portfolio!$L27))</f>
        <v>0</v>
      </c>
      <c r="F68" s="96">
        <f ca="1">SUMPRODUCT((Portfolio!$L25=F$4)*(Portfolio!$L27))</f>
        <v>0</v>
      </c>
      <c r="G68" s="97">
        <f ca="1">SUMPRODUCT((Portfolio!$L25=G$4)*(Portfolio!$L27))</f>
        <v>0</v>
      </c>
      <c r="H68" s="94">
        <f ca="1">SUMPRODUCT((Portfolio!$L25=H$4)*(Portfolio!$L27))</f>
        <v>0</v>
      </c>
      <c r="I68" s="94">
        <f ca="1">SUMPRODUCT((Portfolio!$L25=I$4)*(Portfolio!$L27))</f>
        <v>0</v>
      </c>
      <c r="J68" s="96">
        <f ca="1">SUMPRODUCT((Portfolio!$L25=J$4)*(Portfolio!$L27))</f>
        <v>0</v>
      </c>
      <c r="K68" s="97">
        <f ca="1">SUMPRODUCT((Portfolio!$L25=K$4)*(Portfolio!$L27))</f>
        <v>0</v>
      </c>
      <c r="L68" s="96">
        <f ca="1">SUMPRODUCT((Portfolio!$L25=L$4)*(Portfolio!$L27))</f>
        <v>0</v>
      </c>
      <c r="M68" s="96">
        <f ca="1">SUMPRODUCT((Portfolio!$L25=M$4)*(Portfolio!$L27))</f>
        <v>0</v>
      </c>
      <c r="N68" s="96">
        <f ca="1">SUMPRODUCT((Portfolio!$L25=N$4)*(Portfolio!$L27))</f>
        <v>0</v>
      </c>
      <c r="O68" s="97">
        <f ca="1">SUMPRODUCT((Portfolio!$L25=O$4)*(Portfolio!$L27))</f>
        <v>0</v>
      </c>
      <c r="P68" s="96">
        <f ca="1">SUMPRODUCT((Portfolio!$L25=P$4)*(Portfolio!$L27))</f>
        <v>0</v>
      </c>
      <c r="Q68" s="96">
        <f ca="1">SUMPRODUCT((Portfolio!$L25=Q$4)*(Portfolio!$L27))</f>
        <v>0</v>
      </c>
      <c r="R68" s="96">
        <f ca="1">SUMPRODUCT((Portfolio!$L25=R$4)*(Portfolio!$L27))</f>
        <v>0</v>
      </c>
      <c r="S68" s="97">
        <f ca="1">SUMPRODUCT((Portfolio!$L25=S$4)*(Portfolio!$L27))</f>
        <v>0</v>
      </c>
      <c r="T68" s="96">
        <f ca="1">SUMPRODUCT((Portfolio!$L25=T$4)*(Portfolio!$L27))</f>
        <v>0</v>
      </c>
      <c r="U68" s="96">
        <f ca="1">SUMPRODUCT((Portfolio!$L25=U$4)*(Portfolio!$L27))</f>
        <v>0</v>
      </c>
      <c r="V68" s="96">
        <f ca="1">SUMPRODUCT((Portfolio!$L25=V$4)*(Portfolio!$L27))</f>
        <v>0</v>
      </c>
      <c r="W68" s="97">
        <f ca="1">SUMPRODUCT((Portfolio!$L25=W$4)*(Portfolio!$L27))</f>
        <v>0</v>
      </c>
      <c r="X68" s="96">
        <f ca="1">SUMPRODUCT((Portfolio!$L25=X$4)*(Portfolio!$L27))</f>
        <v>0</v>
      </c>
      <c r="Y68" s="96">
        <f ca="1">SUMPRODUCT((Portfolio!$L25=Y$4)*(Portfolio!$L27))</f>
        <v>0</v>
      </c>
      <c r="Z68" s="96">
        <f ca="1">SUMPRODUCT((Portfolio!$L25=Z$4)*(Portfolio!$L27))</f>
        <v>0</v>
      </c>
      <c r="AA68" s="97">
        <f ca="1">SUMPRODUCT((Portfolio!$L25=AA$4)*(Portfolio!$L27))</f>
        <v>0</v>
      </c>
      <c r="AB68" s="96">
        <f ca="1">SUMPRODUCT((Portfolio!$L25=AB$4)*(Portfolio!$L27))</f>
        <v>0</v>
      </c>
      <c r="AC68" s="96">
        <f ca="1">SUMPRODUCT((Portfolio!$L25=AC$4)*(Portfolio!$L27))</f>
        <v>0</v>
      </c>
      <c r="AD68" s="96">
        <f ca="1">SUMPRODUCT((Portfolio!$L25=AD$4)*(Portfolio!$L27))</f>
        <v>0</v>
      </c>
      <c r="AE68" s="97">
        <f ca="1">SUMPRODUCT((Portfolio!$L25=AE$4)*(Portfolio!$L27))</f>
        <v>0</v>
      </c>
      <c r="AF68" s="96">
        <f ca="1">SUMPRODUCT((Portfolio!$L25=AF$4)*(Portfolio!$L27))</f>
        <v>0</v>
      </c>
      <c r="AG68" s="96">
        <f ca="1">SUMPRODUCT((Portfolio!$L25=AG$4)*(Portfolio!$L27))</f>
        <v>0</v>
      </c>
      <c r="AH68" s="96">
        <f ca="1">SUMPRODUCT((Portfolio!$L25=AH$4)*(Portfolio!$L27))</f>
        <v>0</v>
      </c>
      <c r="AI68" s="97">
        <f ca="1">SUMPRODUCT((Portfolio!$L25=AI$4)*(Portfolio!$L27))</f>
        <v>0</v>
      </c>
      <c r="AJ68" s="96">
        <f ca="1">SUMPRODUCT((Portfolio!$L25=AJ$4)*(Portfolio!$L27))</f>
        <v>0</v>
      </c>
      <c r="AK68" s="96">
        <f ca="1">SUMPRODUCT((Portfolio!$L25=AK$4)*(Portfolio!$L27))</f>
        <v>0</v>
      </c>
      <c r="AL68" s="96">
        <f ca="1">SUMPRODUCT((Portfolio!$L25=AL$4)*(Portfolio!$L27))</f>
        <v>0</v>
      </c>
      <c r="AM68" s="97">
        <f ca="1">SUMPRODUCT((Portfolio!$L25=AM$4)*(Portfolio!$L27))</f>
        <v>0</v>
      </c>
      <c r="AN68" s="96">
        <f ca="1">SUMPRODUCT((Portfolio!$L25=AN$4)*(Portfolio!$L27))</f>
        <v>0</v>
      </c>
      <c r="AO68" s="96">
        <f ca="1">SUMPRODUCT((Portfolio!$L25=AO$4)*(Portfolio!$L27))</f>
        <v>0</v>
      </c>
      <c r="AP68" s="96">
        <f ca="1">SUMPRODUCT((Portfolio!$L25=AP$4)*(Portfolio!$L27))</f>
        <v>0</v>
      </c>
      <c r="AQ68" s="97">
        <f ca="1">SUMPRODUCT((Portfolio!$L25=AQ$4)*(Portfolio!$L27))</f>
        <v>0</v>
      </c>
      <c r="AR68" s="96">
        <f ca="1">SUMPRODUCT((Portfolio!$L25=AR$4)*(Portfolio!$L27))</f>
        <v>0</v>
      </c>
      <c r="AS68" s="96">
        <f ca="1">SUMPRODUCT((Portfolio!$L25=AS$4)*(Portfolio!$L27))</f>
        <v>0</v>
      </c>
      <c r="AT68" s="96">
        <f ca="1">SUMPRODUCT((Portfolio!$L25=AT$4)*(Portfolio!$L27))</f>
        <v>0</v>
      </c>
      <c r="AU68" s="97">
        <f ca="1">SUMPRODUCT((Portfolio!$L25=AU$4)*(Portfolio!$L27))</f>
        <v>0</v>
      </c>
      <c r="AV68" s="96"/>
      <c r="AW68" s="96"/>
      <c r="AX68" s="96"/>
      <c r="AY68" s="99"/>
    </row>
    <row r="69" spans="1:51" ht="15.75" hidden="1" customHeight="1" outlineLevel="1" x14ac:dyDescent="0.2">
      <c r="A69" s="83"/>
      <c r="B69" s="92">
        <f>IF(Portfolio!C28&lt;&gt;"",Portfolio!C28,"")</f>
        <v>8</v>
      </c>
      <c r="C69" s="93" t="str">
        <f>IF(Portfolio!D28&lt;&gt;"",Portfolio!D28,"")</f>
        <v>Company 8</v>
      </c>
      <c r="D69" s="94">
        <f ca="1">SUMPRODUCT((Portfolio!$L28=D$4)*(Portfolio!$L30))</f>
        <v>0</v>
      </c>
      <c r="E69" s="94">
        <f ca="1">SUMPRODUCT((Portfolio!$L28=E$4)*(Portfolio!$L30))</f>
        <v>0</v>
      </c>
      <c r="F69" s="96">
        <f ca="1">SUMPRODUCT((Portfolio!$L28=F$4)*(Portfolio!$L30))</f>
        <v>0</v>
      </c>
      <c r="G69" s="97">
        <f ca="1">SUMPRODUCT((Portfolio!$L28=G$4)*(Portfolio!$L30))</f>
        <v>0</v>
      </c>
      <c r="H69" s="94">
        <f ca="1">SUMPRODUCT((Portfolio!$L28=H$4)*(Portfolio!$L30))</f>
        <v>0</v>
      </c>
      <c r="I69" s="94">
        <f ca="1">SUMPRODUCT((Portfolio!$L28=I$4)*(Portfolio!$L30))</f>
        <v>0</v>
      </c>
      <c r="J69" s="96">
        <f ca="1">SUMPRODUCT((Portfolio!$L28=J$4)*(Portfolio!$L30))</f>
        <v>0</v>
      </c>
      <c r="K69" s="97">
        <f ca="1">SUMPRODUCT((Portfolio!$L28=K$4)*(Portfolio!$L30))</f>
        <v>0</v>
      </c>
      <c r="L69" s="96">
        <f ca="1">SUMPRODUCT((Portfolio!$L28=L$4)*(Portfolio!$L30))</f>
        <v>0</v>
      </c>
      <c r="M69" s="96">
        <f ca="1">SUMPRODUCT((Portfolio!$L28=M$4)*(Portfolio!$L30))</f>
        <v>0</v>
      </c>
      <c r="N69" s="96">
        <f ca="1">SUMPRODUCT((Portfolio!$L28=N$4)*(Portfolio!$L30))</f>
        <v>0</v>
      </c>
      <c r="O69" s="97">
        <f ca="1">SUMPRODUCT((Portfolio!$L28=O$4)*(Portfolio!$L30))</f>
        <v>0</v>
      </c>
      <c r="P69" s="96">
        <f ca="1">SUMPRODUCT((Portfolio!$L28=P$4)*(Portfolio!$L30))</f>
        <v>0</v>
      </c>
      <c r="Q69" s="96">
        <f ca="1">SUMPRODUCT((Portfolio!$L28=Q$4)*(Portfolio!$L30))</f>
        <v>0</v>
      </c>
      <c r="R69" s="96">
        <f ca="1">SUMPRODUCT((Portfolio!$L28=R$4)*(Portfolio!$L30))</f>
        <v>0</v>
      </c>
      <c r="S69" s="97">
        <f ca="1">SUMPRODUCT((Portfolio!$L28=S$4)*(Portfolio!$L30))</f>
        <v>0</v>
      </c>
      <c r="T69" s="96">
        <f ca="1">SUMPRODUCT((Portfolio!$L28=T$4)*(Portfolio!$L30))</f>
        <v>0</v>
      </c>
      <c r="U69" s="96">
        <f ca="1">SUMPRODUCT((Portfolio!$L28=U$4)*(Portfolio!$L30))</f>
        <v>0</v>
      </c>
      <c r="V69" s="96">
        <f ca="1">SUMPRODUCT((Portfolio!$L28=V$4)*(Portfolio!$L30))</f>
        <v>0</v>
      </c>
      <c r="W69" s="97">
        <f ca="1">SUMPRODUCT((Portfolio!$L28=W$4)*(Portfolio!$L30))</f>
        <v>0</v>
      </c>
      <c r="X69" s="96">
        <f ca="1">SUMPRODUCT((Portfolio!$L28=X$4)*(Portfolio!$L30))</f>
        <v>0</v>
      </c>
      <c r="Y69" s="96">
        <f ca="1">SUMPRODUCT((Portfolio!$L28=Y$4)*(Portfolio!$L30))</f>
        <v>0</v>
      </c>
      <c r="Z69" s="96">
        <f ca="1">SUMPRODUCT((Portfolio!$L28=Z$4)*(Portfolio!$L30))</f>
        <v>0</v>
      </c>
      <c r="AA69" s="97">
        <f ca="1">SUMPRODUCT((Portfolio!$L28=AA$4)*(Portfolio!$L30))</f>
        <v>0</v>
      </c>
      <c r="AB69" s="96">
        <f ca="1">SUMPRODUCT((Portfolio!$L28=AB$4)*(Portfolio!$L30))</f>
        <v>0</v>
      </c>
      <c r="AC69" s="96">
        <f ca="1">SUMPRODUCT((Portfolio!$L28=AC$4)*(Portfolio!$L30))</f>
        <v>0</v>
      </c>
      <c r="AD69" s="96">
        <f ca="1">SUMPRODUCT((Portfolio!$L28=AD$4)*(Portfolio!$L30))</f>
        <v>0</v>
      </c>
      <c r="AE69" s="97">
        <f ca="1">SUMPRODUCT((Portfolio!$L28=AE$4)*(Portfolio!$L30))</f>
        <v>0</v>
      </c>
      <c r="AF69" s="96">
        <f ca="1">SUMPRODUCT((Portfolio!$L28=AF$4)*(Portfolio!$L30))</f>
        <v>0</v>
      </c>
      <c r="AG69" s="96">
        <f ca="1">SUMPRODUCT((Portfolio!$L28=AG$4)*(Portfolio!$L30))</f>
        <v>0</v>
      </c>
      <c r="AH69" s="96">
        <f ca="1">SUMPRODUCT((Portfolio!$L28=AH$4)*(Portfolio!$L30))</f>
        <v>0</v>
      </c>
      <c r="AI69" s="97">
        <f ca="1">SUMPRODUCT((Portfolio!$L28=AI$4)*(Portfolio!$L30))</f>
        <v>0</v>
      </c>
      <c r="AJ69" s="96">
        <f ca="1">SUMPRODUCT((Portfolio!$L28=AJ$4)*(Portfolio!$L30))</f>
        <v>0</v>
      </c>
      <c r="AK69" s="96">
        <f ca="1">SUMPRODUCT((Portfolio!$L28=AK$4)*(Portfolio!$L30))</f>
        <v>0</v>
      </c>
      <c r="AL69" s="96">
        <f ca="1">SUMPRODUCT((Portfolio!$L28=AL$4)*(Portfolio!$L30))</f>
        <v>0</v>
      </c>
      <c r="AM69" s="97">
        <f ca="1">SUMPRODUCT((Portfolio!$L28=AM$4)*(Portfolio!$L30))</f>
        <v>0</v>
      </c>
      <c r="AN69" s="96">
        <f ca="1">SUMPRODUCT((Portfolio!$L28=AN$4)*(Portfolio!$L30))</f>
        <v>0</v>
      </c>
      <c r="AO69" s="96">
        <f ca="1">SUMPRODUCT((Portfolio!$L28=AO$4)*(Portfolio!$L30))</f>
        <v>0</v>
      </c>
      <c r="AP69" s="96">
        <f ca="1">SUMPRODUCT((Portfolio!$L28=AP$4)*(Portfolio!$L30))</f>
        <v>0</v>
      </c>
      <c r="AQ69" s="97">
        <f ca="1">SUMPRODUCT((Portfolio!$L28=AQ$4)*(Portfolio!$L30))</f>
        <v>0</v>
      </c>
      <c r="AR69" s="96">
        <f ca="1">SUMPRODUCT((Portfolio!$L28=AR$4)*(Portfolio!$L30))</f>
        <v>0</v>
      </c>
      <c r="AS69" s="96">
        <f ca="1">SUMPRODUCT((Portfolio!$L28=AS$4)*(Portfolio!$L30))</f>
        <v>0</v>
      </c>
      <c r="AT69" s="96">
        <f ca="1">SUMPRODUCT((Portfolio!$L28=AT$4)*(Portfolio!$L30))</f>
        <v>0</v>
      </c>
      <c r="AU69" s="97">
        <f ca="1">SUMPRODUCT((Portfolio!$L28=AU$4)*(Portfolio!$L30))</f>
        <v>0</v>
      </c>
      <c r="AV69" s="96"/>
      <c r="AW69" s="96"/>
      <c r="AX69" s="96"/>
      <c r="AY69" s="99"/>
    </row>
    <row r="70" spans="1:51" ht="15.75" hidden="1" customHeight="1" outlineLevel="1" x14ac:dyDescent="0.2">
      <c r="A70" s="83"/>
      <c r="B70" s="92">
        <f>IF(Portfolio!C31&lt;&gt;"",Portfolio!C31,"")</f>
        <v>9</v>
      </c>
      <c r="C70" s="93" t="str">
        <f>IF(Portfolio!D31&lt;&gt;"",Portfolio!D31,"")</f>
        <v>Company 9</v>
      </c>
      <c r="D70" s="94">
        <f ca="1">SUMPRODUCT((Portfolio!$L31=D$4)*(Portfolio!$L33))</f>
        <v>0</v>
      </c>
      <c r="E70" s="94">
        <f ca="1">SUMPRODUCT((Portfolio!$L31=E$4)*(Portfolio!$L33))</f>
        <v>0</v>
      </c>
      <c r="F70" s="96">
        <f ca="1">SUMPRODUCT((Portfolio!$L31=F$4)*(Portfolio!$L33))</f>
        <v>0</v>
      </c>
      <c r="G70" s="97">
        <f ca="1">SUMPRODUCT((Portfolio!$L31=G$4)*(Portfolio!$L33))</f>
        <v>0</v>
      </c>
      <c r="H70" s="94">
        <f ca="1">SUMPRODUCT((Portfolio!$L31=H$4)*(Portfolio!$L33))</f>
        <v>0</v>
      </c>
      <c r="I70" s="94">
        <f ca="1">SUMPRODUCT((Portfolio!$L31=I$4)*(Portfolio!$L33))</f>
        <v>0</v>
      </c>
      <c r="J70" s="96">
        <f ca="1">SUMPRODUCT((Portfolio!$L31=J$4)*(Portfolio!$L33))</f>
        <v>0</v>
      </c>
      <c r="K70" s="97">
        <f ca="1">SUMPRODUCT((Portfolio!$L31=K$4)*(Portfolio!$L33))</f>
        <v>0</v>
      </c>
      <c r="L70" s="96">
        <f ca="1">SUMPRODUCT((Portfolio!$L31=L$4)*(Portfolio!$L33))</f>
        <v>0</v>
      </c>
      <c r="M70" s="96">
        <f ca="1">SUMPRODUCT((Portfolio!$L31=M$4)*(Portfolio!$L33))</f>
        <v>0</v>
      </c>
      <c r="N70" s="96">
        <f ca="1">SUMPRODUCT((Portfolio!$L31=N$4)*(Portfolio!$L33))</f>
        <v>0</v>
      </c>
      <c r="O70" s="97">
        <f ca="1">SUMPRODUCT((Portfolio!$L31=O$4)*(Portfolio!$L33))</f>
        <v>0</v>
      </c>
      <c r="P70" s="96">
        <f ca="1">SUMPRODUCT((Portfolio!$L31=P$4)*(Portfolio!$L33))</f>
        <v>0</v>
      </c>
      <c r="Q70" s="96">
        <f ca="1">SUMPRODUCT((Portfolio!$L31=Q$4)*(Portfolio!$L33))</f>
        <v>0</v>
      </c>
      <c r="R70" s="96">
        <f ca="1">SUMPRODUCT((Portfolio!$L31=R$4)*(Portfolio!$L33))</f>
        <v>0</v>
      </c>
      <c r="S70" s="97">
        <f ca="1">SUMPRODUCT((Portfolio!$L31=S$4)*(Portfolio!$L33))</f>
        <v>0</v>
      </c>
      <c r="T70" s="96">
        <f ca="1">SUMPRODUCT((Portfolio!$L31=T$4)*(Portfolio!$L33))</f>
        <v>0</v>
      </c>
      <c r="U70" s="96">
        <f ca="1">SUMPRODUCT((Portfolio!$L31=U$4)*(Portfolio!$L33))</f>
        <v>0</v>
      </c>
      <c r="V70" s="96">
        <f ca="1">SUMPRODUCT((Portfolio!$L31=V$4)*(Portfolio!$L33))</f>
        <v>0</v>
      </c>
      <c r="W70" s="97">
        <f ca="1">SUMPRODUCT((Portfolio!$L31=W$4)*(Portfolio!$L33))</f>
        <v>0</v>
      </c>
      <c r="X70" s="96">
        <f ca="1">SUMPRODUCT((Portfolio!$L31=X$4)*(Portfolio!$L33))</f>
        <v>0</v>
      </c>
      <c r="Y70" s="96">
        <f ca="1">SUMPRODUCT((Portfolio!$L31=Y$4)*(Portfolio!$L33))</f>
        <v>0</v>
      </c>
      <c r="Z70" s="96">
        <f ca="1">SUMPRODUCT((Portfolio!$L31=Z$4)*(Portfolio!$L33))</f>
        <v>0</v>
      </c>
      <c r="AA70" s="97">
        <f ca="1">SUMPRODUCT((Portfolio!$L31=AA$4)*(Portfolio!$L33))</f>
        <v>0</v>
      </c>
      <c r="AB70" s="96">
        <f ca="1">SUMPRODUCT((Portfolio!$L31=AB$4)*(Portfolio!$L33))</f>
        <v>0</v>
      </c>
      <c r="AC70" s="96">
        <f ca="1">SUMPRODUCT((Portfolio!$L31=AC$4)*(Portfolio!$L33))</f>
        <v>0</v>
      </c>
      <c r="AD70" s="96">
        <f ca="1">SUMPRODUCT((Portfolio!$L31=AD$4)*(Portfolio!$L33))</f>
        <v>0</v>
      </c>
      <c r="AE70" s="97">
        <f ca="1">SUMPRODUCT((Portfolio!$L31=AE$4)*(Portfolio!$L33))</f>
        <v>0</v>
      </c>
      <c r="AF70" s="96">
        <f ca="1">SUMPRODUCT((Portfolio!$L31=AF$4)*(Portfolio!$L33))</f>
        <v>0</v>
      </c>
      <c r="AG70" s="96">
        <f ca="1">SUMPRODUCT((Portfolio!$L31=AG$4)*(Portfolio!$L33))</f>
        <v>0</v>
      </c>
      <c r="AH70" s="96">
        <f ca="1">SUMPRODUCT((Portfolio!$L31=AH$4)*(Portfolio!$L33))</f>
        <v>0</v>
      </c>
      <c r="AI70" s="97">
        <f ca="1">SUMPRODUCT((Portfolio!$L31=AI$4)*(Portfolio!$L33))</f>
        <v>0</v>
      </c>
      <c r="AJ70" s="96">
        <f ca="1">SUMPRODUCT((Portfolio!$L31=AJ$4)*(Portfolio!$L33))</f>
        <v>0</v>
      </c>
      <c r="AK70" s="96">
        <f ca="1">SUMPRODUCT((Portfolio!$L31=AK$4)*(Portfolio!$L33))</f>
        <v>0</v>
      </c>
      <c r="AL70" s="96">
        <f ca="1">SUMPRODUCT((Portfolio!$L31=AL$4)*(Portfolio!$L33))</f>
        <v>0</v>
      </c>
      <c r="AM70" s="97">
        <f ca="1">SUMPRODUCT((Portfolio!$L31=AM$4)*(Portfolio!$L33))</f>
        <v>0</v>
      </c>
      <c r="AN70" s="96">
        <f ca="1">SUMPRODUCT((Portfolio!$L31=AN$4)*(Portfolio!$L33))</f>
        <v>0</v>
      </c>
      <c r="AO70" s="96">
        <f ca="1">SUMPRODUCT((Portfolio!$L31=AO$4)*(Portfolio!$L33))</f>
        <v>0</v>
      </c>
      <c r="AP70" s="96">
        <f ca="1">SUMPRODUCT((Portfolio!$L31=AP$4)*(Portfolio!$L33))</f>
        <v>0</v>
      </c>
      <c r="AQ70" s="97">
        <f ca="1">SUMPRODUCT((Portfolio!$L31=AQ$4)*(Portfolio!$L33))</f>
        <v>0</v>
      </c>
      <c r="AR70" s="96">
        <f ca="1">SUMPRODUCT((Portfolio!$L31=AR$4)*(Portfolio!$L33))</f>
        <v>0</v>
      </c>
      <c r="AS70" s="96">
        <f ca="1">SUMPRODUCT((Portfolio!$L31=AS$4)*(Portfolio!$L33))</f>
        <v>0</v>
      </c>
      <c r="AT70" s="96">
        <f ca="1">SUMPRODUCT((Portfolio!$L31=AT$4)*(Portfolio!$L33))</f>
        <v>0</v>
      </c>
      <c r="AU70" s="97">
        <f ca="1">SUMPRODUCT((Portfolio!$L31=AU$4)*(Portfolio!$L33))</f>
        <v>0</v>
      </c>
      <c r="AV70" s="96"/>
      <c r="AW70" s="96"/>
      <c r="AX70" s="96"/>
      <c r="AY70" s="99"/>
    </row>
    <row r="71" spans="1:51" ht="15.75" hidden="1" customHeight="1" outlineLevel="1" x14ac:dyDescent="0.2">
      <c r="A71" s="83"/>
      <c r="B71" s="92">
        <f>IF(Portfolio!C34&lt;&gt;"",Portfolio!C34,"")</f>
        <v>10</v>
      </c>
      <c r="C71" s="93" t="str">
        <f>IF(Portfolio!D34&lt;&gt;"",Portfolio!D34,"")</f>
        <v>Company 10</v>
      </c>
      <c r="D71" s="94">
        <f ca="1">SUMPRODUCT((Portfolio!$L34=D$4)*(Portfolio!$L36))</f>
        <v>0</v>
      </c>
      <c r="E71" s="94">
        <f ca="1">SUMPRODUCT((Portfolio!$L34=E$4)*(Portfolio!$L36))</f>
        <v>0</v>
      </c>
      <c r="F71" s="96">
        <f ca="1">SUMPRODUCT((Portfolio!$L34=F$4)*(Portfolio!$L36))</f>
        <v>0</v>
      </c>
      <c r="G71" s="97">
        <f ca="1">SUMPRODUCT((Portfolio!$L34=G$4)*(Portfolio!$L36))</f>
        <v>0</v>
      </c>
      <c r="H71" s="94">
        <f ca="1">SUMPRODUCT((Portfolio!$L34=H$4)*(Portfolio!$L36))</f>
        <v>0</v>
      </c>
      <c r="I71" s="94">
        <f ca="1">SUMPRODUCT((Portfolio!$L34=I$4)*(Portfolio!$L36))</f>
        <v>0</v>
      </c>
      <c r="J71" s="96">
        <f ca="1">SUMPRODUCT((Portfolio!$L34=J$4)*(Portfolio!$L36))</f>
        <v>0</v>
      </c>
      <c r="K71" s="97">
        <f ca="1">SUMPRODUCT((Portfolio!$L34=K$4)*(Portfolio!$L36))</f>
        <v>0</v>
      </c>
      <c r="L71" s="96">
        <f ca="1">SUMPRODUCT((Portfolio!$L34=L$4)*(Portfolio!$L36))</f>
        <v>0</v>
      </c>
      <c r="M71" s="96">
        <f ca="1">SUMPRODUCT((Portfolio!$L34=M$4)*(Portfolio!$L36))</f>
        <v>0</v>
      </c>
      <c r="N71" s="96">
        <f ca="1">SUMPRODUCT((Portfolio!$L34=N$4)*(Portfolio!$L36))</f>
        <v>0</v>
      </c>
      <c r="O71" s="97">
        <f ca="1">SUMPRODUCT((Portfolio!$L34=O$4)*(Portfolio!$L36))</f>
        <v>0</v>
      </c>
      <c r="P71" s="96">
        <f ca="1">SUMPRODUCT((Portfolio!$L34=P$4)*(Portfolio!$L36))</f>
        <v>0</v>
      </c>
      <c r="Q71" s="96">
        <f ca="1">SUMPRODUCT((Portfolio!$L34=Q$4)*(Portfolio!$L36))</f>
        <v>0</v>
      </c>
      <c r="R71" s="96">
        <f ca="1">SUMPRODUCT((Portfolio!$L34=R$4)*(Portfolio!$L36))</f>
        <v>0</v>
      </c>
      <c r="S71" s="97">
        <f ca="1">SUMPRODUCT((Portfolio!$L34=S$4)*(Portfolio!$L36))</f>
        <v>0</v>
      </c>
      <c r="T71" s="96">
        <f ca="1">SUMPRODUCT((Portfolio!$L34=T$4)*(Portfolio!$L36))</f>
        <v>0</v>
      </c>
      <c r="U71" s="96">
        <f ca="1">SUMPRODUCT((Portfolio!$L34=U$4)*(Portfolio!$L36))</f>
        <v>0</v>
      </c>
      <c r="V71" s="96">
        <f ca="1">SUMPRODUCT((Portfolio!$L34=V$4)*(Portfolio!$L36))</f>
        <v>0</v>
      </c>
      <c r="W71" s="97">
        <f ca="1">SUMPRODUCT((Portfolio!$L34=W$4)*(Portfolio!$L36))</f>
        <v>0</v>
      </c>
      <c r="X71" s="96">
        <f ca="1">SUMPRODUCT((Portfolio!$L34=X$4)*(Portfolio!$L36))</f>
        <v>0</v>
      </c>
      <c r="Y71" s="96">
        <f ca="1">SUMPRODUCT((Portfolio!$L34=Y$4)*(Portfolio!$L36))</f>
        <v>0</v>
      </c>
      <c r="Z71" s="96">
        <f ca="1">SUMPRODUCT((Portfolio!$L34=Z$4)*(Portfolio!$L36))</f>
        <v>0</v>
      </c>
      <c r="AA71" s="97">
        <f ca="1">SUMPRODUCT((Portfolio!$L34=AA$4)*(Portfolio!$L36))</f>
        <v>0</v>
      </c>
      <c r="AB71" s="96">
        <f ca="1">SUMPRODUCT((Portfolio!$L34=AB$4)*(Portfolio!$L36))</f>
        <v>0</v>
      </c>
      <c r="AC71" s="96">
        <f ca="1">SUMPRODUCT((Portfolio!$L34=AC$4)*(Portfolio!$L36))</f>
        <v>0</v>
      </c>
      <c r="AD71" s="96">
        <f ca="1">SUMPRODUCT((Portfolio!$L34=AD$4)*(Portfolio!$L36))</f>
        <v>0</v>
      </c>
      <c r="AE71" s="97">
        <f ca="1">SUMPRODUCT((Portfolio!$L34=AE$4)*(Portfolio!$L36))</f>
        <v>0</v>
      </c>
      <c r="AF71" s="96">
        <f ca="1">SUMPRODUCT((Portfolio!$L34=AF$4)*(Portfolio!$L36))</f>
        <v>0</v>
      </c>
      <c r="AG71" s="96">
        <f ca="1">SUMPRODUCT((Portfolio!$L34=AG$4)*(Portfolio!$L36))</f>
        <v>0</v>
      </c>
      <c r="AH71" s="96">
        <f ca="1">SUMPRODUCT((Portfolio!$L34=AH$4)*(Portfolio!$L36))</f>
        <v>0</v>
      </c>
      <c r="AI71" s="97">
        <f ca="1">SUMPRODUCT((Portfolio!$L34=AI$4)*(Portfolio!$L36))</f>
        <v>0</v>
      </c>
      <c r="AJ71" s="96">
        <f ca="1">SUMPRODUCT((Portfolio!$L34=AJ$4)*(Portfolio!$L36))</f>
        <v>0</v>
      </c>
      <c r="AK71" s="96">
        <f ca="1">SUMPRODUCT((Portfolio!$L34=AK$4)*(Portfolio!$L36))</f>
        <v>0</v>
      </c>
      <c r="AL71" s="96">
        <f ca="1">SUMPRODUCT((Portfolio!$L34=AL$4)*(Portfolio!$L36))</f>
        <v>0</v>
      </c>
      <c r="AM71" s="97">
        <f ca="1">SUMPRODUCT((Portfolio!$L34=AM$4)*(Portfolio!$L36))</f>
        <v>0</v>
      </c>
      <c r="AN71" s="96">
        <f ca="1">SUMPRODUCT((Portfolio!$L34=AN$4)*(Portfolio!$L36))</f>
        <v>0</v>
      </c>
      <c r="AO71" s="96">
        <f ca="1">SUMPRODUCT((Portfolio!$L34=AO$4)*(Portfolio!$L36))</f>
        <v>0</v>
      </c>
      <c r="AP71" s="96">
        <f ca="1">SUMPRODUCT((Portfolio!$L34=AP$4)*(Portfolio!$L36))</f>
        <v>0</v>
      </c>
      <c r="AQ71" s="97">
        <f ca="1">SUMPRODUCT((Portfolio!$L34=AQ$4)*(Portfolio!$L36))</f>
        <v>0</v>
      </c>
      <c r="AR71" s="96">
        <f ca="1">SUMPRODUCT((Portfolio!$L34=AR$4)*(Portfolio!$L36))</f>
        <v>0</v>
      </c>
      <c r="AS71" s="96">
        <f ca="1">SUMPRODUCT((Portfolio!$L34=AS$4)*(Portfolio!$L36))</f>
        <v>0</v>
      </c>
      <c r="AT71" s="96">
        <f ca="1">SUMPRODUCT((Portfolio!$L34=AT$4)*(Portfolio!$L36))</f>
        <v>0</v>
      </c>
      <c r="AU71" s="97">
        <f ca="1">SUMPRODUCT((Portfolio!$L34=AU$4)*(Portfolio!$L36))</f>
        <v>0</v>
      </c>
      <c r="AV71" s="96"/>
      <c r="AW71" s="96"/>
      <c r="AX71" s="96"/>
      <c r="AY71" s="99"/>
    </row>
    <row r="72" spans="1:51" ht="15.75" hidden="1" customHeight="1" outlineLevel="1" x14ac:dyDescent="0.2">
      <c r="A72" s="83"/>
      <c r="B72" s="92">
        <f>IF(Portfolio!C37&lt;&gt;"",Portfolio!C37,"")</f>
        <v>11</v>
      </c>
      <c r="C72" s="93" t="str">
        <f>IF(Portfolio!D37&lt;&gt;"",Portfolio!D37,"")</f>
        <v>Company 11</v>
      </c>
      <c r="D72" s="94">
        <f ca="1">SUMPRODUCT((Portfolio!$L37=D$4)*(Portfolio!$L39))</f>
        <v>0</v>
      </c>
      <c r="E72" s="94">
        <f ca="1">SUMPRODUCT((Portfolio!$L37=E$4)*(Portfolio!$L39))</f>
        <v>0</v>
      </c>
      <c r="F72" s="96">
        <f ca="1">SUMPRODUCT((Portfolio!$L37=F$4)*(Portfolio!$L39))</f>
        <v>0</v>
      </c>
      <c r="G72" s="97">
        <f ca="1">SUMPRODUCT((Portfolio!$L37=G$4)*(Portfolio!$L39))</f>
        <v>0</v>
      </c>
      <c r="H72" s="94">
        <f ca="1">SUMPRODUCT((Portfolio!$L37=H$4)*(Portfolio!$L39))</f>
        <v>0</v>
      </c>
      <c r="I72" s="94">
        <f ca="1">SUMPRODUCT((Portfolio!$L37=I$4)*(Portfolio!$L39))</f>
        <v>0</v>
      </c>
      <c r="J72" s="96">
        <f ca="1">SUMPRODUCT((Portfolio!$L37=J$4)*(Portfolio!$L39))</f>
        <v>0</v>
      </c>
      <c r="K72" s="97">
        <f ca="1">SUMPRODUCT((Portfolio!$L37=K$4)*(Portfolio!$L39))</f>
        <v>0</v>
      </c>
      <c r="L72" s="96">
        <f ca="1">SUMPRODUCT((Portfolio!$L37=L$4)*(Portfolio!$L39))</f>
        <v>0</v>
      </c>
      <c r="M72" s="96">
        <f ca="1">SUMPRODUCT((Portfolio!$L37=M$4)*(Portfolio!$L39))</f>
        <v>0</v>
      </c>
      <c r="N72" s="96">
        <f ca="1">SUMPRODUCT((Portfolio!$L37=N$4)*(Portfolio!$L39))</f>
        <v>0</v>
      </c>
      <c r="O72" s="97">
        <f ca="1">SUMPRODUCT((Portfolio!$L37=O$4)*(Portfolio!$L39))</f>
        <v>0</v>
      </c>
      <c r="P72" s="96">
        <f ca="1">SUMPRODUCT((Portfolio!$L37=P$4)*(Portfolio!$L39))</f>
        <v>0</v>
      </c>
      <c r="Q72" s="96">
        <f ca="1">SUMPRODUCT((Portfolio!$L37=Q$4)*(Portfolio!$L39))</f>
        <v>0</v>
      </c>
      <c r="R72" s="96">
        <f ca="1">SUMPRODUCT((Portfolio!$L37=R$4)*(Portfolio!$L39))</f>
        <v>0</v>
      </c>
      <c r="S72" s="97">
        <f ca="1">SUMPRODUCT((Portfolio!$L37=S$4)*(Portfolio!$L39))</f>
        <v>0</v>
      </c>
      <c r="T72" s="96">
        <f ca="1">SUMPRODUCT((Portfolio!$L37=T$4)*(Portfolio!$L39))</f>
        <v>0</v>
      </c>
      <c r="U72" s="96">
        <f ca="1">SUMPRODUCT((Portfolio!$L37=U$4)*(Portfolio!$L39))</f>
        <v>0</v>
      </c>
      <c r="V72" s="96">
        <f ca="1">SUMPRODUCT((Portfolio!$L37=V$4)*(Portfolio!$L39))</f>
        <v>0</v>
      </c>
      <c r="W72" s="97">
        <f ca="1">SUMPRODUCT((Portfolio!$L37=W$4)*(Portfolio!$L39))</f>
        <v>0</v>
      </c>
      <c r="X72" s="96">
        <f ca="1">SUMPRODUCT((Portfolio!$L37=X$4)*(Portfolio!$L39))</f>
        <v>0</v>
      </c>
      <c r="Y72" s="96">
        <f ca="1">SUMPRODUCT((Portfolio!$L37=Y$4)*(Portfolio!$L39))</f>
        <v>0</v>
      </c>
      <c r="Z72" s="96">
        <f ca="1">SUMPRODUCT((Portfolio!$L37=Z$4)*(Portfolio!$L39))</f>
        <v>0</v>
      </c>
      <c r="AA72" s="97">
        <f ca="1">SUMPRODUCT((Portfolio!$L37=AA$4)*(Portfolio!$L39))</f>
        <v>0</v>
      </c>
      <c r="AB72" s="96">
        <f ca="1">SUMPRODUCT((Portfolio!$L37=AB$4)*(Portfolio!$L39))</f>
        <v>0</v>
      </c>
      <c r="AC72" s="96">
        <f ca="1">SUMPRODUCT((Portfolio!$L37=AC$4)*(Portfolio!$L39))</f>
        <v>0</v>
      </c>
      <c r="AD72" s="96">
        <f ca="1">SUMPRODUCT((Portfolio!$L37=AD$4)*(Portfolio!$L39))</f>
        <v>0</v>
      </c>
      <c r="AE72" s="97">
        <f ca="1">SUMPRODUCT((Portfolio!$L37=AE$4)*(Portfolio!$L39))</f>
        <v>0</v>
      </c>
      <c r="AF72" s="96">
        <f ca="1">SUMPRODUCT((Portfolio!$L37=AF$4)*(Portfolio!$L39))</f>
        <v>0</v>
      </c>
      <c r="AG72" s="96">
        <f ca="1">SUMPRODUCT((Portfolio!$L37=AG$4)*(Portfolio!$L39))</f>
        <v>0</v>
      </c>
      <c r="AH72" s="96">
        <f ca="1">SUMPRODUCT((Portfolio!$L37=AH$4)*(Portfolio!$L39))</f>
        <v>0</v>
      </c>
      <c r="AI72" s="97">
        <f ca="1">SUMPRODUCT((Portfolio!$L37=AI$4)*(Portfolio!$L39))</f>
        <v>0</v>
      </c>
      <c r="AJ72" s="96">
        <f ca="1">SUMPRODUCT((Portfolio!$L37=AJ$4)*(Portfolio!$L39))</f>
        <v>0</v>
      </c>
      <c r="AK72" s="96">
        <f ca="1">SUMPRODUCT((Portfolio!$L37=AK$4)*(Portfolio!$L39))</f>
        <v>0</v>
      </c>
      <c r="AL72" s="96">
        <f ca="1">SUMPRODUCT((Portfolio!$L37=AL$4)*(Portfolio!$L39))</f>
        <v>0</v>
      </c>
      <c r="AM72" s="97">
        <f ca="1">SUMPRODUCT((Portfolio!$L37=AM$4)*(Portfolio!$L39))</f>
        <v>0</v>
      </c>
      <c r="AN72" s="96">
        <f ca="1">SUMPRODUCT((Portfolio!$L37=AN$4)*(Portfolio!$L39))</f>
        <v>0</v>
      </c>
      <c r="AO72" s="96">
        <f ca="1">SUMPRODUCT((Portfolio!$L37=AO$4)*(Portfolio!$L39))</f>
        <v>0</v>
      </c>
      <c r="AP72" s="96">
        <f ca="1">SUMPRODUCT((Portfolio!$L37=AP$4)*(Portfolio!$L39))</f>
        <v>0</v>
      </c>
      <c r="AQ72" s="97">
        <f ca="1">SUMPRODUCT((Portfolio!$L37=AQ$4)*(Portfolio!$L39))</f>
        <v>0</v>
      </c>
      <c r="AR72" s="96">
        <f ca="1">SUMPRODUCT((Portfolio!$L37=AR$4)*(Portfolio!$L39))</f>
        <v>0</v>
      </c>
      <c r="AS72" s="96">
        <f ca="1">SUMPRODUCT((Portfolio!$L37=AS$4)*(Portfolio!$L39))</f>
        <v>0</v>
      </c>
      <c r="AT72" s="96">
        <f ca="1">SUMPRODUCT((Portfolio!$L37=AT$4)*(Portfolio!$L39))</f>
        <v>0</v>
      </c>
      <c r="AU72" s="97">
        <f ca="1">SUMPRODUCT((Portfolio!$L37=AU$4)*(Portfolio!$L39))</f>
        <v>0</v>
      </c>
      <c r="AV72" s="96"/>
      <c r="AW72" s="96"/>
      <c r="AX72" s="96"/>
      <c r="AY72" s="99"/>
    </row>
    <row r="73" spans="1:51" ht="15.75" hidden="1" customHeight="1" outlineLevel="1" x14ac:dyDescent="0.2">
      <c r="A73" s="83"/>
      <c r="B73" s="92">
        <f>IF(Portfolio!C40&lt;&gt;"",Portfolio!C40,"")</f>
        <v>12</v>
      </c>
      <c r="C73" s="93" t="str">
        <f>IF(Portfolio!D40&lt;&gt;"",Portfolio!D40,"")</f>
        <v>Company 12</v>
      </c>
      <c r="D73" s="94">
        <f ca="1">SUMPRODUCT((Portfolio!$L40=D$4)*(Portfolio!$L42))</f>
        <v>0</v>
      </c>
      <c r="E73" s="94">
        <f ca="1">SUMPRODUCT((Portfolio!$L40=E$4)*(Portfolio!$L42))</f>
        <v>0</v>
      </c>
      <c r="F73" s="96">
        <f ca="1">SUMPRODUCT((Portfolio!$L40=F$4)*(Portfolio!$L42))</f>
        <v>0</v>
      </c>
      <c r="G73" s="97">
        <f ca="1">SUMPRODUCT((Portfolio!$L40=G$4)*(Portfolio!$L42))</f>
        <v>0</v>
      </c>
      <c r="H73" s="94">
        <f ca="1">SUMPRODUCT((Portfolio!$L40=H$4)*(Portfolio!$L42))</f>
        <v>0</v>
      </c>
      <c r="I73" s="94">
        <f ca="1">SUMPRODUCT((Portfolio!$L40=I$4)*(Portfolio!$L42))</f>
        <v>0</v>
      </c>
      <c r="J73" s="96">
        <f ca="1">SUMPRODUCT((Portfolio!$L40=J$4)*(Portfolio!$L42))</f>
        <v>0</v>
      </c>
      <c r="K73" s="97">
        <f ca="1">SUMPRODUCT((Portfolio!$L40=K$4)*(Portfolio!$L42))</f>
        <v>0</v>
      </c>
      <c r="L73" s="96">
        <f ca="1">SUMPRODUCT((Portfolio!$L40=L$4)*(Portfolio!$L42))</f>
        <v>0</v>
      </c>
      <c r="M73" s="96">
        <f ca="1">SUMPRODUCT((Portfolio!$L40=M$4)*(Portfolio!$L42))</f>
        <v>0</v>
      </c>
      <c r="N73" s="96">
        <f ca="1">SUMPRODUCT((Portfolio!$L40=N$4)*(Portfolio!$L42))</f>
        <v>0</v>
      </c>
      <c r="O73" s="97">
        <f ca="1">SUMPRODUCT((Portfolio!$L40=O$4)*(Portfolio!$L42))</f>
        <v>0</v>
      </c>
      <c r="P73" s="96">
        <f ca="1">SUMPRODUCT((Portfolio!$L40=P$4)*(Portfolio!$L42))</f>
        <v>0</v>
      </c>
      <c r="Q73" s="96">
        <f ca="1">SUMPRODUCT((Portfolio!$L40=Q$4)*(Portfolio!$L42))</f>
        <v>0</v>
      </c>
      <c r="R73" s="96">
        <f ca="1">SUMPRODUCT((Portfolio!$L40=R$4)*(Portfolio!$L42))</f>
        <v>0</v>
      </c>
      <c r="S73" s="97">
        <f ca="1">SUMPRODUCT((Portfolio!$L40=S$4)*(Portfolio!$L42))</f>
        <v>0</v>
      </c>
      <c r="T73" s="96">
        <f ca="1">SUMPRODUCT((Portfolio!$L40=T$4)*(Portfolio!$L42))</f>
        <v>0</v>
      </c>
      <c r="U73" s="96">
        <f ca="1">SUMPRODUCT((Portfolio!$L40=U$4)*(Portfolio!$L42))</f>
        <v>0</v>
      </c>
      <c r="V73" s="96">
        <f ca="1">SUMPRODUCT((Portfolio!$L40=V$4)*(Portfolio!$L42))</f>
        <v>0</v>
      </c>
      <c r="W73" s="97">
        <f ca="1">SUMPRODUCT((Portfolio!$L40=W$4)*(Portfolio!$L42))</f>
        <v>0</v>
      </c>
      <c r="X73" s="96">
        <f ca="1">SUMPRODUCT((Portfolio!$L40=X$4)*(Portfolio!$L42))</f>
        <v>0</v>
      </c>
      <c r="Y73" s="96">
        <f ca="1">SUMPRODUCT((Portfolio!$L40=Y$4)*(Portfolio!$L42))</f>
        <v>0</v>
      </c>
      <c r="Z73" s="96">
        <f ca="1">SUMPRODUCT((Portfolio!$L40=Z$4)*(Portfolio!$L42))</f>
        <v>0</v>
      </c>
      <c r="AA73" s="97">
        <f ca="1">SUMPRODUCT((Portfolio!$L40=AA$4)*(Portfolio!$L42))</f>
        <v>0</v>
      </c>
      <c r="AB73" s="96">
        <f ca="1">SUMPRODUCT((Portfolio!$L40=AB$4)*(Portfolio!$L42))</f>
        <v>0</v>
      </c>
      <c r="AC73" s="96">
        <f ca="1">SUMPRODUCT((Portfolio!$L40=AC$4)*(Portfolio!$L42))</f>
        <v>0</v>
      </c>
      <c r="AD73" s="96">
        <f ca="1">SUMPRODUCT((Portfolio!$L40=AD$4)*(Portfolio!$L42))</f>
        <v>0</v>
      </c>
      <c r="AE73" s="97">
        <f ca="1">SUMPRODUCT((Portfolio!$L40=AE$4)*(Portfolio!$L42))</f>
        <v>0</v>
      </c>
      <c r="AF73" s="96">
        <f ca="1">SUMPRODUCT((Portfolio!$L40=AF$4)*(Portfolio!$L42))</f>
        <v>0</v>
      </c>
      <c r="AG73" s="96">
        <f ca="1">SUMPRODUCT((Portfolio!$L40=AG$4)*(Portfolio!$L42))</f>
        <v>0</v>
      </c>
      <c r="AH73" s="96">
        <f ca="1">SUMPRODUCT((Portfolio!$L40=AH$4)*(Portfolio!$L42))</f>
        <v>0</v>
      </c>
      <c r="AI73" s="97">
        <f ca="1">SUMPRODUCT((Portfolio!$L40=AI$4)*(Portfolio!$L42))</f>
        <v>0</v>
      </c>
      <c r="AJ73" s="96">
        <f ca="1">SUMPRODUCT((Portfolio!$L40=AJ$4)*(Portfolio!$L42))</f>
        <v>0</v>
      </c>
      <c r="AK73" s="96">
        <f ca="1">SUMPRODUCT((Portfolio!$L40=AK$4)*(Portfolio!$L42))</f>
        <v>0</v>
      </c>
      <c r="AL73" s="96">
        <f ca="1">SUMPRODUCT((Portfolio!$L40=AL$4)*(Portfolio!$L42))</f>
        <v>0</v>
      </c>
      <c r="AM73" s="97">
        <f ca="1">SUMPRODUCT((Portfolio!$L40=AM$4)*(Portfolio!$L42))</f>
        <v>0</v>
      </c>
      <c r="AN73" s="96">
        <f ca="1">SUMPRODUCT((Portfolio!$L40=AN$4)*(Portfolio!$L42))</f>
        <v>0</v>
      </c>
      <c r="AO73" s="96">
        <f ca="1">SUMPRODUCT((Portfolio!$L40=AO$4)*(Portfolio!$L42))</f>
        <v>0</v>
      </c>
      <c r="AP73" s="96">
        <f ca="1">SUMPRODUCT((Portfolio!$L40=AP$4)*(Portfolio!$L42))</f>
        <v>0</v>
      </c>
      <c r="AQ73" s="97">
        <f ca="1">SUMPRODUCT((Portfolio!$L40=AQ$4)*(Portfolio!$L42))</f>
        <v>0</v>
      </c>
      <c r="AR73" s="96">
        <f ca="1">SUMPRODUCT((Portfolio!$L40=AR$4)*(Portfolio!$L42))</f>
        <v>0</v>
      </c>
      <c r="AS73" s="96">
        <f ca="1">SUMPRODUCT((Portfolio!$L40=AS$4)*(Portfolio!$L42))</f>
        <v>0</v>
      </c>
      <c r="AT73" s="96">
        <f ca="1">SUMPRODUCT((Portfolio!$L40=AT$4)*(Portfolio!$L42))</f>
        <v>0</v>
      </c>
      <c r="AU73" s="97">
        <f ca="1">SUMPRODUCT((Portfolio!$L40=AU$4)*(Portfolio!$L42))</f>
        <v>0</v>
      </c>
      <c r="AV73" s="96"/>
      <c r="AW73" s="96"/>
      <c r="AX73" s="96"/>
      <c r="AY73" s="99"/>
    </row>
    <row r="74" spans="1:51" ht="15.75" hidden="1" customHeight="1" outlineLevel="1" x14ac:dyDescent="0.2">
      <c r="A74" s="83"/>
      <c r="B74" s="92">
        <f>IF(Portfolio!C43&lt;&gt;"",Portfolio!C43,"")</f>
        <v>13</v>
      </c>
      <c r="C74" s="93" t="str">
        <f>IF(Portfolio!D43&lt;&gt;"",Portfolio!D43,"")</f>
        <v>Company 13</v>
      </c>
      <c r="D74" s="94">
        <f ca="1">SUMPRODUCT((Portfolio!$L43=D$4)*(Portfolio!$L45))</f>
        <v>0</v>
      </c>
      <c r="E74" s="94">
        <f ca="1">SUMPRODUCT((Portfolio!$L43=E$4)*(Portfolio!$L45))</f>
        <v>0</v>
      </c>
      <c r="F74" s="96">
        <f ca="1">SUMPRODUCT((Portfolio!$L43=F$4)*(Portfolio!$L45))</f>
        <v>0</v>
      </c>
      <c r="G74" s="97">
        <f ca="1">SUMPRODUCT((Portfolio!$L43=G$4)*(Portfolio!$L45))</f>
        <v>0</v>
      </c>
      <c r="H74" s="94">
        <f ca="1">SUMPRODUCT((Portfolio!$L43=H$4)*(Portfolio!$L45))</f>
        <v>0</v>
      </c>
      <c r="I74" s="94">
        <f ca="1">SUMPRODUCT((Portfolio!$L43=I$4)*(Portfolio!$L45))</f>
        <v>0</v>
      </c>
      <c r="J74" s="96">
        <f ca="1">SUMPRODUCT((Portfolio!$L43=J$4)*(Portfolio!$L45))</f>
        <v>0</v>
      </c>
      <c r="K74" s="97">
        <f ca="1">SUMPRODUCT((Portfolio!$L43=K$4)*(Portfolio!$L45))</f>
        <v>0</v>
      </c>
      <c r="L74" s="96">
        <f ca="1">SUMPRODUCT((Portfolio!$L43=L$4)*(Portfolio!$L45))</f>
        <v>0</v>
      </c>
      <c r="M74" s="96">
        <f ca="1">SUMPRODUCT((Portfolio!$L43=M$4)*(Portfolio!$L45))</f>
        <v>0</v>
      </c>
      <c r="N74" s="96">
        <f ca="1">SUMPRODUCT((Portfolio!$L43=N$4)*(Portfolio!$L45))</f>
        <v>0</v>
      </c>
      <c r="O74" s="97">
        <f ca="1">SUMPRODUCT((Portfolio!$L43=O$4)*(Portfolio!$L45))</f>
        <v>0</v>
      </c>
      <c r="P74" s="96">
        <f ca="1">SUMPRODUCT((Portfolio!$L43=P$4)*(Portfolio!$L45))</f>
        <v>0</v>
      </c>
      <c r="Q74" s="96">
        <f ca="1">SUMPRODUCT((Portfolio!$L43=Q$4)*(Portfolio!$L45))</f>
        <v>0</v>
      </c>
      <c r="R74" s="96">
        <f ca="1">SUMPRODUCT((Portfolio!$L43=R$4)*(Portfolio!$L45))</f>
        <v>0</v>
      </c>
      <c r="S74" s="97">
        <f ca="1">SUMPRODUCT((Portfolio!$L43=S$4)*(Portfolio!$L45))</f>
        <v>0</v>
      </c>
      <c r="T74" s="96">
        <f ca="1">SUMPRODUCT((Portfolio!$L43=T$4)*(Portfolio!$L45))</f>
        <v>0</v>
      </c>
      <c r="U74" s="96">
        <f ca="1">SUMPRODUCT((Portfolio!$L43=U$4)*(Portfolio!$L45))</f>
        <v>0</v>
      </c>
      <c r="V74" s="96">
        <f ca="1">SUMPRODUCT((Portfolio!$L43=V$4)*(Portfolio!$L45))</f>
        <v>0</v>
      </c>
      <c r="W74" s="97">
        <f ca="1">SUMPRODUCT((Portfolio!$L43=W$4)*(Portfolio!$L45))</f>
        <v>0</v>
      </c>
      <c r="X74" s="96">
        <f ca="1">SUMPRODUCT((Portfolio!$L43=X$4)*(Portfolio!$L45))</f>
        <v>0</v>
      </c>
      <c r="Y74" s="96">
        <f ca="1">SUMPRODUCT((Portfolio!$L43=Y$4)*(Portfolio!$L45))</f>
        <v>0</v>
      </c>
      <c r="Z74" s="96">
        <f ca="1">SUMPRODUCT((Portfolio!$L43=Z$4)*(Portfolio!$L45))</f>
        <v>0</v>
      </c>
      <c r="AA74" s="97">
        <f ca="1">SUMPRODUCT((Portfolio!$L43=AA$4)*(Portfolio!$L45))</f>
        <v>0</v>
      </c>
      <c r="AB74" s="96">
        <f ca="1">SUMPRODUCT((Portfolio!$L43=AB$4)*(Portfolio!$L45))</f>
        <v>0</v>
      </c>
      <c r="AC74" s="96">
        <f ca="1">SUMPRODUCT((Portfolio!$L43=AC$4)*(Portfolio!$L45))</f>
        <v>0</v>
      </c>
      <c r="AD74" s="96">
        <f ca="1">SUMPRODUCT((Portfolio!$L43=AD$4)*(Portfolio!$L45))</f>
        <v>0</v>
      </c>
      <c r="AE74" s="97">
        <f ca="1">SUMPRODUCT((Portfolio!$L43=AE$4)*(Portfolio!$L45))</f>
        <v>0</v>
      </c>
      <c r="AF74" s="96">
        <f ca="1">SUMPRODUCT((Portfolio!$L43=AF$4)*(Portfolio!$L45))</f>
        <v>0</v>
      </c>
      <c r="AG74" s="96">
        <f ca="1">SUMPRODUCT((Portfolio!$L43=AG$4)*(Portfolio!$L45))</f>
        <v>0</v>
      </c>
      <c r="AH74" s="96">
        <f ca="1">SUMPRODUCT((Portfolio!$L43=AH$4)*(Portfolio!$L45))</f>
        <v>0</v>
      </c>
      <c r="AI74" s="97">
        <f ca="1">SUMPRODUCT((Portfolio!$L43=AI$4)*(Portfolio!$L45))</f>
        <v>0</v>
      </c>
      <c r="AJ74" s="96">
        <f ca="1">SUMPRODUCT((Portfolio!$L43=AJ$4)*(Portfolio!$L45))</f>
        <v>0</v>
      </c>
      <c r="AK74" s="96">
        <f ca="1">SUMPRODUCT((Portfolio!$L43=AK$4)*(Portfolio!$L45))</f>
        <v>0</v>
      </c>
      <c r="AL74" s="96">
        <f ca="1">SUMPRODUCT((Portfolio!$L43=AL$4)*(Portfolio!$L45))</f>
        <v>0</v>
      </c>
      <c r="AM74" s="97">
        <f ca="1">SUMPRODUCT((Portfolio!$L43=AM$4)*(Portfolio!$L45))</f>
        <v>0</v>
      </c>
      <c r="AN74" s="96">
        <f ca="1">SUMPRODUCT((Portfolio!$L43=AN$4)*(Portfolio!$L45))</f>
        <v>0</v>
      </c>
      <c r="AO74" s="96">
        <f ca="1">SUMPRODUCT((Portfolio!$L43=AO$4)*(Portfolio!$L45))</f>
        <v>0</v>
      </c>
      <c r="AP74" s="96">
        <f ca="1">SUMPRODUCT((Portfolio!$L43=AP$4)*(Portfolio!$L45))</f>
        <v>0</v>
      </c>
      <c r="AQ74" s="97">
        <f ca="1">SUMPRODUCT((Portfolio!$L43=AQ$4)*(Portfolio!$L45))</f>
        <v>0</v>
      </c>
      <c r="AR74" s="96">
        <f ca="1">SUMPRODUCT((Portfolio!$L43=AR$4)*(Portfolio!$L45))</f>
        <v>0</v>
      </c>
      <c r="AS74" s="96">
        <f ca="1">SUMPRODUCT((Portfolio!$L43=AS$4)*(Portfolio!$L45))</f>
        <v>0</v>
      </c>
      <c r="AT74" s="96">
        <f ca="1">SUMPRODUCT((Portfolio!$L43=AT$4)*(Portfolio!$L45))</f>
        <v>0</v>
      </c>
      <c r="AU74" s="97">
        <f ca="1">SUMPRODUCT((Portfolio!$L43=AU$4)*(Portfolio!$L45))</f>
        <v>0</v>
      </c>
      <c r="AV74" s="96"/>
      <c r="AW74" s="96"/>
      <c r="AX74" s="96"/>
      <c r="AY74" s="99"/>
    </row>
    <row r="75" spans="1:51" ht="15.75" hidden="1" customHeight="1" outlineLevel="1" x14ac:dyDescent="0.2">
      <c r="A75" s="83"/>
      <c r="B75" s="92">
        <f>IF(Portfolio!C46&lt;&gt;"",Portfolio!C46,"")</f>
        <v>14</v>
      </c>
      <c r="C75" s="93" t="str">
        <f>IF(Portfolio!D46&lt;&gt;"",Portfolio!D46,"")</f>
        <v>Company 14</v>
      </c>
      <c r="D75" s="94">
        <f ca="1">SUMPRODUCT((Portfolio!$L46=D$4)*(Portfolio!$L48))</f>
        <v>0</v>
      </c>
      <c r="E75" s="94">
        <f ca="1">SUMPRODUCT((Portfolio!$L46=E$4)*(Portfolio!$L48))</f>
        <v>0</v>
      </c>
      <c r="F75" s="96">
        <f ca="1">SUMPRODUCT((Portfolio!$L46=F$4)*(Portfolio!$L48))</f>
        <v>0</v>
      </c>
      <c r="G75" s="97">
        <f ca="1">SUMPRODUCT((Portfolio!$L46=G$4)*(Portfolio!$L48))</f>
        <v>0</v>
      </c>
      <c r="H75" s="94">
        <f ca="1">SUMPRODUCT((Portfolio!$L46=H$4)*(Portfolio!$L48))</f>
        <v>0</v>
      </c>
      <c r="I75" s="94">
        <f ca="1">SUMPRODUCT((Portfolio!$L46=I$4)*(Portfolio!$L48))</f>
        <v>0</v>
      </c>
      <c r="J75" s="96">
        <f ca="1">SUMPRODUCT((Portfolio!$L46=J$4)*(Portfolio!$L48))</f>
        <v>0</v>
      </c>
      <c r="K75" s="97">
        <f ca="1">SUMPRODUCT((Portfolio!$L46=K$4)*(Portfolio!$L48))</f>
        <v>0</v>
      </c>
      <c r="L75" s="96">
        <f ca="1">SUMPRODUCT((Portfolio!$L46=L$4)*(Portfolio!$L48))</f>
        <v>0</v>
      </c>
      <c r="M75" s="96">
        <f ca="1">SUMPRODUCT((Portfolio!$L46=M$4)*(Portfolio!$L48))</f>
        <v>0</v>
      </c>
      <c r="N75" s="96">
        <f ca="1">SUMPRODUCT((Portfolio!$L46=N$4)*(Portfolio!$L48))</f>
        <v>0</v>
      </c>
      <c r="O75" s="97">
        <f ca="1">SUMPRODUCT((Portfolio!$L46=O$4)*(Portfolio!$L48))</f>
        <v>0</v>
      </c>
      <c r="P75" s="96">
        <f ca="1">SUMPRODUCT((Portfolio!$L46=P$4)*(Portfolio!$L48))</f>
        <v>0</v>
      </c>
      <c r="Q75" s="96">
        <f ca="1">SUMPRODUCT((Portfolio!$L46=Q$4)*(Portfolio!$L48))</f>
        <v>0</v>
      </c>
      <c r="R75" s="96">
        <f ca="1">SUMPRODUCT((Portfolio!$L46=R$4)*(Portfolio!$L48))</f>
        <v>0</v>
      </c>
      <c r="S75" s="97">
        <f ca="1">SUMPRODUCT((Portfolio!$L46=S$4)*(Portfolio!$L48))</f>
        <v>0</v>
      </c>
      <c r="T75" s="96">
        <f ca="1">SUMPRODUCT((Portfolio!$L46=T$4)*(Portfolio!$L48))</f>
        <v>0</v>
      </c>
      <c r="U75" s="96">
        <f ca="1">SUMPRODUCT((Portfolio!$L46=U$4)*(Portfolio!$L48))</f>
        <v>0</v>
      </c>
      <c r="V75" s="96">
        <f ca="1">SUMPRODUCT((Portfolio!$L46=V$4)*(Portfolio!$L48))</f>
        <v>0</v>
      </c>
      <c r="W75" s="97">
        <f ca="1">SUMPRODUCT((Portfolio!$L46=W$4)*(Portfolio!$L48))</f>
        <v>0</v>
      </c>
      <c r="X75" s="96">
        <f ca="1">SUMPRODUCT((Portfolio!$L46=X$4)*(Portfolio!$L48))</f>
        <v>0</v>
      </c>
      <c r="Y75" s="96">
        <f ca="1">SUMPRODUCT((Portfolio!$L46=Y$4)*(Portfolio!$L48))</f>
        <v>0</v>
      </c>
      <c r="Z75" s="96">
        <f ca="1">SUMPRODUCT((Portfolio!$L46=Z$4)*(Portfolio!$L48))</f>
        <v>0</v>
      </c>
      <c r="AA75" s="97">
        <f ca="1">SUMPRODUCT((Portfolio!$L46=AA$4)*(Portfolio!$L48))</f>
        <v>0</v>
      </c>
      <c r="AB75" s="96">
        <f ca="1">SUMPRODUCT((Portfolio!$L46=AB$4)*(Portfolio!$L48))</f>
        <v>0</v>
      </c>
      <c r="AC75" s="96">
        <f ca="1">SUMPRODUCT((Portfolio!$L46=AC$4)*(Portfolio!$L48))</f>
        <v>0</v>
      </c>
      <c r="AD75" s="96">
        <f ca="1">SUMPRODUCT((Portfolio!$L46=AD$4)*(Portfolio!$L48))</f>
        <v>0</v>
      </c>
      <c r="AE75" s="97">
        <f ca="1">SUMPRODUCT((Portfolio!$L46=AE$4)*(Portfolio!$L48))</f>
        <v>0</v>
      </c>
      <c r="AF75" s="96">
        <f ca="1">SUMPRODUCT((Portfolio!$L46=AF$4)*(Portfolio!$L48))</f>
        <v>0</v>
      </c>
      <c r="AG75" s="96">
        <f ca="1">SUMPRODUCT((Portfolio!$L46=AG$4)*(Portfolio!$L48))</f>
        <v>0</v>
      </c>
      <c r="AH75" s="96">
        <f ca="1">SUMPRODUCT((Portfolio!$L46=AH$4)*(Portfolio!$L48))</f>
        <v>0</v>
      </c>
      <c r="AI75" s="97">
        <f ca="1">SUMPRODUCT((Portfolio!$L46=AI$4)*(Portfolio!$L48))</f>
        <v>0</v>
      </c>
      <c r="AJ75" s="96">
        <f ca="1">SUMPRODUCT((Portfolio!$L46=AJ$4)*(Portfolio!$L48))</f>
        <v>0</v>
      </c>
      <c r="AK75" s="96">
        <f ca="1">SUMPRODUCT((Portfolio!$L46=AK$4)*(Portfolio!$L48))</f>
        <v>0</v>
      </c>
      <c r="AL75" s="96">
        <f ca="1">SUMPRODUCT((Portfolio!$L46=AL$4)*(Portfolio!$L48))</f>
        <v>0</v>
      </c>
      <c r="AM75" s="97">
        <f ca="1">SUMPRODUCT((Portfolio!$L46=AM$4)*(Portfolio!$L48))</f>
        <v>0</v>
      </c>
      <c r="AN75" s="96">
        <f ca="1">SUMPRODUCT((Portfolio!$L46=AN$4)*(Portfolio!$L48))</f>
        <v>0</v>
      </c>
      <c r="AO75" s="96">
        <f ca="1">SUMPRODUCT((Portfolio!$L46=AO$4)*(Portfolio!$L48))</f>
        <v>0</v>
      </c>
      <c r="AP75" s="96">
        <f ca="1">SUMPRODUCT((Portfolio!$L46=AP$4)*(Portfolio!$L48))</f>
        <v>0</v>
      </c>
      <c r="AQ75" s="97">
        <f ca="1">SUMPRODUCT((Portfolio!$L46=AQ$4)*(Portfolio!$L48))</f>
        <v>0</v>
      </c>
      <c r="AR75" s="96">
        <f ca="1">SUMPRODUCT((Portfolio!$L46=AR$4)*(Portfolio!$L48))</f>
        <v>0</v>
      </c>
      <c r="AS75" s="96">
        <f ca="1">SUMPRODUCT((Portfolio!$L46=AS$4)*(Portfolio!$L48))</f>
        <v>0</v>
      </c>
      <c r="AT75" s="96">
        <f ca="1">SUMPRODUCT((Portfolio!$L46=AT$4)*(Portfolio!$L48))</f>
        <v>0</v>
      </c>
      <c r="AU75" s="97">
        <f ca="1">SUMPRODUCT((Portfolio!$L46=AU$4)*(Portfolio!$L48))</f>
        <v>0</v>
      </c>
      <c r="AV75" s="96"/>
      <c r="AW75" s="96"/>
      <c r="AX75" s="96"/>
      <c r="AY75" s="99"/>
    </row>
    <row r="76" spans="1:51" ht="15.75" hidden="1" customHeight="1" outlineLevel="1" x14ac:dyDescent="0.2">
      <c r="A76" s="83"/>
      <c r="B76" s="92">
        <f>IF(Portfolio!C49&lt;&gt;"",Portfolio!C49,"")</f>
        <v>15</v>
      </c>
      <c r="C76" s="93" t="str">
        <f>IF(Portfolio!D49&lt;&gt;"",Portfolio!D49,"")</f>
        <v>Company 15</v>
      </c>
      <c r="D76" s="94">
        <f ca="1">SUMPRODUCT((Portfolio!$L49=D$4)*(Portfolio!$L51))</f>
        <v>0</v>
      </c>
      <c r="E76" s="94">
        <f ca="1">SUMPRODUCT((Portfolio!$L49=E$4)*(Portfolio!$L51))</f>
        <v>0</v>
      </c>
      <c r="F76" s="96">
        <f ca="1">SUMPRODUCT((Portfolio!$L49=F$4)*(Portfolio!$L51))</f>
        <v>0</v>
      </c>
      <c r="G76" s="97">
        <f ca="1">SUMPRODUCT((Portfolio!$L49=G$4)*(Portfolio!$L51))</f>
        <v>0</v>
      </c>
      <c r="H76" s="94">
        <f ca="1">SUMPRODUCT((Portfolio!$L49=H$4)*(Portfolio!$L51))</f>
        <v>0</v>
      </c>
      <c r="I76" s="94">
        <f ca="1">SUMPRODUCT((Portfolio!$L49=I$4)*(Portfolio!$L51))</f>
        <v>0</v>
      </c>
      <c r="J76" s="96">
        <f ca="1">SUMPRODUCT((Portfolio!$L49=J$4)*(Portfolio!$L51))</f>
        <v>0</v>
      </c>
      <c r="K76" s="97">
        <f ca="1">SUMPRODUCT((Portfolio!$L49=K$4)*(Portfolio!$L51))</f>
        <v>0</v>
      </c>
      <c r="L76" s="96">
        <f ca="1">SUMPRODUCT((Portfolio!$L49=L$4)*(Portfolio!$L51))</f>
        <v>0</v>
      </c>
      <c r="M76" s="96">
        <f ca="1">SUMPRODUCT((Portfolio!$L49=M$4)*(Portfolio!$L51))</f>
        <v>0</v>
      </c>
      <c r="N76" s="96">
        <f ca="1">SUMPRODUCT((Portfolio!$L49=N$4)*(Portfolio!$L51))</f>
        <v>0</v>
      </c>
      <c r="O76" s="97">
        <f ca="1">SUMPRODUCT((Portfolio!$L49=O$4)*(Portfolio!$L51))</f>
        <v>0</v>
      </c>
      <c r="P76" s="96">
        <f ca="1">SUMPRODUCT((Portfolio!$L49=P$4)*(Portfolio!$L51))</f>
        <v>0</v>
      </c>
      <c r="Q76" s="96">
        <f ca="1">SUMPRODUCT((Portfolio!$L49=Q$4)*(Portfolio!$L51))</f>
        <v>0</v>
      </c>
      <c r="R76" s="96">
        <f ca="1">SUMPRODUCT((Portfolio!$L49=R$4)*(Portfolio!$L51))</f>
        <v>0</v>
      </c>
      <c r="S76" s="97">
        <f ca="1">SUMPRODUCT((Portfolio!$L49=S$4)*(Portfolio!$L51))</f>
        <v>0</v>
      </c>
      <c r="T76" s="96">
        <f ca="1">SUMPRODUCT((Portfolio!$L49=T$4)*(Portfolio!$L51))</f>
        <v>0</v>
      </c>
      <c r="U76" s="96">
        <f ca="1">SUMPRODUCT((Portfolio!$L49=U$4)*(Portfolio!$L51))</f>
        <v>0</v>
      </c>
      <c r="V76" s="96">
        <f ca="1">SUMPRODUCT((Portfolio!$L49=V$4)*(Portfolio!$L51))</f>
        <v>0</v>
      </c>
      <c r="W76" s="97">
        <f ca="1">SUMPRODUCT((Portfolio!$L49=W$4)*(Portfolio!$L51))</f>
        <v>0</v>
      </c>
      <c r="X76" s="96">
        <f ca="1">SUMPRODUCT((Portfolio!$L49=X$4)*(Portfolio!$L51))</f>
        <v>0</v>
      </c>
      <c r="Y76" s="96">
        <f ca="1">SUMPRODUCT((Portfolio!$L49=Y$4)*(Portfolio!$L51))</f>
        <v>0</v>
      </c>
      <c r="Z76" s="96">
        <f ca="1">SUMPRODUCT((Portfolio!$L49=Z$4)*(Portfolio!$L51))</f>
        <v>0</v>
      </c>
      <c r="AA76" s="97">
        <f ca="1">SUMPRODUCT((Portfolio!$L49=AA$4)*(Portfolio!$L51))</f>
        <v>0</v>
      </c>
      <c r="AB76" s="96">
        <f ca="1">SUMPRODUCT((Portfolio!$L49=AB$4)*(Portfolio!$L51))</f>
        <v>0</v>
      </c>
      <c r="AC76" s="96">
        <f ca="1">SUMPRODUCT((Portfolio!$L49=AC$4)*(Portfolio!$L51))</f>
        <v>0</v>
      </c>
      <c r="AD76" s="96">
        <f ca="1">SUMPRODUCT((Portfolio!$L49=AD$4)*(Portfolio!$L51))</f>
        <v>0</v>
      </c>
      <c r="AE76" s="97">
        <f ca="1">SUMPRODUCT((Portfolio!$L49=AE$4)*(Portfolio!$L51))</f>
        <v>0</v>
      </c>
      <c r="AF76" s="96">
        <f ca="1">SUMPRODUCT((Portfolio!$L49=AF$4)*(Portfolio!$L51))</f>
        <v>0</v>
      </c>
      <c r="AG76" s="96">
        <f ca="1">SUMPRODUCT((Portfolio!$L49=AG$4)*(Portfolio!$L51))</f>
        <v>0</v>
      </c>
      <c r="AH76" s="96">
        <f ca="1">SUMPRODUCT((Portfolio!$L49=AH$4)*(Portfolio!$L51))</f>
        <v>0</v>
      </c>
      <c r="AI76" s="97">
        <f ca="1">SUMPRODUCT((Portfolio!$L49=AI$4)*(Portfolio!$L51))</f>
        <v>0</v>
      </c>
      <c r="AJ76" s="96">
        <f ca="1">SUMPRODUCT((Portfolio!$L49=AJ$4)*(Portfolio!$L51))</f>
        <v>0</v>
      </c>
      <c r="AK76" s="96">
        <f ca="1">SUMPRODUCT((Portfolio!$L49=AK$4)*(Portfolio!$L51))</f>
        <v>0</v>
      </c>
      <c r="AL76" s="96">
        <f ca="1">SUMPRODUCT((Portfolio!$L49=AL$4)*(Portfolio!$L51))</f>
        <v>0</v>
      </c>
      <c r="AM76" s="97">
        <f ca="1">SUMPRODUCT((Portfolio!$L49=AM$4)*(Portfolio!$L51))</f>
        <v>0</v>
      </c>
      <c r="AN76" s="96">
        <f ca="1">SUMPRODUCT((Portfolio!$L49=AN$4)*(Portfolio!$L51))</f>
        <v>0</v>
      </c>
      <c r="AO76" s="96">
        <f ca="1">SUMPRODUCT((Portfolio!$L49=AO$4)*(Portfolio!$L51))</f>
        <v>0</v>
      </c>
      <c r="AP76" s="96">
        <f ca="1">SUMPRODUCT((Portfolio!$L49=AP$4)*(Portfolio!$L51))</f>
        <v>0</v>
      </c>
      <c r="AQ76" s="97">
        <f ca="1">SUMPRODUCT((Portfolio!$L49=AQ$4)*(Portfolio!$L51))</f>
        <v>0</v>
      </c>
      <c r="AR76" s="96">
        <f ca="1">SUMPRODUCT((Portfolio!$L49=AR$4)*(Portfolio!$L51))</f>
        <v>0</v>
      </c>
      <c r="AS76" s="96">
        <f ca="1">SUMPRODUCT((Portfolio!$L49=AS$4)*(Portfolio!$L51))</f>
        <v>0</v>
      </c>
      <c r="AT76" s="96">
        <f ca="1">SUMPRODUCT((Portfolio!$L49=AT$4)*(Portfolio!$L51))</f>
        <v>0</v>
      </c>
      <c r="AU76" s="97">
        <f ca="1">SUMPRODUCT((Portfolio!$L49=AU$4)*(Portfolio!$L51))</f>
        <v>0</v>
      </c>
      <c r="AV76" s="96"/>
      <c r="AW76" s="96"/>
      <c r="AX76" s="96"/>
      <c r="AY76" s="99"/>
    </row>
    <row r="77" spans="1:51" ht="15.75" hidden="1" customHeight="1" outlineLevel="1" x14ac:dyDescent="0.2">
      <c r="A77" s="83"/>
      <c r="B77" s="92">
        <f>IF(Portfolio!C52&lt;&gt;"",Portfolio!C52,"")</f>
        <v>16</v>
      </c>
      <c r="C77" s="93" t="str">
        <f>IF(Portfolio!D52&lt;&gt;"",Portfolio!D52,"")</f>
        <v>Company 16</v>
      </c>
      <c r="D77" s="94">
        <f ca="1">SUMPRODUCT((Portfolio!$L52=D$4)*(Portfolio!$L54))</f>
        <v>0</v>
      </c>
      <c r="E77" s="94">
        <f ca="1">SUMPRODUCT((Portfolio!$L52=E$4)*(Portfolio!$L54))</f>
        <v>0</v>
      </c>
      <c r="F77" s="96">
        <f ca="1">SUMPRODUCT((Portfolio!$L52=F$4)*(Portfolio!$L54))</f>
        <v>0</v>
      </c>
      <c r="G77" s="97">
        <f ca="1">SUMPRODUCT((Portfolio!$L52=G$4)*(Portfolio!$L54))</f>
        <v>0</v>
      </c>
      <c r="H77" s="94">
        <f ca="1">SUMPRODUCT((Portfolio!$L52=H$4)*(Portfolio!$L54))</f>
        <v>0</v>
      </c>
      <c r="I77" s="94">
        <f ca="1">SUMPRODUCT((Portfolio!$L52=I$4)*(Portfolio!$L54))</f>
        <v>0</v>
      </c>
      <c r="J77" s="96">
        <f ca="1">SUMPRODUCT((Portfolio!$L52=J$4)*(Portfolio!$L54))</f>
        <v>0</v>
      </c>
      <c r="K77" s="97">
        <f ca="1">SUMPRODUCT((Portfolio!$L52=K$4)*(Portfolio!$L54))</f>
        <v>0</v>
      </c>
      <c r="L77" s="96">
        <f ca="1">SUMPRODUCT((Portfolio!$L52=L$4)*(Portfolio!$L54))</f>
        <v>0</v>
      </c>
      <c r="M77" s="96">
        <f ca="1">SUMPRODUCT((Portfolio!$L52=M$4)*(Portfolio!$L54))</f>
        <v>0</v>
      </c>
      <c r="N77" s="96">
        <f ca="1">SUMPRODUCT((Portfolio!$L52=N$4)*(Portfolio!$L54))</f>
        <v>0</v>
      </c>
      <c r="O77" s="97">
        <f ca="1">SUMPRODUCT((Portfolio!$L52=O$4)*(Portfolio!$L54))</f>
        <v>0</v>
      </c>
      <c r="P77" s="96">
        <f ca="1">SUMPRODUCT((Portfolio!$L52=P$4)*(Portfolio!$L54))</f>
        <v>0</v>
      </c>
      <c r="Q77" s="96">
        <f ca="1">SUMPRODUCT((Portfolio!$L52=Q$4)*(Portfolio!$L54))</f>
        <v>0</v>
      </c>
      <c r="R77" s="96">
        <f ca="1">SUMPRODUCT((Portfolio!$L52=R$4)*(Portfolio!$L54))</f>
        <v>0</v>
      </c>
      <c r="S77" s="97">
        <f ca="1">SUMPRODUCT((Portfolio!$L52=S$4)*(Portfolio!$L54))</f>
        <v>0</v>
      </c>
      <c r="T77" s="96">
        <f ca="1">SUMPRODUCT((Portfolio!$L52=T$4)*(Portfolio!$L54))</f>
        <v>0</v>
      </c>
      <c r="U77" s="96">
        <f ca="1">SUMPRODUCT((Portfolio!$L52=U$4)*(Portfolio!$L54))</f>
        <v>0</v>
      </c>
      <c r="V77" s="96">
        <f ca="1">SUMPRODUCT((Portfolio!$L52=V$4)*(Portfolio!$L54))</f>
        <v>0</v>
      </c>
      <c r="W77" s="97">
        <f ca="1">SUMPRODUCT((Portfolio!$L52=W$4)*(Portfolio!$L54))</f>
        <v>0</v>
      </c>
      <c r="X77" s="96">
        <f ca="1">SUMPRODUCT((Portfolio!$L52=X$4)*(Portfolio!$L54))</f>
        <v>0</v>
      </c>
      <c r="Y77" s="96">
        <f ca="1">SUMPRODUCT((Portfolio!$L52=Y$4)*(Portfolio!$L54))</f>
        <v>0</v>
      </c>
      <c r="Z77" s="96">
        <f ca="1">SUMPRODUCT((Portfolio!$L52=Z$4)*(Portfolio!$L54))</f>
        <v>0</v>
      </c>
      <c r="AA77" s="97">
        <f ca="1">SUMPRODUCT((Portfolio!$L52=AA$4)*(Portfolio!$L54))</f>
        <v>0</v>
      </c>
      <c r="AB77" s="96">
        <f ca="1">SUMPRODUCT((Portfolio!$L52=AB$4)*(Portfolio!$L54))</f>
        <v>0</v>
      </c>
      <c r="AC77" s="96">
        <f ca="1">SUMPRODUCT((Portfolio!$L52=AC$4)*(Portfolio!$L54))</f>
        <v>0</v>
      </c>
      <c r="AD77" s="96">
        <f ca="1">SUMPRODUCT((Portfolio!$L52=AD$4)*(Portfolio!$L54))</f>
        <v>0</v>
      </c>
      <c r="AE77" s="97">
        <f ca="1">SUMPRODUCT((Portfolio!$L52=AE$4)*(Portfolio!$L54))</f>
        <v>0</v>
      </c>
      <c r="AF77" s="96">
        <f ca="1">SUMPRODUCT((Portfolio!$L52=AF$4)*(Portfolio!$L54))</f>
        <v>0</v>
      </c>
      <c r="AG77" s="96">
        <f ca="1">SUMPRODUCT((Portfolio!$L52=AG$4)*(Portfolio!$L54))</f>
        <v>0</v>
      </c>
      <c r="AH77" s="96">
        <f ca="1">SUMPRODUCT((Portfolio!$L52=AH$4)*(Portfolio!$L54))</f>
        <v>0</v>
      </c>
      <c r="AI77" s="97">
        <f ca="1">SUMPRODUCT((Portfolio!$L52=AI$4)*(Portfolio!$L54))</f>
        <v>0</v>
      </c>
      <c r="AJ77" s="96">
        <f ca="1">SUMPRODUCT((Portfolio!$L52=AJ$4)*(Portfolio!$L54))</f>
        <v>0</v>
      </c>
      <c r="AK77" s="96">
        <f ca="1">SUMPRODUCT((Portfolio!$L52=AK$4)*(Portfolio!$L54))</f>
        <v>0</v>
      </c>
      <c r="AL77" s="96">
        <f ca="1">SUMPRODUCT((Portfolio!$L52=AL$4)*(Portfolio!$L54))</f>
        <v>0</v>
      </c>
      <c r="AM77" s="97">
        <f ca="1">SUMPRODUCT((Portfolio!$L52=AM$4)*(Portfolio!$L54))</f>
        <v>0</v>
      </c>
      <c r="AN77" s="96">
        <f ca="1">SUMPRODUCT((Portfolio!$L52=AN$4)*(Portfolio!$L54))</f>
        <v>0</v>
      </c>
      <c r="AO77" s="96">
        <f ca="1">SUMPRODUCT((Portfolio!$L52=AO$4)*(Portfolio!$L54))</f>
        <v>0</v>
      </c>
      <c r="AP77" s="96">
        <f ca="1">SUMPRODUCT((Portfolio!$L52=AP$4)*(Portfolio!$L54))</f>
        <v>0</v>
      </c>
      <c r="AQ77" s="97">
        <f ca="1">SUMPRODUCT((Portfolio!$L52=AQ$4)*(Portfolio!$L54))</f>
        <v>0</v>
      </c>
      <c r="AR77" s="96">
        <f ca="1">SUMPRODUCT((Portfolio!$L52=AR$4)*(Portfolio!$L54))</f>
        <v>0</v>
      </c>
      <c r="AS77" s="96">
        <f ca="1">SUMPRODUCT((Portfolio!$L52=AS$4)*(Portfolio!$L54))</f>
        <v>0</v>
      </c>
      <c r="AT77" s="96">
        <f ca="1">SUMPRODUCT((Portfolio!$L52=AT$4)*(Portfolio!$L54))</f>
        <v>0</v>
      </c>
      <c r="AU77" s="97">
        <f ca="1">SUMPRODUCT((Portfolio!$L52=AU$4)*(Portfolio!$L54))</f>
        <v>0</v>
      </c>
      <c r="AV77" s="96"/>
      <c r="AW77" s="96"/>
      <c r="AX77" s="96"/>
      <c r="AY77" s="99"/>
    </row>
    <row r="78" spans="1:51" ht="15.75" hidden="1" customHeight="1" outlineLevel="1" x14ac:dyDescent="0.2">
      <c r="A78" s="83"/>
      <c r="B78" s="92">
        <f>IF(Portfolio!C55&lt;&gt;"",Portfolio!C55,"")</f>
        <v>17</v>
      </c>
      <c r="C78" s="93" t="str">
        <f>IF(Portfolio!D55&lt;&gt;"",Portfolio!D55,"")</f>
        <v>Company 17</v>
      </c>
      <c r="D78" s="94">
        <f ca="1">SUMPRODUCT((Portfolio!$L55=D$4)*(Portfolio!$L57))</f>
        <v>0</v>
      </c>
      <c r="E78" s="94">
        <f ca="1">SUMPRODUCT((Portfolio!$L55=E$4)*(Portfolio!$L57))</f>
        <v>0</v>
      </c>
      <c r="F78" s="96">
        <f ca="1">SUMPRODUCT((Portfolio!$L55=F$4)*(Portfolio!$L57))</f>
        <v>0</v>
      </c>
      <c r="G78" s="97">
        <f ca="1">SUMPRODUCT((Portfolio!$L55=G$4)*(Portfolio!$L57))</f>
        <v>0</v>
      </c>
      <c r="H78" s="94">
        <f ca="1">SUMPRODUCT((Portfolio!$L55=H$4)*(Portfolio!$L57))</f>
        <v>0</v>
      </c>
      <c r="I78" s="94">
        <f ca="1">SUMPRODUCT((Portfolio!$L55=I$4)*(Portfolio!$L57))</f>
        <v>0</v>
      </c>
      <c r="J78" s="96">
        <f ca="1">SUMPRODUCT((Portfolio!$L55=J$4)*(Portfolio!$L57))</f>
        <v>0</v>
      </c>
      <c r="K78" s="97">
        <f ca="1">SUMPRODUCT((Portfolio!$L55=K$4)*(Portfolio!$L57))</f>
        <v>0</v>
      </c>
      <c r="L78" s="96">
        <f ca="1">SUMPRODUCT((Portfolio!$L55=L$4)*(Portfolio!$L57))</f>
        <v>0</v>
      </c>
      <c r="M78" s="96">
        <f ca="1">SUMPRODUCT((Portfolio!$L55=M$4)*(Portfolio!$L57))</f>
        <v>0</v>
      </c>
      <c r="N78" s="96">
        <f ca="1">SUMPRODUCT((Portfolio!$L55=N$4)*(Portfolio!$L57))</f>
        <v>0</v>
      </c>
      <c r="O78" s="97">
        <f ca="1">SUMPRODUCT((Portfolio!$L55=O$4)*(Portfolio!$L57))</f>
        <v>0</v>
      </c>
      <c r="P78" s="96">
        <f ca="1">SUMPRODUCT((Portfolio!$L55=P$4)*(Portfolio!$L57))</f>
        <v>0</v>
      </c>
      <c r="Q78" s="96">
        <f ca="1">SUMPRODUCT((Portfolio!$L55=Q$4)*(Portfolio!$L57))</f>
        <v>0</v>
      </c>
      <c r="R78" s="96">
        <f ca="1">SUMPRODUCT((Portfolio!$L55=R$4)*(Portfolio!$L57))</f>
        <v>0</v>
      </c>
      <c r="S78" s="97">
        <f ca="1">SUMPRODUCT((Portfolio!$L55=S$4)*(Portfolio!$L57))</f>
        <v>0</v>
      </c>
      <c r="T78" s="96">
        <f ca="1">SUMPRODUCT((Portfolio!$L55=T$4)*(Portfolio!$L57))</f>
        <v>0</v>
      </c>
      <c r="U78" s="96">
        <f ca="1">SUMPRODUCT((Portfolio!$L55=U$4)*(Portfolio!$L57))</f>
        <v>0</v>
      </c>
      <c r="V78" s="96">
        <f ca="1">SUMPRODUCT((Portfolio!$L55=V$4)*(Portfolio!$L57))</f>
        <v>0</v>
      </c>
      <c r="W78" s="97">
        <f ca="1">SUMPRODUCT((Portfolio!$L55=W$4)*(Portfolio!$L57))</f>
        <v>0</v>
      </c>
      <c r="X78" s="96">
        <f ca="1">SUMPRODUCT((Portfolio!$L55=X$4)*(Portfolio!$L57))</f>
        <v>0</v>
      </c>
      <c r="Y78" s="96">
        <f ca="1">SUMPRODUCT((Portfolio!$L55=Y$4)*(Portfolio!$L57))</f>
        <v>0</v>
      </c>
      <c r="Z78" s="96">
        <f ca="1">SUMPRODUCT((Portfolio!$L55=Z$4)*(Portfolio!$L57))</f>
        <v>0</v>
      </c>
      <c r="AA78" s="97">
        <f ca="1">SUMPRODUCT((Portfolio!$L55=AA$4)*(Portfolio!$L57))</f>
        <v>0</v>
      </c>
      <c r="AB78" s="96">
        <f ca="1">SUMPRODUCT((Portfolio!$L55=AB$4)*(Portfolio!$L57))</f>
        <v>0</v>
      </c>
      <c r="AC78" s="96">
        <f ca="1">SUMPRODUCT((Portfolio!$L55=AC$4)*(Portfolio!$L57))</f>
        <v>0</v>
      </c>
      <c r="AD78" s="96">
        <f ca="1">SUMPRODUCT((Portfolio!$L55=AD$4)*(Portfolio!$L57))</f>
        <v>0</v>
      </c>
      <c r="AE78" s="97">
        <f ca="1">SUMPRODUCT((Portfolio!$L55=AE$4)*(Portfolio!$L57))</f>
        <v>0</v>
      </c>
      <c r="AF78" s="96">
        <f ca="1">SUMPRODUCT((Portfolio!$L55=AF$4)*(Portfolio!$L57))</f>
        <v>0</v>
      </c>
      <c r="AG78" s="96">
        <f ca="1">SUMPRODUCT((Portfolio!$L55=AG$4)*(Portfolio!$L57))</f>
        <v>0</v>
      </c>
      <c r="AH78" s="96">
        <f ca="1">SUMPRODUCT((Portfolio!$L55=AH$4)*(Portfolio!$L57))</f>
        <v>0</v>
      </c>
      <c r="AI78" s="97">
        <f ca="1">SUMPRODUCT((Portfolio!$L55=AI$4)*(Portfolio!$L57))</f>
        <v>0</v>
      </c>
      <c r="AJ78" s="96">
        <f ca="1">SUMPRODUCT((Portfolio!$L55=AJ$4)*(Portfolio!$L57))</f>
        <v>0</v>
      </c>
      <c r="AK78" s="96">
        <f ca="1">SUMPRODUCT((Portfolio!$L55=AK$4)*(Portfolio!$L57))</f>
        <v>0</v>
      </c>
      <c r="AL78" s="96">
        <f ca="1">SUMPRODUCT((Portfolio!$L55=AL$4)*(Portfolio!$L57))</f>
        <v>0</v>
      </c>
      <c r="AM78" s="97">
        <f ca="1">SUMPRODUCT((Portfolio!$L55=AM$4)*(Portfolio!$L57))</f>
        <v>0</v>
      </c>
      <c r="AN78" s="96">
        <f ca="1">SUMPRODUCT((Portfolio!$L55=AN$4)*(Portfolio!$L57))</f>
        <v>0</v>
      </c>
      <c r="AO78" s="96">
        <f ca="1">SUMPRODUCT((Portfolio!$L55=AO$4)*(Portfolio!$L57))</f>
        <v>0</v>
      </c>
      <c r="AP78" s="96">
        <f ca="1">SUMPRODUCT((Portfolio!$L55=AP$4)*(Portfolio!$L57))</f>
        <v>0</v>
      </c>
      <c r="AQ78" s="97">
        <f ca="1">SUMPRODUCT((Portfolio!$L55=AQ$4)*(Portfolio!$L57))</f>
        <v>0</v>
      </c>
      <c r="AR78" s="96">
        <f ca="1">SUMPRODUCT((Portfolio!$L55=AR$4)*(Portfolio!$L57))</f>
        <v>0</v>
      </c>
      <c r="AS78" s="96">
        <f ca="1">SUMPRODUCT((Portfolio!$L55=AS$4)*(Portfolio!$L57))</f>
        <v>0</v>
      </c>
      <c r="AT78" s="96">
        <f ca="1">SUMPRODUCT((Portfolio!$L55=AT$4)*(Portfolio!$L57))</f>
        <v>0</v>
      </c>
      <c r="AU78" s="97">
        <f ca="1">SUMPRODUCT((Portfolio!$L55=AU$4)*(Portfolio!$L57))</f>
        <v>0</v>
      </c>
      <c r="AV78" s="96"/>
      <c r="AW78" s="96"/>
      <c r="AX78" s="96"/>
      <c r="AY78" s="99"/>
    </row>
    <row r="79" spans="1:51" ht="15.75" hidden="1" customHeight="1" outlineLevel="1" x14ac:dyDescent="0.2">
      <c r="A79" s="83"/>
      <c r="B79" s="92">
        <f>IF(Portfolio!C58&lt;&gt;"",Portfolio!C58,"")</f>
        <v>18</v>
      </c>
      <c r="C79" s="93" t="str">
        <f>IF(Portfolio!D58&lt;&gt;"",Portfolio!D58,"")</f>
        <v>Company 18</v>
      </c>
      <c r="D79" s="94">
        <f ca="1">SUMPRODUCT((Portfolio!$L58=D$4)*(Portfolio!$L60))</f>
        <v>0</v>
      </c>
      <c r="E79" s="94">
        <f ca="1">SUMPRODUCT((Portfolio!$L58=E$4)*(Portfolio!$L60))</f>
        <v>0</v>
      </c>
      <c r="F79" s="96">
        <f ca="1">SUMPRODUCT((Portfolio!$L58=F$4)*(Portfolio!$L60))</f>
        <v>0</v>
      </c>
      <c r="G79" s="97">
        <f ca="1">SUMPRODUCT((Portfolio!$L58=G$4)*(Portfolio!$L60))</f>
        <v>0</v>
      </c>
      <c r="H79" s="94">
        <f ca="1">SUMPRODUCT((Portfolio!$L58=H$4)*(Portfolio!$L60))</f>
        <v>0</v>
      </c>
      <c r="I79" s="94">
        <f ca="1">SUMPRODUCT((Portfolio!$L58=I$4)*(Portfolio!$L60))</f>
        <v>0</v>
      </c>
      <c r="J79" s="96">
        <f ca="1">SUMPRODUCT((Portfolio!$L58=J$4)*(Portfolio!$L60))</f>
        <v>0</v>
      </c>
      <c r="K79" s="97">
        <f ca="1">SUMPRODUCT((Portfolio!$L58=K$4)*(Portfolio!$L60))</f>
        <v>0</v>
      </c>
      <c r="L79" s="96">
        <f ca="1">SUMPRODUCT((Portfolio!$L58=L$4)*(Portfolio!$L60))</f>
        <v>0</v>
      </c>
      <c r="M79" s="96">
        <f ca="1">SUMPRODUCT((Portfolio!$L58=M$4)*(Portfolio!$L60))</f>
        <v>0</v>
      </c>
      <c r="N79" s="96">
        <f ca="1">SUMPRODUCT((Portfolio!$L58=N$4)*(Portfolio!$L60))</f>
        <v>0</v>
      </c>
      <c r="O79" s="97">
        <f ca="1">SUMPRODUCT((Portfolio!$L58=O$4)*(Portfolio!$L60))</f>
        <v>0</v>
      </c>
      <c r="P79" s="96">
        <f ca="1">SUMPRODUCT((Portfolio!$L58=P$4)*(Portfolio!$L60))</f>
        <v>0</v>
      </c>
      <c r="Q79" s="96">
        <f ca="1">SUMPRODUCT((Portfolio!$L58=Q$4)*(Portfolio!$L60))</f>
        <v>0</v>
      </c>
      <c r="R79" s="96">
        <f ca="1">SUMPRODUCT((Portfolio!$L58=R$4)*(Portfolio!$L60))</f>
        <v>0</v>
      </c>
      <c r="S79" s="97">
        <f ca="1">SUMPRODUCT((Portfolio!$L58=S$4)*(Portfolio!$L60))</f>
        <v>0</v>
      </c>
      <c r="T79" s="96">
        <f ca="1">SUMPRODUCT((Portfolio!$L58=T$4)*(Portfolio!$L60))</f>
        <v>0</v>
      </c>
      <c r="U79" s="96">
        <f ca="1">SUMPRODUCT((Portfolio!$L58=U$4)*(Portfolio!$L60))</f>
        <v>0</v>
      </c>
      <c r="V79" s="96">
        <f ca="1">SUMPRODUCT((Portfolio!$L58=V$4)*(Portfolio!$L60))</f>
        <v>0</v>
      </c>
      <c r="W79" s="97">
        <f ca="1">SUMPRODUCT((Portfolio!$L58=W$4)*(Portfolio!$L60))</f>
        <v>0</v>
      </c>
      <c r="X79" s="96">
        <f ca="1">SUMPRODUCT((Portfolio!$L58=X$4)*(Portfolio!$L60))</f>
        <v>0</v>
      </c>
      <c r="Y79" s="96">
        <f ca="1">SUMPRODUCT((Portfolio!$L58=Y$4)*(Portfolio!$L60))</f>
        <v>0</v>
      </c>
      <c r="Z79" s="96">
        <f ca="1">SUMPRODUCT((Portfolio!$L58=Z$4)*(Portfolio!$L60))</f>
        <v>0</v>
      </c>
      <c r="AA79" s="97">
        <f ca="1">SUMPRODUCT((Portfolio!$L58=AA$4)*(Portfolio!$L60))</f>
        <v>0</v>
      </c>
      <c r="AB79" s="96">
        <f ca="1">SUMPRODUCT((Portfolio!$L58=AB$4)*(Portfolio!$L60))</f>
        <v>0</v>
      </c>
      <c r="AC79" s="96">
        <f ca="1">SUMPRODUCT((Portfolio!$L58=AC$4)*(Portfolio!$L60))</f>
        <v>0</v>
      </c>
      <c r="AD79" s="96">
        <f ca="1">SUMPRODUCT((Portfolio!$L58=AD$4)*(Portfolio!$L60))</f>
        <v>0</v>
      </c>
      <c r="AE79" s="97">
        <f ca="1">SUMPRODUCT((Portfolio!$L58=AE$4)*(Portfolio!$L60))</f>
        <v>0</v>
      </c>
      <c r="AF79" s="96">
        <f ca="1">SUMPRODUCT((Portfolio!$L58=AF$4)*(Portfolio!$L60))</f>
        <v>0</v>
      </c>
      <c r="AG79" s="96">
        <f ca="1">SUMPRODUCT((Portfolio!$L58=AG$4)*(Portfolio!$L60))</f>
        <v>0</v>
      </c>
      <c r="AH79" s="96">
        <f ca="1">SUMPRODUCT((Portfolio!$L58=AH$4)*(Portfolio!$L60))</f>
        <v>0</v>
      </c>
      <c r="AI79" s="97">
        <f ca="1">SUMPRODUCT((Portfolio!$L58=AI$4)*(Portfolio!$L60))</f>
        <v>0</v>
      </c>
      <c r="AJ79" s="96">
        <f ca="1">SUMPRODUCT((Portfolio!$L58=AJ$4)*(Portfolio!$L60))</f>
        <v>0</v>
      </c>
      <c r="AK79" s="96">
        <f ca="1">SUMPRODUCT((Portfolio!$L58=AK$4)*(Portfolio!$L60))</f>
        <v>0</v>
      </c>
      <c r="AL79" s="96">
        <f ca="1">SUMPRODUCT((Portfolio!$L58=AL$4)*(Portfolio!$L60))</f>
        <v>0</v>
      </c>
      <c r="AM79" s="97">
        <f ca="1">SUMPRODUCT((Portfolio!$L58=AM$4)*(Portfolio!$L60))</f>
        <v>0</v>
      </c>
      <c r="AN79" s="96">
        <f ca="1">SUMPRODUCT((Portfolio!$L58=AN$4)*(Portfolio!$L60))</f>
        <v>0</v>
      </c>
      <c r="AO79" s="96">
        <f ca="1">SUMPRODUCT((Portfolio!$L58=AO$4)*(Portfolio!$L60))</f>
        <v>0</v>
      </c>
      <c r="AP79" s="96">
        <f ca="1">SUMPRODUCT((Portfolio!$L58=AP$4)*(Portfolio!$L60))</f>
        <v>0</v>
      </c>
      <c r="AQ79" s="97">
        <f ca="1">SUMPRODUCT((Portfolio!$L58=AQ$4)*(Portfolio!$L60))</f>
        <v>0</v>
      </c>
      <c r="AR79" s="96">
        <f ca="1">SUMPRODUCT((Portfolio!$L58=AR$4)*(Portfolio!$L60))</f>
        <v>0</v>
      </c>
      <c r="AS79" s="96">
        <f ca="1">SUMPRODUCT((Portfolio!$L58=AS$4)*(Portfolio!$L60))</f>
        <v>0</v>
      </c>
      <c r="AT79" s="96">
        <f ca="1">SUMPRODUCT((Portfolio!$L58=AT$4)*(Portfolio!$L60))</f>
        <v>0</v>
      </c>
      <c r="AU79" s="97">
        <f ca="1">SUMPRODUCT((Portfolio!$L58=AU$4)*(Portfolio!$L60))</f>
        <v>0</v>
      </c>
      <c r="AV79" s="96"/>
      <c r="AW79" s="96"/>
      <c r="AX79" s="96"/>
      <c r="AY79" s="99"/>
    </row>
    <row r="80" spans="1:51" ht="15.75" hidden="1" customHeight="1" outlineLevel="1" x14ac:dyDescent="0.2">
      <c r="A80" s="83"/>
      <c r="B80" s="92">
        <f>IF(Portfolio!C61&lt;&gt;"",Portfolio!C61,"")</f>
        <v>19</v>
      </c>
      <c r="C80" s="93" t="str">
        <f>IF(Portfolio!D61&lt;&gt;"",Portfolio!D61,"")</f>
        <v>Company 19</v>
      </c>
      <c r="D80" s="94">
        <f ca="1">SUMPRODUCT((Portfolio!$L61=D$4)*(Portfolio!$L63))</f>
        <v>0</v>
      </c>
      <c r="E80" s="94">
        <f ca="1">SUMPRODUCT((Portfolio!$L61=E$4)*(Portfolio!$L63))</f>
        <v>0</v>
      </c>
      <c r="F80" s="96">
        <f ca="1">SUMPRODUCT((Portfolio!$L61=F$4)*(Portfolio!$L63))</f>
        <v>0</v>
      </c>
      <c r="G80" s="97">
        <f ca="1">SUMPRODUCT((Portfolio!$L61=G$4)*(Portfolio!$L63))</f>
        <v>0</v>
      </c>
      <c r="H80" s="94">
        <f ca="1">SUMPRODUCT((Portfolio!$L61=H$4)*(Portfolio!$L63))</f>
        <v>0</v>
      </c>
      <c r="I80" s="94">
        <f ca="1">SUMPRODUCT((Portfolio!$L61=I$4)*(Portfolio!$L63))</f>
        <v>0</v>
      </c>
      <c r="J80" s="96">
        <f ca="1">SUMPRODUCT((Portfolio!$L61=J$4)*(Portfolio!$L63))</f>
        <v>0</v>
      </c>
      <c r="K80" s="97">
        <f ca="1">SUMPRODUCT((Portfolio!$L61=K$4)*(Portfolio!$L63))</f>
        <v>0</v>
      </c>
      <c r="L80" s="96">
        <f ca="1">SUMPRODUCT((Portfolio!$L61=L$4)*(Portfolio!$L63))</f>
        <v>0</v>
      </c>
      <c r="M80" s="96">
        <f ca="1">SUMPRODUCT((Portfolio!$L61=M$4)*(Portfolio!$L63))</f>
        <v>0</v>
      </c>
      <c r="N80" s="96">
        <f ca="1">SUMPRODUCT((Portfolio!$L61=N$4)*(Portfolio!$L63))</f>
        <v>0</v>
      </c>
      <c r="O80" s="97">
        <f ca="1">SUMPRODUCT((Portfolio!$L61=O$4)*(Portfolio!$L63))</f>
        <v>0</v>
      </c>
      <c r="P80" s="96">
        <f ca="1">SUMPRODUCT((Portfolio!$L61=P$4)*(Portfolio!$L63))</f>
        <v>0</v>
      </c>
      <c r="Q80" s="96">
        <f ca="1">SUMPRODUCT((Portfolio!$L61=Q$4)*(Portfolio!$L63))</f>
        <v>0</v>
      </c>
      <c r="R80" s="96">
        <f ca="1">SUMPRODUCT((Portfolio!$L61=R$4)*(Portfolio!$L63))</f>
        <v>0</v>
      </c>
      <c r="S80" s="97">
        <f ca="1">SUMPRODUCT((Portfolio!$L61=S$4)*(Portfolio!$L63))</f>
        <v>0</v>
      </c>
      <c r="T80" s="96">
        <f ca="1">SUMPRODUCT((Portfolio!$L61=T$4)*(Portfolio!$L63))</f>
        <v>0</v>
      </c>
      <c r="U80" s="96">
        <f ca="1">SUMPRODUCT((Portfolio!$L61=U$4)*(Portfolio!$L63))</f>
        <v>0</v>
      </c>
      <c r="V80" s="96">
        <f ca="1">SUMPRODUCT((Portfolio!$L61=V$4)*(Portfolio!$L63))</f>
        <v>0</v>
      </c>
      <c r="W80" s="97">
        <f ca="1">SUMPRODUCT((Portfolio!$L61=W$4)*(Portfolio!$L63))</f>
        <v>0</v>
      </c>
      <c r="X80" s="96">
        <f ca="1">SUMPRODUCT((Portfolio!$L61=X$4)*(Portfolio!$L63))</f>
        <v>0</v>
      </c>
      <c r="Y80" s="96">
        <f ca="1">SUMPRODUCT((Portfolio!$L61=Y$4)*(Portfolio!$L63))</f>
        <v>0</v>
      </c>
      <c r="Z80" s="96">
        <f ca="1">SUMPRODUCT((Portfolio!$L61=Z$4)*(Portfolio!$L63))</f>
        <v>0</v>
      </c>
      <c r="AA80" s="97">
        <f ca="1">SUMPRODUCT((Portfolio!$L61=AA$4)*(Portfolio!$L63))</f>
        <v>0</v>
      </c>
      <c r="AB80" s="96">
        <f ca="1">SUMPRODUCT((Portfolio!$L61=AB$4)*(Portfolio!$L63))</f>
        <v>0</v>
      </c>
      <c r="AC80" s="96">
        <f ca="1">SUMPRODUCT((Portfolio!$L61=AC$4)*(Portfolio!$L63))</f>
        <v>0</v>
      </c>
      <c r="AD80" s="96">
        <f ca="1">SUMPRODUCT((Portfolio!$L61=AD$4)*(Portfolio!$L63))</f>
        <v>0</v>
      </c>
      <c r="AE80" s="97">
        <f ca="1">SUMPRODUCT((Portfolio!$L61=AE$4)*(Portfolio!$L63))</f>
        <v>0</v>
      </c>
      <c r="AF80" s="96">
        <f ca="1">SUMPRODUCT((Portfolio!$L61=AF$4)*(Portfolio!$L63))</f>
        <v>0</v>
      </c>
      <c r="AG80" s="96">
        <f ca="1">SUMPRODUCT((Portfolio!$L61=AG$4)*(Portfolio!$L63))</f>
        <v>0</v>
      </c>
      <c r="AH80" s="96">
        <f ca="1">SUMPRODUCT((Portfolio!$L61=AH$4)*(Portfolio!$L63))</f>
        <v>0</v>
      </c>
      <c r="AI80" s="97">
        <f ca="1">SUMPRODUCT((Portfolio!$L61=AI$4)*(Portfolio!$L63))</f>
        <v>0</v>
      </c>
      <c r="AJ80" s="96">
        <f ca="1">SUMPRODUCT((Portfolio!$L61=AJ$4)*(Portfolio!$L63))</f>
        <v>0</v>
      </c>
      <c r="AK80" s="96">
        <f ca="1">SUMPRODUCT((Portfolio!$L61=AK$4)*(Portfolio!$L63))</f>
        <v>0</v>
      </c>
      <c r="AL80" s="96">
        <f ca="1">SUMPRODUCT((Portfolio!$L61=AL$4)*(Portfolio!$L63))</f>
        <v>0</v>
      </c>
      <c r="AM80" s="97">
        <f ca="1">SUMPRODUCT((Portfolio!$L61=AM$4)*(Portfolio!$L63))</f>
        <v>0</v>
      </c>
      <c r="AN80" s="96">
        <f ca="1">SUMPRODUCT((Portfolio!$L61=AN$4)*(Portfolio!$L63))</f>
        <v>0</v>
      </c>
      <c r="AO80" s="96">
        <f ca="1">SUMPRODUCT((Portfolio!$L61=AO$4)*(Portfolio!$L63))</f>
        <v>0</v>
      </c>
      <c r="AP80" s="96">
        <f ca="1">SUMPRODUCT((Portfolio!$L61=AP$4)*(Portfolio!$L63))</f>
        <v>0</v>
      </c>
      <c r="AQ80" s="97">
        <f ca="1">SUMPRODUCT((Portfolio!$L61=AQ$4)*(Portfolio!$L63))</f>
        <v>0</v>
      </c>
      <c r="AR80" s="96">
        <f ca="1">SUMPRODUCT((Portfolio!$L61=AR$4)*(Portfolio!$L63))</f>
        <v>0</v>
      </c>
      <c r="AS80" s="96">
        <f ca="1">SUMPRODUCT((Portfolio!$L61=AS$4)*(Portfolio!$L63))</f>
        <v>0</v>
      </c>
      <c r="AT80" s="96">
        <f ca="1">SUMPRODUCT((Portfolio!$L61=AT$4)*(Portfolio!$L63))</f>
        <v>0</v>
      </c>
      <c r="AU80" s="97">
        <f ca="1">SUMPRODUCT((Portfolio!$L61=AU$4)*(Portfolio!$L63))</f>
        <v>0</v>
      </c>
      <c r="AV80" s="96"/>
      <c r="AW80" s="96"/>
      <c r="AX80" s="96"/>
      <c r="AY80" s="99"/>
    </row>
    <row r="81" spans="1:51" ht="15.75" hidden="1" customHeight="1" outlineLevel="1" x14ac:dyDescent="0.2">
      <c r="A81" s="83"/>
      <c r="B81" s="92">
        <f>IF(Portfolio!C64&lt;&gt;"",Portfolio!C64,"")</f>
        <v>20</v>
      </c>
      <c r="C81" s="93" t="str">
        <f>IF(Portfolio!D64&lt;&gt;"",Portfolio!D64,"")</f>
        <v>Company 20</v>
      </c>
      <c r="D81" s="94">
        <f ca="1">SUMPRODUCT((Portfolio!$L64=D$4)*(Portfolio!$L66))</f>
        <v>0</v>
      </c>
      <c r="E81" s="94">
        <f ca="1">SUMPRODUCT((Portfolio!$L64=E$4)*(Portfolio!$L66))</f>
        <v>0</v>
      </c>
      <c r="F81" s="96">
        <f ca="1">SUMPRODUCT((Portfolio!$L64=F$4)*(Portfolio!$L66))</f>
        <v>0</v>
      </c>
      <c r="G81" s="97">
        <f ca="1">SUMPRODUCT((Portfolio!$L64=G$4)*(Portfolio!$L66))</f>
        <v>0</v>
      </c>
      <c r="H81" s="94">
        <f ca="1">SUMPRODUCT((Portfolio!$L64=H$4)*(Portfolio!$L66))</f>
        <v>0</v>
      </c>
      <c r="I81" s="94">
        <f ca="1">SUMPRODUCT((Portfolio!$L64=I$4)*(Portfolio!$L66))</f>
        <v>0</v>
      </c>
      <c r="J81" s="96">
        <f ca="1">SUMPRODUCT((Portfolio!$L64=J$4)*(Portfolio!$L66))</f>
        <v>0</v>
      </c>
      <c r="K81" s="97">
        <f ca="1">SUMPRODUCT((Portfolio!$L64=K$4)*(Portfolio!$L66))</f>
        <v>0</v>
      </c>
      <c r="L81" s="96">
        <f ca="1">SUMPRODUCT((Portfolio!$L64=L$4)*(Portfolio!$L66))</f>
        <v>0</v>
      </c>
      <c r="M81" s="96">
        <f ca="1">SUMPRODUCT((Portfolio!$L64=M$4)*(Portfolio!$L66))</f>
        <v>0</v>
      </c>
      <c r="N81" s="96">
        <f ca="1">SUMPRODUCT((Portfolio!$L64=N$4)*(Portfolio!$L66))</f>
        <v>0</v>
      </c>
      <c r="O81" s="97">
        <f ca="1">SUMPRODUCT((Portfolio!$L64=O$4)*(Portfolio!$L66))</f>
        <v>0</v>
      </c>
      <c r="P81" s="96">
        <f ca="1">SUMPRODUCT((Portfolio!$L64=P$4)*(Portfolio!$L66))</f>
        <v>0</v>
      </c>
      <c r="Q81" s="96">
        <f ca="1">SUMPRODUCT((Portfolio!$L64=Q$4)*(Portfolio!$L66))</f>
        <v>0</v>
      </c>
      <c r="R81" s="96">
        <f ca="1">SUMPRODUCT((Portfolio!$L64=R$4)*(Portfolio!$L66))</f>
        <v>0</v>
      </c>
      <c r="S81" s="97">
        <f ca="1">SUMPRODUCT((Portfolio!$L64=S$4)*(Portfolio!$L66))</f>
        <v>0</v>
      </c>
      <c r="T81" s="96">
        <f ca="1">SUMPRODUCT((Portfolio!$L64=T$4)*(Portfolio!$L66))</f>
        <v>0</v>
      </c>
      <c r="U81" s="96">
        <f ca="1">SUMPRODUCT((Portfolio!$L64=U$4)*(Portfolio!$L66))</f>
        <v>0</v>
      </c>
      <c r="V81" s="96">
        <f ca="1">SUMPRODUCT((Portfolio!$L64=V$4)*(Portfolio!$L66))</f>
        <v>0</v>
      </c>
      <c r="W81" s="97">
        <f ca="1">SUMPRODUCT((Portfolio!$L64=W$4)*(Portfolio!$L66))</f>
        <v>0</v>
      </c>
      <c r="X81" s="96">
        <f ca="1">SUMPRODUCT((Portfolio!$L64=X$4)*(Portfolio!$L66))</f>
        <v>0</v>
      </c>
      <c r="Y81" s="96">
        <f ca="1">SUMPRODUCT((Portfolio!$L64=Y$4)*(Portfolio!$L66))</f>
        <v>0</v>
      </c>
      <c r="Z81" s="96">
        <f ca="1">SUMPRODUCT((Portfolio!$L64=Z$4)*(Portfolio!$L66))</f>
        <v>0</v>
      </c>
      <c r="AA81" s="97">
        <f ca="1">SUMPRODUCT((Portfolio!$L64=AA$4)*(Portfolio!$L66))</f>
        <v>0</v>
      </c>
      <c r="AB81" s="96">
        <f ca="1">SUMPRODUCT((Portfolio!$L64=AB$4)*(Portfolio!$L66))</f>
        <v>0</v>
      </c>
      <c r="AC81" s="96">
        <f ca="1">SUMPRODUCT((Portfolio!$L64=AC$4)*(Portfolio!$L66))</f>
        <v>0</v>
      </c>
      <c r="AD81" s="96">
        <f ca="1">SUMPRODUCT((Portfolio!$L64=AD$4)*(Portfolio!$L66))</f>
        <v>0</v>
      </c>
      <c r="AE81" s="97">
        <f ca="1">SUMPRODUCT((Portfolio!$L64=AE$4)*(Portfolio!$L66))</f>
        <v>0</v>
      </c>
      <c r="AF81" s="96">
        <f ca="1">SUMPRODUCT((Portfolio!$L64=AF$4)*(Portfolio!$L66))</f>
        <v>0</v>
      </c>
      <c r="AG81" s="96">
        <f ca="1">SUMPRODUCT((Portfolio!$L64=AG$4)*(Portfolio!$L66))</f>
        <v>0</v>
      </c>
      <c r="AH81" s="96">
        <f ca="1">SUMPRODUCT((Portfolio!$L64=AH$4)*(Portfolio!$L66))</f>
        <v>0</v>
      </c>
      <c r="AI81" s="97">
        <f ca="1">SUMPRODUCT((Portfolio!$L64=AI$4)*(Portfolio!$L66))</f>
        <v>0</v>
      </c>
      <c r="AJ81" s="96">
        <f ca="1">SUMPRODUCT((Portfolio!$L64=AJ$4)*(Portfolio!$L66))</f>
        <v>0</v>
      </c>
      <c r="AK81" s="96">
        <f ca="1">SUMPRODUCT((Portfolio!$L64=AK$4)*(Portfolio!$L66))</f>
        <v>0</v>
      </c>
      <c r="AL81" s="96">
        <f ca="1">SUMPRODUCT((Portfolio!$L64=AL$4)*(Portfolio!$L66))</f>
        <v>0</v>
      </c>
      <c r="AM81" s="97">
        <f ca="1">SUMPRODUCT((Portfolio!$L64=AM$4)*(Portfolio!$L66))</f>
        <v>0</v>
      </c>
      <c r="AN81" s="96">
        <f ca="1">SUMPRODUCT((Portfolio!$L64=AN$4)*(Portfolio!$L66))</f>
        <v>0</v>
      </c>
      <c r="AO81" s="96">
        <f ca="1">SUMPRODUCT((Portfolio!$L64=AO$4)*(Portfolio!$L66))</f>
        <v>0</v>
      </c>
      <c r="AP81" s="96">
        <f ca="1">SUMPRODUCT((Portfolio!$L64=AP$4)*(Portfolio!$L66))</f>
        <v>0</v>
      </c>
      <c r="AQ81" s="97">
        <f ca="1">SUMPRODUCT((Portfolio!$L64=AQ$4)*(Portfolio!$L66))</f>
        <v>0</v>
      </c>
      <c r="AR81" s="96">
        <f ca="1">SUMPRODUCT((Portfolio!$L64=AR$4)*(Portfolio!$L66))</f>
        <v>0</v>
      </c>
      <c r="AS81" s="96">
        <f ca="1">SUMPRODUCT((Portfolio!$L64=AS$4)*(Portfolio!$L66))</f>
        <v>0</v>
      </c>
      <c r="AT81" s="96">
        <f ca="1">SUMPRODUCT((Portfolio!$L64=AT$4)*(Portfolio!$L66))</f>
        <v>0</v>
      </c>
      <c r="AU81" s="97">
        <f ca="1">SUMPRODUCT((Portfolio!$L64=AU$4)*(Portfolio!$L66))</f>
        <v>0</v>
      </c>
      <c r="AV81" s="96"/>
      <c r="AW81" s="96"/>
      <c r="AX81" s="96"/>
      <c r="AY81" s="99"/>
    </row>
    <row r="82" spans="1:51" ht="15.75" hidden="1" customHeight="1" outlineLevel="1" x14ac:dyDescent="0.2">
      <c r="A82" s="83"/>
      <c r="B82" s="92">
        <f>IF(Portfolio!C67&lt;&gt;"",Portfolio!C67,"")</f>
        <v>21</v>
      </c>
      <c r="C82" s="93" t="str">
        <f>IF(Portfolio!D67&lt;&gt;"",Portfolio!D67,"")</f>
        <v>Company 21</v>
      </c>
      <c r="D82" s="94">
        <f ca="1">SUMPRODUCT((Portfolio!$L67=D$4)*(Portfolio!$L69))</f>
        <v>0</v>
      </c>
      <c r="E82" s="94">
        <f ca="1">SUMPRODUCT((Portfolio!$L67=E$4)*(Portfolio!$L69))</f>
        <v>0</v>
      </c>
      <c r="F82" s="96">
        <f ca="1">SUMPRODUCT((Portfolio!$L67=F$4)*(Portfolio!$L69))</f>
        <v>0</v>
      </c>
      <c r="G82" s="97">
        <f ca="1">SUMPRODUCT((Portfolio!$L67=G$4)*(Portfolio!$L69))</f>
        <v>0</v>
      </c>
      <c r="H82" s="94">
        <f ca="1">SUMPRODUCT((Portfolio!$L67=H$4)*(Portfolio!$L69))</f>
        <v>0</v>
      </c>
      <c r="I82" s="94">
        <f ca="1">SUMPRODUCT((Portfolio!$L67=I$4)*(Portfolio!$L69))</f>
        <v>0</v>
      </c>
      <c r="J82" s="96">
        <f ca="1">SUMPRODUCT((Portfolio!$L67=J$4)*(Portfolio!$L69))</f>
        <v>0</v>
      </c>
      <c r="K82" s="97">
        <f ca="1">SUMPRODUCT((Portfolio!$L67=K$4)*(Portfolio!$L69))</f>
        <v>0</v>
      </c>
      <c r="L82" s="96">
        <f ca="1">SUMPRODUCT((Portfolio!$L67=L$4)*(Portfolio!$L69))</f>
        <v>0</v>
      </c>
      <c r="M82" s="96">
        <f ca="1">SUMPRODUCT((Portfolio!$L67=M$4)*(Portfolio!$L69))</f>
        <v>0</v>
      </c>
      <c r="N82" s="96">
        <f ca="1">SUMPRODUCT((Portfolio!$L67=N$4)*(Portfolio!$L69))</f>
        <v>0</v>
      </c>
      <c r="O82" s="97">
        <f ca="1">SUMPRODUCT((Portfolio!$L67=O$4)*(Portfolio!$L69))</f>
        <v>0</v>
      </c>
      <c r="P82" s="96">
        <f ca="1">SUMPRODUCT((Portfolio!$L67=P$4)*(Portfolio!$L69))</f>
        <v>0</v>
      </c>
      <c r="Q82" s="96">
        <f ca="1">SUMPRODUCT((Portfolio!$L67=Q$4)*(Portfolio!$L69))</f>
        <v>0</v>
      </c>
      <c r="R82" s="96">
        <f ca="1">SUMPRODUCT((Portfolio!$L67=R$4)*(Portfolio!$L69))</f>
        <v>0</v>
      </c>
      <c r="S82" s="97">
        <f ca="1">SUMPRODUCT((Portfolio!$L67=S$4)*(Portfolio!$L69))</f>
        <v>0</v>
      </c>
      <c r="T82" s="96">
        <f ca="1">SUMPRODUCT((Portfolio!$L67=T$4)*(Portfolio!$L69))</f>
        <v>0</v>
      </c>
      <c r="U82" s="96">
        <f ca="1">SUMPRODUCT((Portfolio!$L67=U$4)*(Portfolio!$L69))</f>
        <v>0</v>
      </c>
      <c r="V82" s="96">
        <f ca="1">SUMPRODUCT((Portfolio!$L67=V$4)*(Portfolio!$L69))</f>
        <v>0</v>
      </c>
      <c r="W82" s="97">
        <f ca="1">SUMPRODUCT((Portfolio!$L67=W$4)*(Portfolio!$L69))</f>
        <v>0</v>
      </c>
      <c r="X82" s="96">
        <f ca="1">SUMPRODUCT((Portfolio!$L67=X$4)*(Portfolio!$L69))</f>
        <v>0</v>
      </c>
      <c r="Y82" s="96">
        <f ca="1">SUMPRODUCT((Portfolio!$L67=Y$4)*(Portfolio!$L69))</f>
        <v>0</v>
      </c>
      <c r="Z82" s="96">
        <f ca="1">SUMPRODUCT((Portfolio!$L67=Z$4)*(Portfolio!$L69))</f>
        <v>0</v>
      </c>
      <c r="AA82" s="97">
        <f ca="1">SUMPRODUCT((Portfolio!$L67=AA$4)*(Portfolio!$L69))</f>
        <v>0</v>
      </c>
      <c r="AB82" s="96">
        <f ca="1">SUMPRODUCT((Portfolio!$L67=AB$4)*(Portfolio!$L69))</f>
        <v>0</v>
      </c>
      <c r="AC82" s="96">
        <f ca="1">SUMPRODUCT((Portfolio!$L67=AC$4)*(Portfolio!$L69))</f>
        <v>0</v>
      </c>
      <c r="AD82" s="96">
        <f ca="1">SUMPRODUCT((Portfolio!$L67=AD$4)*(Portfolio!$L69))</f>
        <v>0</v>
      </c>
      <c r="AE82" s="97">
        <f ca="1">SUMPRODUCT((Portfolio!$L67=AE$4)*(Portfolio!$L69))</f>
        <v>0</v>
      </c>
      <c r="AF82" s="96">
        <f ca="1">SUMPRODUCT((Portfolio!$L67=AF$4)*(Portfolio!$L69))</f>
        <v>0</v>
      </c>
      <c r="AG82" s="96">
        <f ca="1">SUMPRODUCT((Portfolio!$L67=AG$4)*(Portfolio!$L69))</f>
        <v>0</v>
      </c>
      <c r="AH82" s="96">
        <f ca="1">SUMPRODUCT((Portfolio!$L67=AH$4)*(Portfolio!$L69))</f>
        <v>0</v>
      </c>
      <c r="AI82" s="97">
        <f ca="1">SUMPRODUCT((Portfolio!$L67=AI$4)*(Portfolio!$L69))</f>
        <v>0</v>
      </c>
      <c r="AJ82" s="96">
        <f ca="1">SUMPRODUCT((Portfolio!$L67=AJ$4)*(Portfolio!$L69))</f>
        <v>0</v>
      </c>
      <c r="AK82" s="96">
        <f ca="1">SUMPRODUCT((Portfolio!$L67=AK$4)*(Portfolio!$L69))</f>
        <v>0</v>
      </c>
      <c r="AL82" s="96">
        <f ca="1">SUMPRODUCT((Portfolio!$L67=AL$4)*(Portfolio!$L69))</f>
        <v>0</v>
      </c>
      <c r="AM82" s="97">
        <f ca="1">SUMPRODUCT((Portfolio!$L67=AM$4)*(Portfolio!$L69))</f>
        <v>0</v>
      </c>
      <c r="AN82" s="96">
        <f ca="1">SUMPRODUCT((Portfolio!$L67=AN$4)*(Portfolio!$L69))</f>
        <v>0</v>
      </c>
      <c r="AO82" s="96">
        <f ca="1">SUMPRODUCT((Portfolio!$L67=AO$4)*(Portfolio!$L69))</f>
        <v>0</v>
      </c>
      <c r="AP82" s="96">
        <f ca="1">SUMPRODUCT((Portfolio!$L67=AP$4)*(Portfolio!$L69))</f>
        <v>0</v>
      </c>
      <c r="AQ82" s="97">
        <f ca="1">SUMPRODUCT((Portfolio!$L67=AQ$4)*(Portfolio!$L69))</f>
        <v>0</v>
      </c>
      <c r="AR82" s="96">
        <f ca="1">SUMPRODUCT((Portfolio!$L67=AR$4)*(Portfolio!$L69))</f>
        <v>0</v>
      </c>
      <c r="AS82" s="96">
        <f ca="1">SUMPRODUCT((Portfolio!$L67=AS$4)*(Portfolio!$L69))</f>
        <v>0</v>
      </c>
      <c r="AT82" s="96">
        <f ca="1">SUMPRODUCT((Portfolio!$L67=AT$4)*(Portfolio!$L69))</f>
        <v>0</v>
      </c>
      <c r="AU82" s="97">
        <f ca="1">SUMPRODUCT((Portfolio!$L67=AU$4)*(Portfolio!$L69))</f>
        <v>0</v>
      </c>
      <c r="AV82" s="96"/>
      <c r="AW82" s="96"/>
      <c r="AX82" s="96"/>
      <c r="AY82" s="99"/>
    </row>
    <row r="83" spans="1:51" ht="15.75" hidden="1" customHeight="1" outlineLevel="1" x14ac:dyDescent="0.2">
      <c r="A83" s="83"/>
      <c r="B83" s="92">
        <f>IF(Portfolio!C70&lt;&gt;"",Portfolio!C70,"")</f>
        <v>22</v>
      </c>
      <c r="C83" s="93" t="str">
        <f>IF(Portfolio!D70&lt;&gt;"",Portfolio!D70,"")</f>
        <v>Company 22</v>
      </c>
      <c r="D83" s="94">
        <f ca="1">SUMPRODUCT((Portfolio!$L70=D$4)*(Portfolio!$L72))</f>
        <v>0</v>
      </c>
      <c r="E83" s="94">
        <f ca="1">SUMPRODUCT((Portfolio!$L70=E$4)*(Portfolio!$L72))</f>
        <v>0</v>
      </c>
      <c r="F83" s="96">
        <f ca="1">SUMPRODUCT((Portfolio!$L70=F$4)*(Portfolio!$L72))</f>
        <v>0</v>
      </c>
      <c r="G83" s="97">
        <f ca="1">SUMPRODUCT((Portfolio!$L70=G$4)*(Portfolio!$L72))</f>
        <v>0</v>
      </c>
      <c r="H83" s="94">
        <f ca="1">SUMPRODUCT((Portfolio!$L70=H$4)*(Portfolio!$L72))</f>
        <v>0</v>
      </c>
      <c r="I83" s="94">
        <f ca="1">SUMPRODUCT((Portfolio!$L70=I$4)*(Portfolio!$L72))</f>
        <v>0</v>
      </c>
      <c r="J83" s="96">
        <f ca="1">SUMPRODUCT((Portfolio!$L70=J$4)*(Portfolio!$L72))</f>
        <v>0</v>
      </c>
      <c r="K83" s="97">
        <f ca="1">SUMPRODUCT((Portfolio!$L70=K$4)*(Portfolio!$L72))</f>
        <v>0</v>
      </c>
      <c r="L83" s="96">
        <f ca="1">SUMPRODUCT((Portfolio!$L70=L$4)*(Portfolio!$L72))</f>
        <v>0</v>
      </c>
      <c r="M83" s="96">
        <f ca="1">SUMPRODUCT((Portfolio!$L70=M$4)*(Portfolio!$L72))</f>
        <v>0</v>
      </c>
      <c r="N83" s="96">
        <f ca="1">SUMPRODUCT((Portfolio!$L70=N$4)*(Portfolio!$L72))</f>
        <v>0</v>
      </c>
      <c r="O83" s="97">
        <f ca="1">SUMPRODUCT((Portfolio!$L70=O$4)*(Portfolio!$L72))</f>
        <v>0</v>
      </c>
      <c r="P83" s="96">
        <f ca="1">SUMPRODUCT((Portfolio!$L70=P$4)*(Portfolio!$L72))</f>
        <v>0</v>
      </c>
      <c r="Q83" s="96">
        <f ca="1">SUMPRODUCT((Portfolio!$L70=Q$4)*(Portfolio!$L72))</f>
        <v>0</v>
      </c>
      <c r="R83" s="96">
        <f ca="1">SUMPRODUCT((Portfolio!$L70=R$4)*(Portfolio!$L72))</f>
        <v>0</v>
      </c>
      <c r="S83" s="97">
        <f ca="1">SUMPRODUCT((Portfolio!$L70=S$4)*(Portfolio!$L72))</f>
        <v>0</v>
      </c>
      <c r="T83" s="96">
        <f ca="1">SUMPRODUCT((Portfolio!$L70=T$4)*(Portfolio!$L72))</f>
        <v>0</v>
      </c>
      <c r="U83" s="96">
        <f ca="1">SUMPRODUCT((Portfolio!$L70=U$4)*(Portfolio!$L72))</f>
        <v>0</v>
      </c>
      <c r="V83" s="96">
        <f ca="1">SUMPRODUCT((Portfolio!$L70=V$4)*(Portfolio!$L72))</f>
        <v>0</v>
      </c>
      <c r="W83" s="97">
        <f ca="1">SUMPRODUCT((Portfolio!$L70=W$4)*(Portfolio!$L72))</f>
        <v>0</v>
      </c>
      <c r="X83" s="96">
        <f ca="1">SUMPRODUCT((Portfolio!$L70=X$4)*(Portfolio!$L72))</f>
        <v>0</v>
      </c>
      <c r="Y83" s="96">
        <f ca="1">SUMPRODUCT((Portfolio!$L70=Y$4)*(Portfolio!$L72))</f>
        <v>0</v>
      </c>
      <c r="Z83" s="96">
        <f ca="1">SUMPRODUCT((Portfolio!$L70=Z$4)*(Portfolio!$L72))</f>
        <v>0</v>
      </c>
      <c r="AA83" s="97">
        <f ca="1">SUMPRODUCT((Portfolio!$L70=AA$4)*(Portfolio!$L72))</f>
        <v>0</v>
      </c>
      <c r="AB83" s="96">
        <f ca="1">SUMPRODUCT((Portfolio!$L70=AB$4)*(Portfolio!$L72))</f>
        <v>0</v>
      </c>
      <c r="AC83" s="96">
        <f ca="1">SUMPRODUCT((Portfolio!$L70=AC$4)*(Portfolio!$L72))</f>
        <v>0</v>
      </c>
      <c r="AD83" s="96">
        <f ca="1">SUMPRODUCT((Portfolio!$L70=AD$4)*(Portfolio!$L72))</f>
        <v>0</v>
      </c>
      <c r="AE83" s="97">
        <f ca="1">SUMPRODUCT((Portfolio!$L70=AE$4)*(Portfolio!$L72))</f>
        <v>0</v>
      </c>
      <c r="AF83" s="96">
        <f ca="1">SUMPRODUCT((Portfolio!$L70=AF$4)*(Portfolio!$L72))</f>
        <v>0</v>
      </c>
      <c r="AG83" s="96">
        <f ca="1">SUMPRODUCT((Portfolio!$L70=AG$4)*(Portfolio!$L72))</f>
        <v>0</v>
      </c>
      <c r="AH83" s="96">
        <f ca="1">SUMPRODUCT((Portfolio!$L70=AH$4)*(Portfolio!$L72))</f>
        <v>0</v>
      </c>
      <c r="AI83" s="97">
        <f ca="1">SUMPRODUCT((Portfolio!$L70=AI$4)*(Portfolio!$L72))</f>
        <v>0</v>
      </c>
      <c r="AJ83" s="96">
        <f ca="1">SUMPRODUCT((Portfolio!$L70=AJ$4)*(Portfolio!$L72))</f>
        <v>0</v>
      </c>
      <c r="AK83" s="96">
        <f ca="1">SUMPRODUCT((Portfolio!$L70=AK$4)*(Portfolio!$L72))</f>
        <v>0</v>
      </c>
      <c r="AL83" s="96">
        <f ca="1">SUMPRODUCT((Portfolio!$L70=AL$4)*(Portfolio!$L72))</f>
        <v>0</v>
      </c>
      <c r="AM83" s="97">
        <f ca="1">SUMPRODUCT((Portfolio!$L70=AM$4)*(Portfolio!$L72))</f>
        <v>0</v>
      </c>
      <c r="AN83" s="96">
        <f ca="1">SUMPRODUCT((Portfolio!$L70=AN$4)*(Portfolio!$L72))</f>
        <v>0</v>
      </c>
      <c r="AO83" s="96">
        <f ca="1">SUMPRODUCT((Portfolio!$L70=AO$4)*(Portfolio!$L72))</f>
        <v>0</v>
      </c>
      <c r="AP83" s="96">
        <f ca="1">SUMPRODUCT((Portfolio!$L70=AP$4)*(Portfolio!$L72))</f>
        <v>0</v>
      </c>
      <c r="AQ83" s="97">
        <f ca="1">SUMPRODUCT((Portfolio!$L70=AQ$4)*(Portfolio!$L72))</f>
        <v>0</v>
      </c>
      <c r="AR83" s="96">
        <f ca="1">SUMPRODUCT((Portfolio!$L70=AR$4)*(Portfolio!$L72))</f>
        <v>0</v>
      </c>
      <c r="AS83" s="96">
        <f ca="1">SUMPRODUCT((Portfolio!$L70=AS$4)*(Portfolio!$L72))</f>
        <v>0</v>
      </c>
      <c r="AT83" s="96">
        <f ca="1">SUMPRODUCT((Portfolio!$L70=AT$4)*(Portfolio!$L72))</f>
        <v>0</v>
      </c>
      <c r="AU83" s="97">
        <f ca="1">SUMPRODUCT((Portfolio!$L70=AU$4)*(Portfolio!$L72))</f>
        <v>0</v>
      </c>
      <c r="AV83" s="96"/>
      <c r="AW83" s="96"/>
      <c r="AX83" s="96"/>
      <c r="AY83" s="99"/>
    </row>
    <row r="84" spans="1:51" ht="15.75" hidden="1" customHeight="1" outlineLevel="1" x14ac:dyDescent="0.2">
      <c r="A84" s="83"/>
      <c r="B84" s="92">
        <f>IF(Portfolio!C73&lt;&gt;"",Portfolio!C73,"")</f>
        <v>23</v>
      </c>
      <c r="C84" s="93" t="str">
        <f>IF(Portfolio!D73&lt;&gt;"",Portfolio!D73,"")</f>
        <v>Company 23</v>
      </c>
      <c r="D84" s="94">
        <f ca="1">SUMPRODUCT((Portfolio!$L73=D$4)*(Portfolio!$L75))</f>
        <v>0</v>
      </c>
      <c r="E84" s="94">
        <f ca="1">SUMPRODUCT((Portfolio!$L73=E$4)*(Portfolio!$L75))</f>
        <v>0</v>
      </c>
      <c r="F84" s="96">
        <f ca="1">SUMPRODUCT((Portfolio!$L73=F$4)*(Portfolio!$L75))</f>
        <v>0</v>
      </c>
      <c r="G84" s="97">
        <f ca="1">SUMPRODUCT((Portfolio!$L73=G$4)*(Portfolio!$L75))</f>
        <v>0</v>
      </c>
      <c r="H84" s="94">
        <f ca="1">SUMPRODUCT((Portfolio!$L73=H$4)*(Portfolio!$L75))</f>
        <v>0</v>
      </c>
      <c r="I84" s="94">
        <f ca="1">SUMPRODUCT((Portfolio!$L73=I$4)*(Portfolio!$L75))</f>
        <v>0</v>
      </c>
      <c r="J84" s="96">
        <f ca="1">SUMPRODUCT((Portfolio!$L73=J$4)*(Portfolio!$L75))</f>
        <v>0</v>
      </c>
      <c r="K84" s="97">
        <f ca="1">SUMPRODUCT((Portfolio!$L73=K$4)*(Portfolio!$L75))</f>
        <v>0</v>
      </c>
      <c r="L84" s="96">
        <f ca="1">SUMPRODUCT((Portfolio!$L73=L$4)*(Portfolio!$L75))</f>
        <v>0</v>
      </c>
      <c r="M84" s="96">
        <f ca="1">SUMPRODUCT((Portfolio!$L73=M$4)*(Portfolio!$L75))</f>
        <v>0</v>
      </c>
      <c r="N84" s="96">
        <f ca="1">SUMPRODUCT((Portfolio!$L73=N$4)*(Portfolio!$L75))</f>
        <v>0</v>
      </c>
      <c r="O84" s="97">
        <f ca="1">SUMPRODUCT((Portfolio!$L73=O$4)*(Portfolio!$L75))</f>
        <v>0</v>
      </c>
      <c r="P84" s="96">
        <f ca="1">SUMPRODUCT((Portfolio!$L73=P$4)*(Portfolio!$L75))</f>
        <v>0</v>
      </c>
      <c r="Q84" s="96">
        <f ca="1">SUMPRODUCT((Portfolio!$L73=Q$4)*(Portfolio!$L75))</f>
        <v>0</v>
      </c>
      <c r="R84" s="96">
        <f ca="1">SUMPRODUCT((Portfolio!$L73=R$4)*(Portfolio!$L75))</f>
        <v>0</v>
      </c>
      <c r="S84" s="97">
        <f ca="1">SUMPRODUCT((Portfolio!$L73=S$4)*(Portfolio!$L75))</f>
        <v>0</v>
      </c>
      <c r="T84" s="96">
        <f ca="1">SUMPRODUCT((Portfolio!$L73=T$4)*(Portfolio!$L75))</f>
        <v>0</v>
      </c>
      <c r="U84" s="96">
        <f ca="1">SUMPRODUCT((Portfolio!$L73=U$4)*(Portfolio!$L75))</f>
        <v>0</v>
      </c>
      <c r="V84" s="96">
        <f ca="1">SUMPRODUCT((Portfolio!$L73=V$4)*(Portfolio!$L75))</f>
        <v>0</v>
      </c>
      <c r="W84" s="97">
        <f ca="1">SUMPRODUCT((Portfolio!$L73=W$4)*(Portfolio!$L75))</f>
        <v>0</v>
      </c>
      <c r="X84" s="96">
        <f ca="1">SUMPRODUCT((Portfolio!$L73=X$4)*(Portfolio!$L75))</f>
        <v>0</v>
      </c>
      <c r="Y84" s="96">
        <f ca="1">SUMPRODUCT((Portfolio!$L73=Y$4)*(Portfolio!$L75))</f>
        <v>0</v>
      </c>
      <c r="Z84" s="96">
        <f ca="1">SUMPRODUCT((Portfolio!$L73=Z$4)*(Portfolio!$L75))</f>
        <v>0</v>
      </c>
      <c r="AA84" s="97">
        <f ca="1">SUMPRODUCT((Portfolio!$L73=AA$4)*(Portfolio!$L75))</f>
        <v>0</v>
      </c>
      <c r="AB84" s="96">
        <f ca="1">SUMPRODUCT((Portfolio!$L73=AB$4)*(Portfolio!$L75))</f>
        <v>0</v>
      </c>
      <c r="AC84" s="96">
        <f ca="1">SUMPRODUCT((Portfolio!$L73=AC$4)*(Portfolio!$L75))</f>
        <v>0</v>
      </c>
      <c r="AD84" s="96">
        <f ca="1">SUMPRODUCT((Portfolio!$L73=AD$4)*(Portfolio!$L75))</f>
        <v>0</v>
      </c>
      <c r="AE84" s="97">
        <f ca="1">SUMPRODUCT((Portfolio!$L73=AE$4)*(Portfolio!$L75))</f>
        <v>0</v>
      </c>
      <c r="AF84" s="96">
        <f ca="1">SUMPRODUCT((Portfolio!$L73=AF$4)*(Portfolio!$L75))</f>
        <v>0</v>
      </c>
      <c r="AG84" s="96">
        <f ca="1">SUMPRODUCT((Portfolio!$L73=AG$4)*(Portfolio!$L75))</f>
        <v>0</v>
      </c>
      <c r="AH84" s="96">
        <f ca="1">SUMPRODUCT((Portfolio!$L73=AH$4)*(Portfolio!$L75))</f>
        <v>0</v>
      </c>
      <c r="AI84" s="97">
        <f ca="1">SUMPRODUCT((Portfolio!$L73=AI$4)*(Portfolio!$L75))</f>
        <v>0</v>
      </c>
      <c r="AJ84" s="96">
        <f ca="1">SUMPRODUCT((Portfolio!$L73=AJ$4)*(Portfolio!$L75))</f>
        <v>0</v>
      </c>
      <c r="AK84" s="96">
        <f ca="1">SUMPRODUCT((Portfolio!$L73=AK$4)*(Portfolio!$L75))</f>
        <v>0</v>
      </c>
      <c r="AL84" s="96">
        <f ca="1">SUMPRODUCT((Portfolio!$L73=AL$4)*(Portfolio!$L75))</f>
        <v>0</v>
      </c>
      <c r="AM84" s="97">
        <f ca="1">SUMPRODUCT((Portfolio!$L73=AM$4)*(Portfolio!$L75))</f>
        <v>0</v>
      </c>
      <c r="AN84" s="96">
        <f ca="1">SUMPRODUCT((Portfolio!$L73=AN$4)*(Portfolio!$L75))</f>
        <v>0</v>
      </c>
      <c r="AO84" s="96">
        <f ca="1">SUMPRODUCT((Portfolio!$L73=AO$4)*(Portfolio!$L75))</f>
        <v>0</v>
      </c>
      <c r="AP84" s="96">
        <f ca="1">SUMPRODUCT((Portfolio!$L73=AP$4)*(Portfolio!$L75))</f>
        <v>0</v>
      </c>
      <c r="AQ84" s="97">
        <f ca="1">SUMPRODUCT((Portfolio!$L73=AQ$4)*(Portfolio!$L75))</f>
        <v>0</v>
      </c>
      <c r="AR84" s="96">
        <f ca="1">SUMPRODUCT((Portfolio!$L73=AR$4)*(Portfolio!$L75))</f>
        <v>0</v>
      </c>
      <c r="AS84" s="96">
        <f ca="1">SUMPRODUCT((Portfolio!$L73=AS$4)*(Portfolio!$L75))</f>
        <v>0</v>
      </c>
      <c r="AT84" s="96">
        <f ca="1">SUMPRODUCT((Portfolio!$L73=AT$4)*(Portfolio!$L75))</f>
        <v>0</v>
      </c>
      <c r="AU84" s="97">
        <f ca="1">SUMPRODUCT((Portfolio!$L73=AU$4)*(Portfolio!$L75))</f>
        <v>0</v>
      </c>
      <c r="AV84" s="96"/>
      <c r="AW84" s="96"/>
      <c r="AX84" s="96"/>
      <c r="AY84" s="99"/>
    </row>
    <row r="85" spans="1:51" ht="15.75" hidden="1" customHeight="1" outlineLevel="1" x14ac:dyDescent="0.2">
      <c r="A85" s="83"/>
      <c r="B85" s="92">
        <f>IF(Portfolio!C76&lt;&gt;"",Portfolio!C76,"")</f>
        <v>24</v>
      </c>
      <c r="C85" s="93" t="str">
        <f>IF(Portfolio!D76&lt;&gt;"",Portfolio!D76,"")</f>
        <v>Company 24</v>
      </c>
      <c r="D85" s="94">
        <f ca="1">SUMPRODUCT((Portfolio!$L76=D$4)*(Portfolio!$L78))</f>
        <v>0</v>
      </c>
      <c r="E85" s="94">
        <f ca="1">SUMPRODUCT((Portfolio!$L76=E$4)*(Portfolio!$L78))</f>
        <v>0</v>
      </c>
      <c r="F85" s="96">
        <f ca="1">SUMPRODUCT((Portfolio!$L76=F$4)*(Portfolio!$L78))</f>
        <v>0</v>
      </c>
      <c r="G85" s="97">
        <f ca="1">SUMPRODUCT((Portfolio!$L76=G$4)*(Portfolio!$L78))</f>
        <v>0</v>
      </c>
      <c r="H85" s="94">
        <f ca="1">SUMPRODUCT((Portfolio!$L76=H$4)*(Portfolio!$L78))</f>
        <v>0</v>
      </c>
      <c r="I85" s="94">
        <f ca="1">SUMPRODUCT((Portfolio!$L76=I$4)*(Portfolio!$L78))</f>
        <v>0</v>
      </c>
      <c r="J85" s="96">
        <f ca="1">SUMPRODUCT((Portfolio!$L76=J$4)*(Portfolio!$L78))</f>
        <v>0</v>
      </c>
      <c r="K85" s="97">
        <f ca="1">SUMPRODUCT((Portfolio!$L76=K$4)*(Portfolio!$L78))</f>
        <v>0</v>
      </c>
      <c r="L85" s="96">
        <f ca="1">SUMPRODUCT((Portfolio!$L76=L$4)*(Portfolio!$L78))</f>
        <v>0</v>
      </c>
      <c r="M85" s="96">
        <f ca="1">SUMPRODUCT((Portfolio!$L76=M$4)*(Portfolio!$L78))</f>
        <v>0</v>
      </c>
      <c r="N85" s="96">
        <f ca="1">SUMPRODUCT((Portfolio!$L76=N$4)*(Portfolio!$L78))</f>
        <v>0</v>
      </c>
      <c r="O85" s="97">
        <f ca="1">SUMPRODUCT((Portfolio!$L76=O$4)*(Portfolio!$L78))</f>
        <v>0</v>
      </c>
      <c r="P85" s="96">
        <f ca="1">SUMPRODUCT((Portfolio!$L76=P$4)*(Portfolio!$L78))</f>
        <v>0</v>
      </c>
      <c r="Q85" s="96">
        <f ca="1">SUMPRODUCT((Portfolio!$L76=Q$4)*(Portfolio!$L78))</f>
        <v>0</v>
      </c>
      <c r="R85" s="96">
        <f ca="1">SUMPRODUCT((Portfolio!$L76=R$4)*(Portfolio!$L78))</f>
        <v>0</v>
      </c>
      <c r="S85" s="97">
        <f ca="1">SUMPRODUCT((Portfolio!$L76=S$4)*(Portfolio!$L78))</f>
        <v>0</v>
      </c>
      <c r="T85" s="96">
        <f ca="1">SUMPRODUCT((Portfolio!$L76=T$4)*(Portfolio!$L78))</f>
        <v>0</v>
      </c>
      <c r="U85" s="96">
        <f ca="1">SUMPRODUCT((Portfolio!$L76=U$4)*(Portfolio!$L78))</f>
        <v>0</v>
      </c>
      <c r="V85" s="96">
        <f ca="1">SUMPRODUCT((Portfolio!$L76=V$4)*(Portfolio!$L78))</f>
        <v>0</v>
      </c>
      <c r="W85" s="97">
        <f ca="1">SUMPRODUCT((Portfolio!$L76=W$4)*(Portfolio!$L78))</f>
        <v>0</v>
      </c>
      <c r="X85" s="96">
        <f ca="1">SUMPRODUCT((Portfolio!$L76=X$4)*(Portfolio!$L78))</f>
        <v>0</v>
      </c>
      <c r="Y85" s="96">
        <f ca="1">SUMPRODUCT((Portfolio!$L76=Y$4)*(Portfolio!$L78))</f>
        <v>0</v>
      </c>
      <c r="Z85" s="96">
        <f ca="1">SUMPRODUCT((Portfolio!$L76=Z$4)*(Portfolio!$L78))</f>
        <v>0</v>
      </c>
      <c r="AA85" s="97">
        <f ca="1">SUMPRODUCT((Portfolio!$L76=AA$4)*(Portfolio!$L78))</f>
        <v>0</v>
      </c>
      <c r="AB85" s="96">
        <f ca="1">SUMPRODUCT((Portfolio!$L76=AB$4)*(Portfolio!$L78))</f>
        <v>0</v>
      </c>
      <c r="AC85" s="96">
        <f ca="1">SUMPRODUCT((Portfolio!$L76=AC$4)*(Portfolio!$L78))</f>
        <v>0</v>
      </c>
      <c r="AD85" s="96">
        <f ca="1">SUMPRODUCT((Portfolio!$L76=AD$4)*(Portfolio!$L78))</f>
        <v>0</v>
      </c>
      <c r="AE85" s="97">
        <f ca="1">SUMPRODUCT((Portfolio!$L76=AE$4)*(Portfolio!$L78))</f>
        <v>0</v>
      </c>
      <c r="AF85" s="96">
        <f ca="1">SUMPRODUCT((Portfolio!$L76=AF$4)*(Portfolio!$L78))</f>
        <v>0</v>
      </c>
      <c r="AG85" s="96">
        <f ca="1">SUMPRODUCT((Portfolio!$L76=AG$4)*(Portfolio!$L78))</f>
        <v>0</v>
      </c>
      <c r="AH85" s="96">
        <f ca="1">SUMPRODUCT((Portfolio!$L76=AH$4)*(Portfolio!$L78))</f>
        <v>0</v>
      </c>
      <c r="AI85" s="97">
        <f ca="1">SUMPRODUCT((Portfolio!$L76=AI$4)*(Portfolio!$L78))</f>
        <v>0</v>
      </c>
      <c r="AJ85" s="96">
        <f ca="1">SUMPRODUCT((Portfolio!$L76=AJ$4)*(Portfolio!$L78))</f>
        <v>0</v>
      </c>
      <c r="AK85" s="96">
        <f ca="1">SUMPRODUCT((Portfolio!$L76=AK$4)*(Portfolio!$L78))</f>
        <v>0</v>
      </c>
      <c r="AL85" s="96">
        <f ca="1">SUMPRODUCT((Portfolio!$L76=AL$4)*(Portfolio!$L78))</f>
        <v>0</v>
      </c>
      <c r="AM85" s="97">
        <f ca="1">SUMPRODUCT((Portfolio!$L76=AM$4)*(Portfolio!$L78))</f>
        <v>0</v>
      </c>
      <c r="AN85" s="96">
        <f ca="1">SUMPRODUCT((Portfolio!$L76=AN$4)*(Portfolio!$L78))</f>
        <v>0</v>
      </c>
      <c r="AO85" s="96">
        <f ca="1">SUMPRODUCT((Portfolio!$L76=AO$4)*(Portfolio!$L78))</f>
        <v>0</v>
      </c>
      <c r="AP85" s="96">
        <f ca="1">SUMPRODUCT((Portfolio!$L76=AP$4)*(Portfolio!$L78))</f>
        <v>0</v>
      </c>
      <c r="AQ85" s="97">
        <f ca="1">SUMPRODUCT((Portfolio!$L76=AQ$4)*(Portfolio!$L78))</f>
        <v>0</v>
      </c>
      <c r="AR85" s="96">
        <f ca="1">SUMPRODUCT((Portfolio!$L76=AR$4)*(Portfolio!$L78))</f>
        <v>0</v>
      </c>
      <c r="AS85" s="96">
        <f ca="1">SUMPRODUCT((Portfolio!$L76=AS$4)*(Portfolio!$L78))</f>
        <v>0</v>
      </c>
      <c r="AT85" s="96">
        <f ca="1">SUMPRODUCT((Portfolio!$L76=AT$4)*(Portfolio!$L78))</f>
        <v>0</v>
      </c>
      <c r="AU85" s="97">
        <f ca="1">SUMPRODUCT((Portfolio!$L76=AU$4)*(Portfolio!$L78))</f>
        <v>0</v>
      </c>
      <c r="AV85" s="96"/>
      <c r="AW85" s="96"/>
      <c r="AX85" s="96"/>
      <c r="AY85" s="99"/>
    </row>
    <row r="86" spans="1:51" ht="15.75" hidden="1" customHeight="1" outlineLevel="1" x14ac:dyDescent="0.2">
      <c r="A86" s="83"/>
      <c r="B86" s="92">
        <f>IF(Portfolio!C79&lt;&gt;"",Portfolio!C79,"")</f>
        <v>25</v>
      </c>
      <c r="C86" s="93" t="str">
        <f>IF(Portfolio!D79&lt;&gt;"",Portfolio!D79,"")</f>
        <v>Company 25</v>
      </c>
      <c r="D86" s="94">
        <f ca="1">SUMPRODUCT((Portfolio!$L79=D$4)*(Portfolio!$L81))</f>
        <v>0</v>
      </c>
      <c r="E86" s="94">
        <f ca="1">SUMPRODUCT((Portfolio!$L79=E$4)*(Portfolio!$L81))</f>
        <v>0</v>
      </c>
      <c r="F86" s="96">
        <f ca="1">SUMPRODUCT((Portfolio!$L79=F$4)*(Portfolio!$L81))</f>
        <v>0</v>
      </c>
      <c r="G86" s="97">
        <f ca="1">SUMPRODUCT((Portfolio!$L79=G$4)*(Portfolio!$L81))</f>
        <v>0</v>
      </c>
      <c r="H86" s="94">
        <f ca="1">SUMPRODUCT((Portfolio!$L79=H$4)*(Portfolio!$L81))</f>
        <v>0</v>
      </c>
      <c r="I86" s="94">
        <f ca="1">SUMPRODUCT((Portfolio!$L79=I$4)*(Portfolio!$L81))</f>
        <v>0</v>
      </c>
      <c r="J86" s="96">
        <f ca="1">SUMPRODUCT((Portfolio!$L79=J$4)*(Portfolio!$L81))</f>
        <v>0</v>
      </c>
      <c r="K86" s="97">
        <f ca="1">SUMPRODUCT((Portfolio!$L79=K$4)*(Portfolio!$L81))</f>
        <v>0</v>
      </c>
      <c r="L86" s="96">
        <f ca="1">SUMPRODUCT((Portfolio!$L79=L$4)*(Portfolio!$L81))</f>
        <v>0</v>
      </c>
      <c r="M86" s="96">
        <f ca="1">SUMPRODUCT((Portfolio!$L79=M$4)*(Portfolio!$L81))</f>
        <v>0</v>
      </c>
      <c r="N86" s="96">
        <f ca="1">SUMPRODUCT((Portfolio!$L79=N$4)*(Portfolio!$L81))</f>
        <v>0</v>
      </c>
      <c r="O86" s="97">
        <f ca="1">SUMPRODUCT((Portfolio!$L79=O$4)*(Portfolio!$L81))</f>
        <v>0</v>
      </c>
      <c r="P86" s="96">
        <f ca="1">SUMPRODUCT((Portfolio!$L79=P$4)*(Portfolio!$L81))</f>
        <v>0</v>
      </c>
      <c r="Q86" s="96">
        <f ca="1">SUMPRODUCT((Portfolio!$L79=Q$4)*(Portfolio!$L81))</f>
        <v>0</v>
      </c>
      <c r="R86" s="96">
        <f ca="1">SUMPRODUCT((Portfolio!$L79=R$4)*(Portfolio!$L81))</f>
        <v>0</v>
      </c>
      <c r="S86" s="97">
        <f ca="1">SUMPRODUCT((Portfolio!$L79=S$4)*(Portfolio!$L81))</f>
        <v>0</v>
      </c>
      <c r="T86" s="96">
        <f ca="1">SUMPRODUCT((Portfolio!$L79=T$4)*(Portfolio!$L81))</f>
        <v>0</v>
      </c>
      <c r="U86" s="96">
        <f ca="1">SUMPRODUCT((Portfolio!$L79=U$4)*(Portfolio!$L81))</f>
        <v>0</v>
      </c>
      <c r="V86" s="96">
        <f ca="1">SUMPRODUCT((Portfolio!$L79=V$4)*(Portfolio!$L81))</f>
        <v>0</v>
      </c>
      <c r="W86" s="97">
        <f ca="1">SUMPRODUCT((Portfolio!$L79=W$4)*(Portfolio!$L81))</f>
        <v>0</v>
      </c>
      <c r="X86" s="96">
        <f ca="1">SUMPRODUCT((Portfolio!$L79=X$4)*(Portfolio!$L81))</f>
        <v>0</v>
      </c>
      <c r="Y86" s="96">
        <f ca="1">SUMPRODUCT((Portfolio!$L79=Y$4)*(Portfolio!$L81))</f>
        <v>0</v>
      </c>
      <c r="Z86" s="96">
        <f ca="1">SUMPRODUCT((Portfolio!$L79=Z$4)*(Portfolio!$L81))</f>
        <v>0</v>
      </c>
      <c r="AA86" s="97">
        <f ca="1">SUMPRODUCT((Portfolio!$L79=AA$4)*(Portfolio!$L81))</f>
        <v>0</v>
      </c>
      <c r="AB86" s="96">
        <f ca="1">SUMPRODUCT((Portfolio!$L79=AB$4)*(Portfolio!$L81))</f>
        <v>0</v>
      </c>
      <c r="AC86" s="96">
        <f ca="1">SUMPRODUCT((Portfolio!$L79=AC$4)*(Portfolio!$L81))</f>
        <v>0</v>
      </c>
      <c r="AD86" s="96">
        <f ca="1">SUMPRODUCT((Portfolio!$L79=AD$4)*(Portfolio!$L81))</f>
        <v>0</v>
      </c>
      <c r="AE86" s="97">
        <f ca="1">SUMPRODUCT((Portfolio!$L79=AE$4)*(Portfolio!$L81))</f>
        <v>0</v>
      </c>
      <c r="AF86" s="96">
        <f ca="1">SUMPRODUCT((Portfolio!$L79=AF$4)*(Portfolio!$L81))</f>
        <v>0</v>
      </c>
      <c r="AG86" s="96">
        <f ca="1">SUMPRODUCT((Portfolio!$L79=AG$4)*(Portfolio!$L81))</f>
        <v>0</v>
      </c>
      <c r="AH86" s="96">
        <f ca="1">SUMPRODUCT((Portfolio!$L79=AH$4)*(Portfolio!$L81))</f>
        <v>0</v>
      </c>
      <c r="AI86" s="97">
        <f ca="1">SUMPRODUCT((Portfolio!$L79=AI$4)*(Portfolio!$L81))</f>
        <v>0</v>
      </c>
      <c r="AJ86" s="96">
        <f ca="1">SUMPRODUCT((Portfolio!$L79=AJ$4)*(Portfolio!$L81))</f>
        <v>0</v>
      </c>
      <c r="AK86" s="96">
        <f ca="1">SUMPRODUCT((Portfolio!$L79=AK$4)*(Portfolio!$L81))</f>
        <v>0</v>
      </c>
      <c r="AL86" s="96">
        <f ca="1">SUMPRODUCT((Portfolio!$L79=AL$4)*(Portfolio!$L81))</f>
        <v>0</v>
      </c>
      <c r="AM86" s="97">
        <f ca="1">SUMPRODUCT((Portfolio!$L79=AM$4)*(Portfolio!$L81))</f>
        <v>0</v>
      </c>
      <c r="AN86" s="96">
        <f ca="1">SUMPRODUCT((Portfolio!$L79=AN$4)*(Portfolio!$L81))</f>
        <v>0</v>
      </c>
      <c r="AO86" s="96">
        <f ca="1">SUMPRODUCT((Portfolio!$L79=AO$4)*(Portfolio!$L81))</f>
        <v>0</v>
      </c>
      <c r="AP86" s="96">
        <f ca="1">SUMPRODUCT((Portfolio!$L79=AP$4)*(Portfolio!$L81))</f>
        <v>0</v>
      </c>
      <c r="AQ86" s="97">
        <f ca="1">SUMPRODUCT((Portfolio!$L79=AQ$4)*(Portfolio!$L81))</f>
        <v>0</v>
      </c>
      <c r="AR86" s="96">
        <f ca="1">SUMPRODUCT((Portfolio!$L79=AR$4)*(Portfolio!$L81))</f>
        <v>0</v>
      </c>
      <c r="AS86" s="96">
        <f ca="1">SUMPRODUCT((Portfolio!$L79=AS$4)*(Portfolio!$L81))</f>
        <v>0</v>
      </c>
      <c r="AT86" s="96">
        <f ca="1">SUMPRODUCT((Portfolio!$L79=AT$4)*(Portfolio!$L81))</f>
        <v>0</v>
      </c>
      <c r="AU86" s="97">
        <f ca="1">SUMPRODUCT((Portfolio!$L79=AU$4)*(Portfolio!$L81))</f>
        <v>0</v>
      </c>
      <c r="AV86" s="96"/>
      <c r="AW86" s="96"/>
      <c r="AX86" s="96"/>
      <c r="AY86" s="99"/>
    </row>
    <row r="87" spans="1:51" ht="15.75" hidden="1" customHeight="1" outlineLevel="1" x14ac:dyDescent="0.2">
      <c r="A87" s="83"/>
      <c r="B87" s="92">
        <f>IF(Portfolio!C82&lt;&gt;"",Portfolio!C82,"")</f>
        <v>26</v>
      </c>
      <c r="C87" s="93" t="str">
        <f>IF(Portfolio!D82&lt;&gt;"",Portfolio!D82,"")</f>
        <v>Company 26</v>
      </c>
      <c r="D87" s="94">
        <f ca="1">SUMPRODUCT((Portfolio!$L82=D$4)*(Portfolio!$L84))</f>
        <v>0</v>
      </c>
      <c r="E87" s="94">
        <f ca="1">SUMPRODUCT((Portfolio!$L82=E$4)*(Portfolio!$L84))</f>
        <v>0</v>
      </c>
      <c r="F87" s="96">
        <f ca="1">SUMPRODUCT((Portfolio!$L82=F$4)*(Portfolio!$L84))</f>
        <v>0</v>
      </c>
      <c r="G87" s="97">
        <f ca="1">SUMPRODUCT((Portfolio!$L82=G$4)*(Portfolio!$L84))</f>
        <v>0</v>
      </c>
      <c r="H87" s="94">
        <f ca="1">SUMPRODUCT((Portfolio!$L82=H$4)*(Portfolio!$L84))</f>
        <v>0</v>
      </c>
      <c r="I87" s="94">
        <f ca="1">SUMPRODUCT((Portfolio!$L82=I$4)*(Portfolio!$L84))</f>
        <v>0</v>
      </c>
      <c r="J87" s="96">
        <f ca="1">SUMPRODUCT((Portfolio!$L82=J$4)*(Portfolio!$L84))</f>
        <v>0</v>
      </c>
      <c r="K87" s="97">
        <f ca="1">SUMPRODUCT((Portfolio!$L82=K$4)*(Portfolio!$L84))</f>
        <v>0</v>
      </c>
      <c r="L87" s="96">
        <f ca="1">SUMPRODUCT((Portfolio!$L82=L$4)*(Portfolio!$L84))</f>
        <v>0</v>
      </c>
      <c r="M87" s="96">
        <f ca="1">SUMPRODUCT((Portfolio!$L82=M$4)*(Portfolio!$L84))</f>
        <v>0</v>
      </c>
      <c r="N87" s="96">
        <f ca="1">SUMPRODUCT((Portfolio!$L82=N$4)*(Portfolio!$L84))</f>
        <v>0</v>
      </c>
      <c r="O87" s="97">
        <f ca="1">SUMPRODUCT((Portfolio!$L82=O$4)*(Portfolio!$L84))</f>
        <v>0</v>
      </c>
      <c r="P87" s="96">
        <f ca="1">SUMPRODUCT((Portfolio!$L82=P$4)*(Portfolio!$L84))</f>
        <v>0</v>
      </c>
      <c r="Q87" s="96">
        <f ca="1">SUMPRODUCT((Portfolio!$L82=Q$4)*(Portfolio!$L84))</f>
        <v>0</v>
      </c>
      <c r="R87" s="96">
        <f ca="1">SUMPRODUCT((Portfolio!$L82=R$4)*(Portfolio!$L84))</f>
        <v>0</v>
      </c>
      <c r="S87" s="97">
        <f ca="1">SUMPRODUCT((Portfolio!$L82=S$4)*(Portfolio!$L84))</f>
        <v>0</v>
      </c>
      <c r="T87" s="96">
        <f ca="1">SUMPRODUCT((Portfolio!$L82=T$4)*(Portfolio!$L84))</f>
        <v>0</v>
      </c>
      <c r="U87" s="96">
        <f ca="1">SUMPRODUCT((Portfolio!$L82=U$4)*(Portfolio!$L84))</f>
        <v>0</v>
      </c>
      <c r="V87" s="96">
        <f ca="1">SUMPRODUCT((Portfolio!$L82=V$4)*(Portfolio!$L84))</f>
        <v>0</v>
      </c>
      <c r="W87" s="97">
        <f ca="1">SUMPRODUCT((Portfolio!$L82=W$4)*(Portfolio!$L84))</f>
        <v>0</v>
      </c>
      <c r="X87" s="96">
        <f ca="1">SUMPRODUCT((Portfolio!$L82=X$4)*(Portfolio!$L84))</f>
        <v>0</v>
      </c>
      <c r="Y87" s="96">
        <f ca="1">SUMPRODUCT((Portfolio!$L82=Y$4)*(Portfolio!$L84))</f>
        <v>0</v>
      </c>
      <c r="Z87" s="96">
        <f ca="1">SUMPRODUCT((Portfolio!$L82=Z$4)*(Portfolio!$L84))</f>
        <v>0</v>
      </c>
      <c r="AA87" s="97">
        <f ca="1">SUMPRODUCT((Portfolio!$L82=AA$4)*(Portfolio!$L84))</f>
        <v>0</v>
      </c>
      <c r="AB87" s="96">
        <f ca="1">SUMPRODUCT((Portfolio!$L82=AB$4)*(Portfolio!$L84))</f>
        <v>0</v>
      </c>
      <c r="AC87" s="96">
        <f ca="1">SUMPRODUCT((Portfolio!$L82=AC$4)*(Portfolio!$L84))</f>
        <v>0</v>
      </c>
      <c r="AD87" s="96">
        <f ca="1">SUMPRODUCT((Portfolio!$L82=AD$4)*(Portfolio!$L84))</f>
        <v>0</v>
      </c>
      <c r="AE87" s="97">
        <f ca="1">SUMPRODUCT((Portfolio!$L82=AE$4)*(Portfolio!$L84))</f>
        <v>0</v>
      </c>
      <c r="AF87" s="96">
        <f ca="1">SUMPRODUCT((Portfolio!$L82=AF$4)*(Portfolio!$L84))</f>
        <v>0</v>
      </c>
      <c r="AG87" s="96">
        <f ca="1">SUMPRODUCT((Portfolio!$L82=AG$4)*(Portfolio!$L84))</f>
        <v>0</v>
      </c>
      <c r="AH87" s="96">
        <f ca="1">SUMPRODUCT((Portfolio!$L82=AH$4)*(Portfolio!$L84))</f>
        <v>0</v>
      </c>
      <c r="AI87" s="97">
        <f ca="1">SUMPRODUCT((Portfolio!$L82=AI$4)*(Portfolio!$L84))</f>
        <v>0</v>
      </c>
      <c r="AJ87" s="96">
        <f ca="1">SUMPRODUCT((Portfolio!$L82=AJ$4)*(Portfolio!$L84))</f>
        <v>0</v>
      </c>
      <c r="AK87" s="96">
        <f ca="1">SUMPRODUCT((Portfolio!$L82=AK$4)*(Portfolio!$L84))</f>
        <v>0</v>
      </c>
      <c r="AL87" s="96">
        <f ca="1">SUMPRODUCT((Portfolio!$L82=AL$4)*(Portfolio!$L84))</f>
        <v>0</v>
      </c>
      <c r="AM87" s="97">
        <f ca="1">SUMPRODUCT((Portfolio!$L82=AM$4)*(Portfolio!$L84))</f>
        <v>0</v>
      </c>
      <c r="AN87" s="96">
        <f ca="1">SUMPRODUCT((Portfolio!$L82=AN$4)*(Portfolio!$L84))</f>
        <v>0</v>
      </c>
      <c r="AO87" s="96">
        <f ca="1">SUMPRODUCT((Portfolio!$L82=AO$4)*(Portfolio!$L84))</f>
        <v>0</v>
      </c>
      <c r="AP87" s="96">
        <f ca="1">SUMPRODUCT((Portfolio!$L82=AP$4)*(Portfolio!$L84))</f>
        <v>0</v>
      </c>
      <c r="AQ87" s="97">
        <f ca="1">SUMPRODUCT((Portfolio!$L82=AQ$4)*(Portfolio!$L84))</f>
        <v>0</v>
      </c>
      <c r="AR87" s="96">
        <f ca="1">SUMPRODUCT((Portfolio!$L82=AR$4)*(Portfolio!$L84))</f>
        <v>0</v>
      </c>
      <c r="AS87" s="96">
        <f ca="1">SUMPRODUCT((Portfolio!$L82=AS$4)*(Portfolio!$L84))</f>
        <v>0</v>
      </c>
      <c r="AT87" s="96">
        <f ca="1">SUMPRODUCT((Portfolio!$L82=AT$4)*(Portfolio!$L84))</f>
        <v>0</v>
      </c>
      <c r="AU87" s="97">
        <f ca="1">SUMPRODUCT((Portfolio!$L82=AU$4)*(Portfolio!$L84))</f>
        <v>0</v>
      </c>
      <c r="AV87" s="96"/>
      <c r="AW87" s="96"/>
      <c r="AX87" s="96"/>
      <c r="AY87" s="99"/>
    </row>
    <row r="88" spans="1:51" ht="15.75" hidden="1" customHeight="1" outlineLevel="1" x14ac:dyDescent="0.2">
      <c r="A88" s="83"/>
      <c r="B88" s="92">
        <f>IF(Portfolio!C85&lt;&gt;"",Portfolio!C85,"")</f>
        <v>27</v>
      </c>
      <c r="C88" s="93" t="str">
        <f>IF(Portfolio!D85&lt;&gt;"",Portfolio!D85,"")</f>
        <v>Company 27</v>
      </c>
      <c r="D88" s="94">
        <f ca="1">SUMPRODUCT((Portfolio!$L85=D$4)*(Portfolio!$L87))</f>
        <v>0</v>
      </c>
      <c r="E88" s="94">
        <f ca="1">SUMPRODUCT((Portfolio!$L85=E$4)*(Portfolio!$L87))</f>
        <v>0</v>
      </c>
      <c r="F88" s="96">
        <f ca="1">SUMPRODUCT((Portfolio!$L85=F$4)*(Portfolio!$L87))</f>
        <v>0</v>
      </c>
      <c r="G88" s="97">
        <f ca="1">SUMPRODUCT((Portfolio!$L85=G$4)*(Portfolio!$L87))</f>
        <v>0</v>
      </c>
      <c r="H88" s="94">
        <f ca="1">SUMPRODUCT((Portfolio!$L85=H$4)*(Portfolio!$L87))</f>
        <v>0</v>
      </c>
      <c r="I88" s="94">
        <f ca="1">SUMPRODUCT((Portfolio!$L85=I$4)*(Portfolio!$L87))</f>
        <v>0</v>
      </c>
      <c r="J88" s="96">
        <f ca="1">SUMPRODUCT((Portfolio!$L85=J$4)*(Portfolio!$L87))</f>
        <v>0</v>
      </c>
      <c r="K88" s="97">
        <f ca="1">SUMPRODUCT((Portfolio!$L85=K$4)*(Portfolio!$L87))</f>
        <v>0</v>
      </c>
      <c r="L88" s="96">
        <f ca="1">SUMPRODUCT((Portfolio!$L85=L$4)*(Portfolio!$L87))</f>
        <v>0</v>
      </c>
      <c r="M88" s="96">
        <f ca="1">SUMPRODUCT((Portfolio!$L85=M$4)*(Portfolio!$L87))</f>
        <v>0</v>
      </c>
      <c r="N88" s="96">
        <f ca="1">SUMPRODUCT((Portfolio!$L85=N$4)*(Portfolio!$L87))</f>
        <v>0</v>
      </c>
      <c r="O88" s="97">
        <f ca="1">SUMPRODUCT((Portfolio!$L85=O$4)*(Portfolio!$L87))</f>
        <v>0</v>
      </c>
      <c r="P88" s="96">
        <f ca="1">SUMPRODUCT((Portfolio!$L85=P$4)*(Portfolio!$L87))</f>
        <v>0</v>
      </c>
      <c r="Q88" s="96">
        <f ca="1">SUMPRODUCT((Portfolio!$L85=Q$4)*(Portfolio!$L87))</f>
        <v>0</v>
      </c>
      <c r="R88" s="96">
        <f ca="1">SUMPRODUCT((Portfolio!$L85=R$4)*(Portfolio!$L87))</f>
        <v>0</v>
      </c>
      <c r="S88" s="97">
        <f ca="1">SUMPRODUCT((Portfolio!$L85=S$4)*(Portfolio!$L87))</f>
        <v>0</v>
      </c>
      <c r="T88" s="96">
        <f ca="1">SUMPRODUCT((Portfolio!$L85=T$4)*(Portfolio!$L87))</f>
        <v>0</v>
      </c>
      <c r="U88" s="96">
        <f ca="1">SUMPRODUCT((Portfolio!$L85=U$4)*(Portfolio!$L87))</f>
        <v>0</v>
      </c>
      <c r="V88" s="96">
        <f ca="1">SUMPRODUCT((Portfolio!$L85=V$4)*(Portfolio!$L87))</f>
        <v>0</v>
      </c>
      <c r="W88" s="97">
        <f ca="1">SUMPRODUCT((Portfolio!$L85=W$4)*(Portfolio!$L87))</f>
        <v>0</v>
      </c>
      <c r="X88" s="96">
        <f ca="1">SUMPRODUCT((Portfolio!$L85=X$4)*(Portfolio!$L87))</f>
        <v>0</v>
      </c>
      <c r="Y88" s="96">
        <f ca="1">SUMPRODUCT((Portfolio!$L85=Y$4)*(Portfolio!$L87))</f>
        <v>0</v>
      </c>
      <c r="Z88" s="96">
        <f ca="1">SUMPRODUCT((Portfolio!$L85=Z$4)*(Portfolio!$L87))</f>
        <v>0</v>
      </c>
      <c r="AA88" s="97">
        <f ca="1">SUMPRODUCT((Portfolio!$L85=AA$4)*(Portfolio!$L87))</f>
        <v>0</v>
      </c>
      <c r="AB88" s="96">
        <f ca="1">SUMPRODUCT((Portfolio!$L85=AB$4)*(Portfolio!$L87))</f>
        <v>0</v>
      </c>
      <c r="AC88" s="96">
        <f ca="1">SUMPRODUCT((Portfolio!$L85=AC$4)*(Portfolio!$L87))</f>
        <v>0</v>
      </c>
      <c r="AD88" s="96">
        <f ca="1">SUMPRODUCT((Portfolio!$L85=AD$4)*(Portfolio!$L87))</f>
        <v>0</v>
      </c>
      <c r="AE88" s="97">
        <f ca="1">SUMPRODUCT((Portfolio!$L85=AE$4)*(Portfolio!$L87))</f>
        <v>0</v>
      </c>
      <c r="AF88" s="96">
        <f ca="1">SUMPRODUCT((Portfolio!$L85=AF$4)*(Portfolio!$L87))</f>
        <v>0</v>
      </c>
      <c r="AG88" s="96">
        <f ca="1">SUMPRODUCT((Portfolio!$L85=AG$4)*(Portfolio!$L87))</f>
        <v>0</v>
      </c>
      <c r="AH88" s="96">
        <f ca="1">SUMPRODUCT((Portfolio!$L85=AH$4)*(Portfolio!$L87))</f>
        <v>0</v>
      </c>
      <c r="AI88" s="97">
        <f ca="1">SUMPRODUCT((Portfolio!$L85=AI$4)*(Portfolio!$L87))</f>
        <v>0</v>
      </c>
      <c r="AJ88" s="96">
        <f ca="1">SUMPRODUCT((Portfolio!$L85=AJ$4)*(Portfolio!$L87))</f>
        <v>0</v>
      </c>
      <c r="AK88" s="96">
        <f ca="1">SUMPRODUCT((Portfolio!$L85=AK$4)*(Portfolio!$L87))</f>
        <v>0</v>
      </c>
      <c r="AL88" s="96">
        <f ca="1">SUMPRODUCT((Portfolio!$L85=AL$4)*(Portfolio!$L87))</f>
        <v>0</v>
      </c>
      <c r="AM88" s="97">
        <f ca="1">SUMPRODUCT((Portfolio!$L85=AM$4)*(Portfolio!$L87))</f>
        <v>0</v>
      </c>
      <c r="AN88" s="96">
        <f ca="1">SUMPRODUCT((Portfolio!$L85=AN$4)*(Portfolio!$L87))</f>
        <v>0</v>
      </c>
      <c r="AO88" s="96">
        <f ca="1">SUMPRODUCT((Portfolio!$L85=AO$4)*(Portfolio!$L87))</f>
        <v>0</v>
      </c>
      <c r="AP88" s="96">
        <f ca="1">SUMPRODUCT((Portfolio!$L85=AP$4)*(Portfolio!$L87))</f>
        <v>0</v>
      </c>
      <c r="AQ88" s="97">
        <f ca="1">SUMPRODUCT((Portfolio!$L85=AQ$4)*(Portfolio!$L87))</f>
        <v>0</v>
      </c>
      <c r="AR88" s="96">
        <f ca="1">SUMPRODUCT((Portfolio!$L85=AR$4)*(Portfolio!$L87))</f>
        <v>0</v>
      </c>
      <c r="AS88" s="96">
        <f ca="1">SUMPRODUCT((Portfolio!$L85=AS$4)*(Portfolio!$L87))</f>
        <v>0</v>
      </c>
      <c r="AT88" s="96">
        <f ca="1">SUMPRODUCT((Portfolio!$L85=AT$4)*(Portfolio!$L87))</f>
        <v>0</v>
      </c>
      <c r="AU88" s="97">
        <f ca="1">SUMPRODUCT((Portfolio!$L85=AU$4)*(Portfolio!$L87))</f>
        <v>0</v>
      </c>
      <c r="AV88" s="96"/>
      <c r="AW88" s="96"/>
      <c r="AX88" s="96"/>
      <c r="AY88" s="99"/>
    </row>
    <row r="89" spans="1:51" ht="15.75" hidden="1" customHeight="1" outlineLevel="1" x14ac:dyDescent="0.2">
      <c r="A89" s="83"/>
      <c r="B89" s="92">
        <f>IF(Portfolio!C88&lt;&gt;"",Portfolio!C88,"")</f>
        <v>28</v>
      </c>
      <c r="C89" s="93" t="str">
        <f>IF(Portfolio!D88&lt;&gt;"",Portfolio!D88,"")</f>
        <v>Company 28</v>
      </c>
      <c r="D89" s="94">
        <f ca="1">SUMPRODUCT((Portfolio!$L88=D$4)*(Portfolio!$L90))</f>
        <v>0</v>
      </c>
      <c r="E89" s="94">
        <f ca="1">SUMPRODUCT((Portfolio!$L88=E$4)*(Portfolio!$L90))</f>
        <v>0</v>
      </c>
      <c r="F89" s="96">
        <f ca="1">SUMPRODUCT((Portfolio!$L88=F$4)*(Portfolio!$L90))</f>
        <v>0</v>
      </c>
      <c r="G89" s="97">
        <f ca="1">SUMPRODUCT((Portfolio!$L88=G$4)*(Portfolio!$L90))</f>
        <v>0</v>
      </c>
      <c r="H89" s="94">
        <f ca="1">SUMPRODUCT((Portfolio!$L88=H$4)*(Portfolio!$L90))</f>
        <v>0</v>
      </c>
      <c r="I89" s="94">
        <f ca="1">SUMPRODUCT((Portfolio!$L88=I$4)*(Portfolio!$L90))</f>
        <v>0</v>
      </c>
      <c r="J89" s="96">
        <f ca="1">SUMPRODUCT((Portfolio!$L88=J$4)*(Portfolio!$L90))</f>
        <v>0</v>
      </c>
      <c r="K89" s="97">
        <f ca="1">SUMPRODUCT((Portfolio!$L88=K$4)*(Portfolio!$L90))</f>
        <v>0</v>
      </c>
      <c r="L89" s="96">
        <f ca="1">SUMPRODUCT((Portfolio!$L88=L$4)*(Portfolio!$L90))</f>
        <v>0</v>
      </c>
      <c r="M89" s="96">
        <f ca="1">SUMPRODUCT((Portfolio!$L88=M$4)*(Portfolio!$L90))</f>
        <v>0</v>
      </c>
      <c r="N89" s="96">
        <f ca="1">SUMPRODUCT((Portfolio!$L88=N$4)*(Portfolio!$L90))</f>
        <v>0</v>
      </c>
      <c r="O89" s="97">
        <f ca="1">SUMPRODUCT((Portfolio!$L88=O$4)*(Portfolio!$L90))</f>
        <v>0</v>
      </c>
      <c r="P89" s="96">
        <f ca="1">SUMPRODUCT((Portfolio!$L88=P$4)*(Portfolio!$L90))</f>
        <v>0</v>
      </c>
      <c r="Q89" s="96">
        <f ca="1">SUMPRODUCT((Portfolio!$L88=Q$4)*(Portfolio!$L90))</f>
        <v>0</v>
      </c>
      <c r="R89" s="96">
        <f ca="1">SUMPRODUCT((Portfolio!$L88=R$4)*(Portfolio!$L90))</f>
        <v>0</v>
      </c>
      <c r="S89" s="97">
        <f ca="1">SUMPRODUCT((Portfolio!$L88=S$4)*(Portfolio!$L90))</f>
        <v>0</v>
      </c>
      <c r="T89" s="96">
        <f ca="1">SUMPRODUCT((Portfolio!$L88=T$4)*(Portfolio!$L90))</f>
        <v>0</v>
      </c>
      <c r="U89" s="96">
        <f ca="1">SUMPRODUCT((Portfolio!$L88=U$4)*(Portfolio!$L90))</f>
        <v>0</v>
      </c>
      <c r="V89" s="96">
        <f ca="1">SUMPRODUCT((Portfolio!$L88=V$4)*(Portfolio!$L90))</f>
        <v>0</v>
      </c>
      <c r="W89" s="97">
        <f ca="1">SUMPRODUCT((Portfolio!$L88=W$4)*(Portfolio!$L90))</f>
        <v>0</v>
      </c>
      <c r="X89" s="96">
        <f ca="1">SUMPRODUCT((Portfolio!$L88=X$4)*(Portfolio!$L90))</f>
        <v>0</v>
      </c>
      <c r="Y89" s="96">
        <f ca="1">SUMPRODUCT((Portfolio!$L88=Y$4)*(Portfolio!$L90))</f>
        <v>0</v>
      </c>
      <c r="Z89" s="96">
        <f ca="1">SUMPRODUCT((Portfolio!$L88=Z$4)*(Portfolio!$L90))</f>
        <v>0</v>
      </c>
      <c r="AA89" s="97">
        <f ca="1">SUMPRODUCT((Portfolio!$L88=AA$4)*(Portfolio!$L90))</f>
        <v>0</v>
      </c>
      <c r="AB89" s="96">
        <f ca="1">SUMPRODUCT((Portfolio!$L88=AB$4)*(Portfolio!$L90))</f>
        <v>0</v>
      </c>
      <c r="AC89" s="96">
        <f ca="1">SUMPRODUCT((Portfolio!$L88=AC$4)*(Portfolio!$L90))</f>
        <v>0</v>
      </c>
      <c r="AD89" s="96">
        <f ca="1">SUMPRODUCT((Portfolio!$L88=AD$4)*(Portfolio!$L90))</f>
        <v>0</v>
      </c>
      <c r="AE89" s="97">
        <f ca="1">SUMPRODUCT((Portfolio!$L88=AE$4)*(Portfolio!$L90))</f>
        <v>0</v>
      </c>
      <c r="AF89" s="96">
        <f ca="1">SUMPRODUCT((Portfolio!$L88=AF$4)*(Portfolio!$L90))</f>
        <v>0</v>
      </c>
      <c r="AG89" s="96">
        <f ca="1">SUMPRODUCT((Portfolio!$L88=AG$4)*(Portfolio!$L90))</f>
        <v>0</v>
      </c>
      <c r="AH89" s="96">
        <f ca="1">SUMPRODUCT((Portfolio!$L88=AH$4)*(Portfolio!$L90))</f>
        <v>0</v>
      </c>
      <c r="AI89" s="97">
        <f ca="1">SUMPRODUCT((Portfolio!$L88=AI$4)*(Portfolio!$L90))</f>
        <v>0</v>
      </c>
      <c r="AJ89" s="96">
        <f ca="1">SUMPRODUCT((Portfolio!$L88=AJ$4)*(Portfolio!$L90))</f>
        <v>0</v>
      </c>
      <c r="AK89" s="96">
        <f ca="1">SUMPRODUCT((Portfolio!$L88=AK$4)*(Portfolio!$L90))</f>
        <v>0</v>
      </c>
      <c r="AL89" s="96">
        <f ca="1">SUMPRODUCT((Portfolio!$L88=AL$4)*(Portfolio!$L90))</f>
        <v>0</v>
      </c>
      <c r="AM89" s="97">
        <f ca="1">SUMPRODUCT((Portfolio!$L88=AM$4)*(Portfolio!$L90))</f>
        <v>0</v>
      </c>
      <c r="AN89" s="96">
        <f ca="1">SUMPRODUCT((Portfolio!$L88=AN$4)*(Portfolio!$L90))</f>
        <v>0</v>
      </c>
      <c r="AO89" s="96">
        <f ca="1">SUMPRODUCT((Portfolio!$L88=AO$4)*(Portfolio!$L90))</f>
        <v>0</v>
      </c>
      <c r="AP89" s="96">
        <f ca="1">SUMPRODUCT((Portfolio!$L88=AP$4)*(Portfolio!$L90))</f>
        <v>0</v>
      </c>
      <c r="AQ89" s="97">
        <f ca="1">SUMPRODUCT((Portfolio!$L88=AQ$4)*(Portfolio!$L90))</f>
        <v>0</v>
      </c>
      <c r="AR89" s="96">
        <f ca="1">SUMPRODUCT((Portfolio!$L88=AR$4)*(Portfolio!$L90))</f>
        <v>0</v>
      </c>
      <c r="AS89" s="96">
        <f ca="1">SUMPRODUCT((Portfolio!$L88=AS$4)*(Portfolio!$L90))</f>
        <v>0</v>
      </c>
      <c r="AT89" s="96">
        <f ca="1">SUMPRODUCT((Portfolio!$L88=AT$4)*(Portfolio!$L90))</f>
        <v>0</v>
      </c>
      <c r="AU89" s="97">
        <f ca="1">SUMPRODUCT((Portfolio!$L88=AU$4)*(Portfolio!$L90))</f>
        <v>0</v>
      </c>
      <c r="AV89" s="96"/>
      <c r="AW89" s="96"/>
      <c r="AX89" s="96"/>
      <c r="AY89" s="99"/>
    </row>
    <row r="90" spans="1:51" ht="15.75" hidden="1" customHeight="1" outlineLevel="1" x14ac:dyDescent="0.2">
      <c r="A90" s="83"/>
      <c r="B90" s="92">
        <f>IF(Portfolio!C91&lt;&gt;"",Portfolio!C91,"")</f>
        <v>29</v>
      </c>
      <c r="C90" s="93" t="str">
        <f>IF(Portfolio!D91&lt;&gt;"",Portfolio!D91,"")</f>
        <v>Company 29</v>
      </c>
      <c r="D90" s="94">
        <f ca="1">SUMPRODUCT((Portfolio!$L91=D$4)*(Portfolio!$L93))</f>
        <v>0</v>
      </c>
      <c r="E90" s="94">
        <f ca="1">SUMPRODUCT((Portfolio!$L91=E$4)*(Portfolio!$L93))</f>
        <v>0</v>
      </c>
      <c r="F90" s="96">
        <f ca="1">SUMPRODUCT((Portfolio!$L91=F$4)*(Portfolio!$L93))</f>
        <v>0</v>
      </c>
      <c r="G90" s="97">
        <f ca="1">SUMPRODUCT((Portfolio!$L91=G$4)*(Portfolio!$L93))</f>
        <v>0</v>
      </c>
      <c r="H90" s="94">
        <f ca="1">SUMPRODUCT((Portfolio!$L91=H$4)*(Portfolio!$L93))</f>
        <v>0</v>
      </c>
      <c r="I90" s="94">
        <f ca="1">SUMPRODUCT((Portfolio!$L91=I$4)*(Portfolio!$L93))</f>
        <v>0</v>
      </c>
      <c r="J90" s="96">
        <f ca="1">SUMPRODUCT((Portfolio!$L91=J$4)*(Portfolio!$L93))</f>
        <v>0</v>
      </c>
      <c r="K90" s="97">
        <f ca="1">SUMPRODUCT((Portfolio!$L91=K$4)*(Portfolio!$L93))</f>
        <v>0</v>
      </c>
      <c r="L90" s="96">
        <f ca="1">SUMPRODUCT((Portfolio!$L91=L$4)*(Portfolio!$L93))</f>
        <v>0</v>
      </c>
      <c r="M90" s="96">
        <f ca="1">SUMPRODUCT((Portfolio!$L91=M$4)*(Portfolio!$L93))</f>
        <v>0</v>
      </c>
      <c r="N90" s="96">
        <f ca="1">SUMPRODUCT((Portfolio!$L91=N$4)*(Portfolio!$L93))</f>
        <v>0</v>
      </c>
      <c r="O90" s="97">
        <f ca="1">SUMPRODUCT((Portfolio!$L91=O$4)*(Portfolio!$L93))</f>
        <v>0</v>
      </c>
      <c r="P90" s="96">
        <f ca="1">SUMPRODUCT((Portfolio!$L91=P$4)*(Portfolio!$L93))</f>
        <v>0</v>
      </c>
      <c r="Q90" s="96">
        <f ca="1">SUMPRODUCT((Portfolio!$L91=Q$4)*(Portfolio!$L93))</f>
        <v>0</v>
      </c>
      <c r="R90" s="96">
        <f ca="1">SUMPRODUCT((Portfolio!$L91=R$4)*(Portfolio!$L93))</f>
        <v>0</v>
      </c>
      <c r="S90" s="97">
        <f ca="1">SUMPRODUCT((Portfolio!$L91=S$4)*(Portfolio!$L93))</f>
        <v>0</v>
      </c>
      <c r="T90" s="96">
        <f ca="1">SUMPRODUCT((Portfolio!$L91=T$4)*(Portfolio!$L93))</f>
        <v>0</v>
      </c>
      <c r="U90" s="96">
        <f ca="1">SUMPRODUCT((Portfolio!$L91=U$4)*(Portfolio!$L93))</f>
        <v>0</v>
      </c>
      <c r="V90" s="96">
        <f ca="1">SUMPRODUCT((Portfolio!$L91=V$4)*(Portfolio!$L93))</f>
        <v>0</v>
      </c>
      <c r="W90" s="97">
        <f ca="1">SUMPRODUCT((Portfolio!$L91=W$4)*(Portfolio!$L93))</f>
        <v>0</v>
      </c>
      <c r="X90" s="96">
        <f ca="1">SUMPRODUCT((Portfolio!$L91=X$4)*(Portfolio!$L93))</f>
        <v>0</v>
      </c>
      <c r="Y90" s="96">
        <f ca="1">SUMPRODUCT((Portfolio!$L91=Y$4)*(Portfolio!$L93))</f>
        <v>0</v>
      </c>
      <c r="Z90" s="96">
        <f ca="1">SUMPRODUCT((Portfolio!$L91=Z$4)*(Portfolio!$L93))</f>
        <v>0</v>
      </c>
      <c r="AA90" s="97">
        <f ca="1">SUMPRODUCT((Portfolio!$L91=AA$4)*(Portfolio!$L93))</f>
        <v>0</v>
      </c>
      <c r="AB90" s="96">
        <f ca="1">SUMPRODUCT((Portfolio!$L91=AB$4)*(Portfolio!$L93))</f>
        <v>0</v>
      </c>
      <c r="AC90" s="96">
        <f ca="1">SUMPRODUCT((Portfolio!$L91=AC$4)*(Portfolio!$L93))</f>
        <v>0</v>
      </c>
      <c r="AD90" s="96">
        <f ca="1">SUMPRODUCT((Portfolio!$L91=AD$4)*(Portfolio!$L93))</f>
        <v>0</v>
      </c>
      <c r="AE90" s="97">
        <f ca="1">SUMPRODUCT((Portfolio!$L91=AE$4)*(Portfolio!$L93))</f>
        <v>0</v>
      </c>
      <c r="AF90" s="96">
        <f ca="1">SUMPRODUCT((Portfolio!$L91=AF$4)*(Portfolio!$L93))</f>
        <v>0</v>
      </c>
      <c r="AG90" s="96">
        <f ca="1">SUMPRODUCT((Portfolio!$L91=AG$4)*(Portfolio!$L93))</f>
        <v>0</v>
      </c>
      <c r="AH90" s="96">
        <f ca="1">SUMPRODUCT((Portfolio!$L91=AH$4)*(Portfolio!$L93))</f>
        <v>0</v>
      </c>
      <c r="AI90" s="97">
        <f ca="1">SUMPRODUCT((Portfolio!$L91=AI$4)*(Portfolio!$L93))</f>
        <v>0</v>
      </c>
      <c r="AJ90" s="96">
        <f ca="1">SUMPRODUCT((Portfolio!$L91=AJ$4)*(Portfolio!$L93))</f>
        <v>0</v>
      </c>
      <c r="AK90" s="96">
        <f ca="1">SUMPRODUCT((Portfolio!$L91=AK$4)*(Portfolio!$L93))</f>
        <v>0</v>
      </c>
      <c r="AL90" s="96">
        <f ca="1">SUMPRODUCT((Portfolio!$L91=AL$4)*(Portfolio!$L93))</f>
        <v>0</v>
      </c>
      <c r="AM90" s="97">
        <f ca="1">SUMPRODUCT((Portfolio!$L91=AM$4)*(Portfolio!$L93))</f>
        <v>0</v>
      </c>
      <c r="AN90" s="96">
        <f ca="1">SUMPRODUCT((Portfolio!$L91=AN$4)*(Portfolio!$L93))</f>
        <v>0</v>
      </c>
      <c r="AO90" s="96">
        <f ca="1">SUMPRODUCT((Portfolio!$L91=AO$4)*(Portfolio!$L93))</f>
        <v>0</v>
      </c>
      <c r="AP90" s="96">
        <f ca="1">SUMPRODUCT((Portfolio!$L91=AP$4)*(Portfolio!$L93))</f>
        <v>0</v>
      </c>
      <c r="AQ90" s="97">
        <f ca="1">SUMPRODUCT((Portfolio!$L91=AQ$4)*(Portfolio!$L93))</f>
        <v>0</v>
      </c>
      <c r="AR90" s="96">
        <f ca="1">SUMPRODUCT((Portfolio!$L91=AR$4)*(Portfolio!$L93))</f>
        <v>0</v>
      </c>
      <c r="AS90" s="96">
        <f ca="1">SUMPRODUCT((Portfolio!$L91=AS$4)*(Portfolio!$L93))</f>
        <v>0</v>
      </c>
      <c r="AT90" s="96">
        <f ca="1">SUMPRODUCT((Portfolio!$L91=AT$4)*(Portfolio!$L93))</f>
        <v>0</v>
      </c>
      <c r="AU90" s="97">
        <f ca="1">SUMPRODUCT((Portfolio!$L91=AU$4)*(Portfolio!$L93))</f>
        <v>0</v>
      </c>
      <c r="AV90" s="96"/>
      <c r="AW90" s="96"/>
      <c r="AX90" s="96"/>
      <c r="AY90" s="99"/>
    </row>
    <row r="91" spans="1:51" ht="15.75" hidden="1" customHeight="1" outlineLevel="1" x14ac:dyDescent="0.2">
      <c r="A91" s="83"/>
      <c r="B91" s="92">
        <f>IF(Portfolio!C94&lt;&gt;"",Portfolio!C94,"")</f>
        <v>30</v>
      </c>
      <c r="C91" s="93" t="str">
        <f>IF(Portfolio!D94&lt;&gt;"",Portfolio!D94,"")</f>
        <v>Company 30</v>
      </c>
      <c r="D91" s="94">
        <f ca="1">SUMPRODUCT((Portfolio!$L94=D$4)*(Portfolio!$L96))</f>
        <v>0</v>
      </c>
      <c r="E91" s="94">
        <f ca="1">SUMPRODUCT((Portfolio!$L94=E$4)*(Portfolio!$L96))</f>
        <v>0</v>
      </c>
      <c r="F91" s="96">
        <f ca="1">SUMPRODUCT((Portfolio!$L94=F$4)*(Portfolio!$L96))</f>
        <v>0</v>
      </c>
      <c r="G91" s="97">
        <f ca="1">SUMPRODUCT((Portfolio!$L94=G$4)*(Portfolio!$L96))</f>
        <v>0</v>
      </c>
      <c r="H91" s="94">
        <f ca="1">SUMPRODUCT((Portfolio!$L94=H$4)*(Portfolio!$L96))</f>
        <v>0</v>
      </c>
      <c r="I91" s="94">
        <f ca="1">SUMPRODUCT((Portfolio!$L94=I$4)*(Portfolio!$L96))</f>
        <v>0</v>
      </c>
      <c r="J91" s="96">
        <f ca="1">SUMPRODUCT((Portfolio!$L94=J$4)*(Portfolio!$L96))</f>
        <v>0</v>
      </c>
      <c r="K91" s="97">
        <f ca="1">SUMPRODUCT((Portfolio!$L94=K$4)*(Portfolio!$L96))</f>
        <v>0</v>
      </c>
      <c r="L91" s="96">
        <f ca="1">SUMPRODUCT((Portfolio!$L94=L$4)*(Portfolio!$L96))</f>
        <v>0</v>
      </c>
      <c r="M91" s="96">
        <f ca="1">SUMPRODUCT((Portfolio!$L94=M$4)*(Portfolio!$L96))</f>
        <v>0</v>
      </c>
      <c r="N91" s="96">
        <f ca="1">SUMPRODUCT((Portfolio!$L94=N$4)*(Portfolio!$L96))</f>
        <v>0</v>
      </c>
      <c r="O91" s="97">
        <f ca="1">SUMPRODUCT((Portfolio!$L94=O$4)*(Portfolio!$L96))</f>
        <v>0</v>
      </c>
      <c r="P91" s="96">
        <f ca="1">SUMPRODUCT((Portfolio!$L94=P$4)*(Portfolio!$L96))</f>
        <v>0</v>
      </c>
      <c r="Q91" s="96">
        <f ca="1">SUMPRODUCT((Portfolio!$L94=Q$4)*(Portfolio!$L96))</f>
        <v>0</v>
      </c>
      <c r="R91" s="96">
        <f ca="1">SUMPRODUCT((Portfolio!$L94=R$4)*(Portfolio!$L96))</f>
        <v>0</v>
      </c>
      <c r="S91" s="97">
        <f ca="1">SUMPRODUCT((Portfolio!$L94=S$4)*(Portfolio!$L96))</f>
        <v>0</v>
      </c>
      <c r="T91" s="96">
        <f ca="1">SUMPRODUCT((Portfolio!$L94=T$4)*(Portfolio!$L96))</f>
        <v>0</v>
      </c>
      <c r="U91" s="96">
        <f ca="1">SUMPRODUCT((Portfolio!$L94=U$4)*(Portfolio!$L96))</f>
        <v>0</v>
      </c>
      <c r="V91" s="96">
        <f ca="1">SUMPRODUCT((Portfolio!$L94=V$4)*(Portfolio!$L96))</f>
        <v>0</v>
      </c>
      <c r="W91" s="97">
        <f ca="1">SUMPRODUCT((Portfolio!$L94=W$4)*(Portfolio!$L96))</f>
        <v>0</v>
      </c>
      <c r="X91" s="96">
        <f ca="1">SUMPRODUCT((Portfolio!$L94=X$4)*(Portfolio!$L96))</f>
        <v>0</v>
      </c>
      <c r="Y91" s="96">
        <f ca="1">SUMPRODUCT((Portfolio!$L94=Y$4)*(Portfolio!$L96))</f>
        <v>0</v>
      </c>
      <c r="Z91" s="96">
        <f ca="1">SUMPRODUCT((Portfolio!$L94=Z$4)*(Portfolio!$L96))</f>
        <v>0</v>
      </c>
      <c r="AA91" s="97">
        <f ca="1">SUMPRODUCT((Portfolio!$L94=AA$4)*(Portfolio!$L96))</f>
        <v>0</v>
      </c>
      <c r="AB91" s="96">
        <f ca="1">SUMPRODUCT((Portfolio!$L94=AB$4)*(Portfolio!$L96))</f>
        <v>0</v>
      </c>
      <c r="AC91" s="96">
        <f ca="1">SUMPRODUCT((Portfolio!$L94=AC$4)*(Portfolio!$L96))</f>
        <v>0</v>
      </c>
      <c r="AD91" s="96">
        <f ca="1">SUMPRODUCT((Portfolio!$L94=AD$4)*(Portfolio!$L96))</f>
        <v>0</v>
      </c>
      <c r="AE91" s="97">
        <f ca="1">SUMPRODUCT((Portfolio!$L94=AE$4)*(Portfolio!$L96))</f>
        <v>0</v>
      </c>
      <c r="AF91" s="96">
        <f ca="1">SUMPRODUCT((Portfolio!$L94=AF$4)*(Portfolio!$L96))</f>
        <v>0</v>
      </c>
      <c r="AG91" s="96">
        <f ca="1">SUMPRODUCT((Portfolio!$L94=AG$4)*(Portfolio!$L96))</f>
        <v>0</v>
      </c>
      <c r="AH91" s="96">
        <f ca="1">SUMPRODUCT((Portfolio!$L94=AH$4)*(Portfolio!$L96))</f>
        <v>0</v>
      </c>
      <c r="AI91" s="97">
        <f ca="1">SUMPRODUCT((Portfolio!$L94=AI$4)*(Portfolio!$L96))</f>
        <v>0</v>
      </c>
      <c r="AJ91" s="96">
        <f ca="1">SUMPRODUCT((Portfolio!$L94=AJ$4)*(Portfolio!$L96))</f>
        <v>0</v>
      </c>
      <c r="AK91" s="96">
        <f ca="1">SUMPRODUCT((Portfolio!$L94=AK$4)*(Portfolio!$L96))</f>
        <v>0</v>
      </c>
      <c r="AL91" s="96">
        <f ca="1">SUMPRODUCT((Portfolio!$L94=AL$4)*(Portfolio!$L96))</f>
        <v>0</v>
      </c>
      <c r="AM91" s="97">
        <f ca="1">SUMPRODUCT((Portfolio!$L94=AM$4)*(Portfolio!$L96))</f>
        <v>0</v>
      </c>
      <c r="AN91" s="96">
        <f ca="1">SUMPRODUCT((Portfolio!$L94=AN$4)*(Portfolio!$L96))</f>
        <v>0</v>
      </c>
      <c r="AO91" s="96">
        <f ca="1">SUMPRODUCT((Portfolio!$L94=AO$4)*(Portfolio!$L96))</f>
        <v>0</v>
      </c>
      <c r="AP91" s="96">
        <f ca="1">SUMPRODUCT((Portfolio!$L94=AP$4)*(Portfolio!$L96))</f>
        <v>0</v>
      </c>
      <c r="AQ91" s="97">
        <f ca="1">SUMPRODUCT((Portfolio!$L94=AQ$4)*(Portfolio!$L96))</f>
        <v>0</v>
      </c>
      <c r="AR91" s="96">
        <f ca="1">SUMPRODUCT((Portfolio!$L94=AR$4)*(Portfolio!$L96))</f>
        <v>0</v>
      </c>
      <c r="AS91" s="96">
        <f ca="1">SUMPRODUCT((Portfolio!$L94=AS$4)*(Portfolio!$L96))</f>
        <v>0</v>
      </c>
      <c r="AT91" s="96">
        <f ca="1">SUMPRODUCT((Portfolio!$L94=AT$4)*(Portfolio!$L96))</f>
        <v>0</v>
      </c>
      <c r="AU91" s="97">
        <f ca="1">SUMPRODUCT((Portfolio!$L94=AU$4)*(Portfolio!$L96))</f>
        <v>0</v>
      </c>
      <c r="AV91" s="96"/>
      <c r="AW91" s="96"/>
      <c r="AX91" s="96"/>
      <c r="AY91" s="99"/>
    </row>
    <row r="92" spans="1:51" ht="15.75" hidden="1" customHeight="1" outlineLevel="1" x14ac:dyDescent="0.2">
      <c r="A92" s="83"/>
      <c r="B92" s="92">
        <f>IF(Portfolio!C97&lt;&gt;"",Portfolio!C97,"")</f>
        <v>31</v>
      </c>
      <c r="C92" s="93" t="str">
        <f>IF(Portfolio!D97&lt;&gt;"",Portfolio!D97,"")</f>
        <v>Company 31</v>
      </c>
      <c r="D92" s="94">
        <f ca="1">SUMPRODUCT((Portfolio!$L97=D$4)*(Portfolio!$L99))</f>
        <v>0</v>
      </c>
      <c r="E92" s="94">
        <f ca="1">SUMPRODUCT((Portfolio!$L97=E$4)*(Portfolio!$L99))</f>
        <v>0</v>
      </c>
      <c r="F92" s="96">
        <f ca="1">SUMPRODUCT((Portfolio!$L97=F$4)*(Portfolio!$L99))</f>
        <v>0</v>
      </c>
      <c r="G92" s="97">
        <f ca="1">SUMPRODUCT((Portfolio!$L97=G$4)*(Portfolio!$L99))</f>
        <v>0</v>
      </c>
      <c r="H92" s="94">
        <f ca="1">SUMPRODUCT((Portfolio!$L97=H$4)*(Portfolio!$L99))</f>
        <v>0</v>
      </c>
      <c r="I92" s="94">
        <f ca="1">SUMPRODUCT((Portfolio!$L97=I$4)*(Portfolio!$L99))</f>
        <v>0</v>
      </c>
      <c r="J92" s="96">
        <f ca="1">SUMPRODUCT((Portfolio!$L97=J$4)*(Portfolio!$L99))</f>
        <v>0</v>
      </c>
      <c r="K92" s="97">
        <f ca="1">SUMPRODUCT((Portfolio!$L97=K$4)*(Portfolio!$L99))</f>
        <v>0</v>
      </c>
      <c r="L92" s="96">
        <f ca="1">SUMPRODUCT((Portfolio!$L97=L$4)*(Portfolio!$L99))</f>
        <v>0</v>
      </c>
      <c r="M92" s="96">
        <f ca="1">SUMPRODUCT((Portfolio!$L97=M$4)*(Portfolio!$L99))</f>
        <v>0</v>
      </c>
      <c r="N92" s="96">
        <f ca="1">SUMPRODUCT((Portfolio!$L97=N$4)*(Portfolio!$L99))</f>
        <v>0</v>
      </c>
      <c r="O92" s="97">
        <f ca="1">SUMPRODUCT((Portfolio!$L97=O$4)*(Portfolio!$L99))</f>
        <v>0</v>
      </c>
      <c r="P92" s="96">
        <f ca="1">SUMPRODUCT((Portfolio!$L97=P$4)*(Portfolio!$L99))</f>
        <v>0</v>
      </c>
      <c r="Q92" s="96">
        <f ca="1">SUMPRODUCT((Portfolio!$L97=Q$4)*(Portfolio!$L99))</f>
        <v>0</v>
      </c>
      <c r="R92" s="96">
        <f ca="1">SUMPRODUCT((Portfolio!$L97=R$4)*(Portfolio!$L99))</f>
        <v>0</v>
      </c>
      <c r="S92" s="97">
        <f ca="1">SUMPRODUCT((Portfolio!$L97=S$4)*(Portfolio!$L99))</f>
        <v>0</v>
      </c>
      <c r="T92" s="96">
        <f ca="1">SUMPRODUCT((Portfolio!$L97=T$4)*(Portfolio!$L99))</f>
        <v>0</v>
      </c>
      <c r="U92" s="96">
        <f ca="1">SUMPRODUCT((Portfolio!$L97=U$4)*(Portfolio!$L99))</f>
        <v>0</v>
      </c>
      <c r="V92" s="96">
        <f ca="1">SUMPRODUCT((Portfolio!$L97=V$4)*(Portfolio!$L99))</f>
        <v>0</v>
      </c>
      <c r="W92" s="97">
        <f ca="1">SUMPRODUCT((Portfolio!$L97=W$4)*(Portfolio!$L99))</f>
        <v>0</v>
      </c>
      <c r="X92" s="96">
        <f ca="1">SUMPRODUCT((Portfolio!$L97=X$4)*(Portfolio!$L99))</f>
        <v>0</v>
      </c>
      <c r="Y92" s="96">
        <f ca="1">SUMPRODUCT((Portfolio!$L97=Y$4)*(Portfolio!$L99))</f>
        <v>0</v>
      </c>
      <c r="Z92" s="96">
        <f ca="1">SUMPRODUCT((Portfolio!$L97=Z$4)*(Portfolio!$L99))</f>
        <v>0</v>
      </c>
      <c r="AA92" s="97">
        <f ca="1">SUMPRODUCT((Portfolio!$L97=AA$4)*(Portfolio!$L99))</f>
        <v>0</v>
      </c>
      <c r="AB92" s="96">
        <f ca="1">SUMPRODUCT((Portfolio!$L97=AB$4)*(Portfolio!$L99))</f>
        <v>0</v>
      </c>
      <c r="AC92" s="96">
        <f ca="1">SUMPRODUCT((Portfolio!$L97=AC$4)*(Portfolio!$L99))</f>
        <v>0</v>
      </c>
      <c r="AD92" s="96">
        <f ca="1">SUMPRODUCT((Portfolio!$L97=AD$4)*(Portfolio!$L99))</f>
        <v>0</v>
      </c>
      <c r="AE92" s="97">
        <f ca="1">SUMPRODUCT((Portfolio!$L97=AE$4)*(Portfolio!$L99))</f>
        <v>0</v>
      </c>
      <c r="AF92" s="96">
        <f ca="1">SUMPRODUCT((Portfolio!$L97=AF$4)*(Portfolio!$L99))</f>
        <v>0</v>
      </c>
      <c r="AG92" s="96">
        <f ca="1">SUMPRODUCT((Portfolio!$L97=AG$4)*(Portfolio!$L99))</f>
        <v>0</v>
      </c>
      <c r="AH92" s="96">
        <f ca="1">SUMPRODUCT((Portfolio!$L97=AH$4)*(Portfolio!$L99))</f>
        <v>0</v>
      </c>
      <c r="AI92" s="97">
        <f ca="1">SUMPRODUCT((Portfolio!$L97=AI$4)*(Portfolio!$L99))</f>
        <v>0</v>
      </c>
      <c r="AJ92" s="96">
        <f ca="1">SUMPRODUCT((Portfolio!$L97=AJ$4)*(Portfolio!$L99))</f>
        <v>0</v>
      </c>
      <c r="AK92" s="96">
        <f ca="1">SUMPRODUCT((Portfolio!$L97=AK$4)*(Portfolio!$L99))</f>
        <v>0</v>
      </c>
      <c r="AL92" s="96">
        <f ca="1">SUMPRODUCT((Portfolio!$L97=AL$4)*(Portfolio!$L99))</f>
        <v>0</v>
      </c>
      <c r="AM92" s="97">
        <f ca="1">SUMPRODUCT((Portfolio!$L97=AM$4)*(Portfolio!$L99))</f>
        <v>0</v>
      </c>
      <c r="AN92" s="96">
        <f ca="1">SUMPRODUCT((Portfolio!$L97=AN$4)*(Portfolio!$L99))</f>
        <v>0</v>
      </c>
      <c r="AO92" s="96">
        <f ca="1">SUMPRODUCT((Portfolio!$L97=AO$4)*(Portfolio!$L99))</f>
        <v>0</v>
      </c>
      <c r="AP92" s="96">
        <f ca="1">SUMPRODUCT((Portfolio!$L97=AP$4)*(Portfolio!$L99))</f>
        <v>0</v>
      </c>
      <c r="AQ92" s="97">
        <f ca="1">SUMPRODUCT((Portfolio!$L97=AQ$4)*(Portfolio!$L99))</f>
        <v>0</v>
      </c>
      <c r="AR92" s="96">
        <f ca="1">SUMPRODUCT((Portfolio!$L97=AR$4)*(Portfolio!$L99))</f>
        <v>0</v>
      </c>
      <c r="AS92" s="96">
        <f ca="1">SUMPRODUCT((Portfolio!$L97=AS$4)*(Portfolio!$L99))</f>
        <v>0</v>
      </c>
      <c r="AT92" s="96">
        <f ca="1">SUMPRODUCT((Portfolio!$L97=AT$4)*(Portfolio!$L99))</f>
        <v>0</v>
      </c>
      <c r="AU92" s="97">
        <f ca="1">SUMPRODUCT((Portfolio!$L97=AU$4)*(Portfolio!$L99))</f>
        <v>0</v>
      </c>
      <c r="AV92" s="96"/>
      <c r="AW92" s="96"/>
      <c r="AX92" s="96"/>
      <c r="AY92" s="99"/>
    </row>
    <row r="93" spans="1:51" ht="15.75" hidden="1" customHeight="1" outlineLevel="1" x14ac:dyDescent="0.2">
      <c r="A93" s="83"/>
      <c r="B93" s="92">
        <f>IF(Portfolio!C100&lt;&gt;"",Portfolio!C100,"")</f>
        <v>32</v>
      </c>
      <c r="C93" s="93" t="str">
        <f>IF(Portfolio!D100&lt;&gt;"",Portfolio!D100,"")</f>
        <v>Company 32</v>
      </c>
      <c r="D93" s="94">
        <f ca="1">SUMPRODUCT((Portfolio!$L100=D$4)*(Portfolio!$L102))</f>
        <v>0</v>
      </c>
      <c r="E93" s="94">
        <f ca="1">SUMPRODUCT((Portfolio!$L100=E$4)*(Portfolio!$L102))</f>
        <v>0</v>
      </c>
      <c r="F93" s="96">
        <f ca="1">SUMPRODUCT((Portfolio!$L100=F$4)*(Portfolio!$L102))</f>
        <v>0</v>
      </c>
      <c r="G93" s="97">
        <f ca="1">SUMPRODUCT((Portfolio!$L100=G$4)*(Portfolio!$L102))</f>
        <v>0</v>
      </c>
      <c r="H93" s="94">
        <f ca="1">SUMPRODUCT((Portfolio!$L100=H$4)*(Portfolio!$L102))</f>
        <v>0</v>
      </c>
      <c r="I93" s="94">
        <f ca="1">SUMPRODUCT((Portfolio!$L100=I$4)*(Portfolio!$L102))</f>
        <v>0</v>
      </c>
      <c r="J93" s="96">
        <f ca="1">SUMPRODUCT((Portfolio!$L100=J$4)*(Portfolio!$L102))</f>
        <v>0</v>
      </c>
      <c r="K93" s="97">
        <f ca="1">SUMPRODUCT((Portfolio!$L100=K$4)*(Portfolio!$L102))</f>
        <v>0</v>
      </c>
      <c r="L93" s="96">
        <f ca="1">SUMPRODUCT((Portfolio!$L100=L$4)*(Portfolio!$L102))</f>
        <v>0</v>
      </c>
      <c r="M93" s="96">
        <f ca="1">SUMPRODUCT((Portfolio!$L100=M$4)*(Portfolio!$L102))</f>
        <v>0</v>
      </c>
      <c r="N93" s="96">
        <f ca="1">SUMPRODUCT((Portfolio!$L100=N$4)*(Portfolio!$L102))</f>
        <v>0</v>
      </c>
      <c r="O93" s="97">
        <f ca="1">SUMPRODUCT((Portfolio!$L100=O$4)*(Portfolio!$L102))</f>
        <v>0</v>
      </c>
      <c r="P93" s="96">
        <f ca="1">SUMPRODUCT((Portfolio!$L100=P$4)*(Portfolio!$L102))</f>
        <v>0</v>
      </c>
      <c r="Q93" s="96">
        <f ca="1">SUMPRODUCT((Portfolio!$L100=Q$4)*(Portfolio!$L102))</f>
        <v>0</v>
      </c>
      <c r="R93" s="96">
        <f ca="1">SUMPRODUCT((Portfolio!$L100=R$4)*(Portfolio!$L102))</f>
        <v>0</v>
      </c>
      <c r="S93" s="97">
        <f ca="1">SUMPRODUCT((Portfolio!$L100=S$4)*(Portfolio!$L102))</f>
        <v>0</v>
      </c>
      <c r="T93" s="96">
        <f ca="1">SUMPRODUCT((Portfolio!$L100=T$4)*(Portfolio!$L102))</f>
        <v>0</v>
      </c>
      <c r="U93" s="96">
        <f ca="1">SUMPRODUCT((Portfolio!$L100=U$4)*(Portfolio!$L102))</f>
        <v>0</v>
      </c>
      <c r="V93" s="96">
        <f ca="1">SUMPRODUCT((Portfolio!$L100=V$4)*(Portfolio!$L102))</f>
        <v>0</v>
      </c>
      <c r="W93" s="97">
        <f ca="1">SUMPRODUCT((Portfolio!$L100=W$4)*(Portfolio!$L102))</f>
        <v>0</v>
      </c>
      <c r="X93" s="96">
        <f ca="1">SUMPRODUCT((Portfolio!$L100=X$4)*(Portfolio!$L102))</f>
        <v>0</v>
      </c>
      <c r="Y93" s="96">
        <f ca="1">SUMPRODUCT((Portfolio!$L100=Y$4)*(Portfolio!$L102))</f>
        <v>0</v>
      </c>
      <c r="Z93" s="96">
        <f ca="1">SUMPRODUCT((Portfolio!$L100=Z$4)*(Portfolio!$L102))</f>
        <v>0</v>
      </c>
      <c r="AA93" s="97">
        <f ca="1">SUMPRODUCT((Portfolio!$L100=AA$4)*(Portfolio!$L102))</f>
        <v>0</v>
      </c>
      <c r="AB93" s="96">
        <f ca="1">SUMPRODUCT((Portfolio!$L100=AB$4)*(Portfolio!$L102))</f>
        <v>0</v>
      </c>
      <c r="AC93" s="96">
        <f ca="1">SUMPRODUCT((Portfolio!$L100=AC$4)*(Portfolio!$L102))</f>
        <v>0</v>
      </c>
      <c r="AD93" s="96">
        <f ca="1">SUMPRODUCT((Portfolio!$L100=AD$4)*(Portfolio!$L102))</f>
        <v>0</v>
      </c>
      <c r="AE93" s="97">
        <f ca="1">SUMPRODUCT((Portfolio!$L100=AE$4)*(Portfolio!$L102))</f>
        <v>0</v>
      </c>
      <c r="AF93" s="96">
        <f ca="1">SUMPRODUCT((Portfolio!$L100=AF$4)*(Portfolio!$L102))</f>
        <v>0</v>
      </c>
      <c r="AG93" s="96">
        <f ca="1">SUMPRODUCT((Portfolio!$L100=AG$4)*(Portfolio!$L102))</f>
        <v>0</v>
      </c>
      <c r="AH93" s="96">
        <f ca="1">SUMPRODUCT((Portfolio!$L100=AH$4)*(Portfolio!$L102))</f>
        <v>0</v>
      </c>
      <c r="AI93" s="97">
        <f ca="1">SUMPRODUCT((Portfolio!$L100=AI$4)*(Portfolio!$L102))</f>
        <v>0</v>
      </c>
      <c r="AJ93" s="96">
        <f ca="1">SUMPRODUCT((Portfolio!$L100=AJ$4)*(Portfolio!$L102))</f>
        <v>0</v>
      </c>
      <c r="AK93" s="96">
        <f ca="1">SUMPRODUCT((Portfolio!$L100=AK$4)*(Portfolio!$L102))</f>
        <v>0</v>
      </c>
      <c r="AL93" s="96">
        <f ca="1">SUMPRODUCT((Portfolio!$L100=AL$4)*(Portfolio!$L102))</f>
        <v>0</v>
      </c>
      <c r="AM93" s="97">
        <f ca="1">SUMPRODUCT((Portfolio!$L100=AM$4)*(Portfolio!$L102))</f>
        <v>0</v>
      </c>
      <c r="AN93" s="96">
        <f ca="1">SUMPRODUCT((Portfolio!$L100=AN$4)*(Portfolio!$L102))</f>
        <v>0</v>
      </c>
      <c r="AO93" s="96">
        <f ca="1">SUMPRODUCT((Portfolio!$L100=AO$4)*(Portfolio!$L102))</f>
        <v>0</v>
      </c>
      <c r="AP93" s="96">
        <f ca="1">SUMPRODUCT((Portfolio!$L100=AP$4)*(Portfolio!$L102))</f>
        <v>0</v>
      </c>
      <c r="AQ93" s="97">
        <f ca="1">SUMPRODUCT((Portfolio!$L100=AQ$4)*(Portfolio!$L102))</f>
        <v>0</v>
      </c>
      <c r="AR93" s="96">
        <f ca="1">SUMPRODUCT((Portfolio!$L100=AR$4)*(Portfolio!$L102))</f>
        <v>0</v>
      </c>
      <c r="AS93" s="96">
        <f ca="1">SUMPRODUCT((Portfolio!$L100=AS$4)*(Portfolio!$L102))</f>
        <v>0</v>
      </c>
      <c r="AT93" s="96">
        <f ca="1">SUMPRODUCT((Portfolio!$L100=AT$4)*(Portfolio!$L102))</f>
        <v>0</v>
      </c>
      <c r="AU93" s="97">
        <f ca="1">SUMPRODUCT((Portfolio!$L100=AU$4)*(Portfolio!$L102))</f>
        <v>0</v>
      </c>
      <c r="AV93" s="96"/>
      <c r="AW93" s="96"/>
      <c r="AX93" s="96"/>
      <c r="AY93" s="99"/>
    </row>
    <row r="94" spans="1:51" ht="15.75" hidden="1" customHeight="1" outlineLevel="1" x14ac:dyDescent="0.2">
      <c r="A94" s="83"/>
      <c r="B94" s="92">
        <f>IF(Portfolio!C103&lt;&gt;"",Portfolio!C103,"")</f>
        <v>33</v>
      </c>
      <c r="C94" s="93" t="str">
        <f>IF(Portfolio!D103&lt;&gt;"",Portfolio!D103,"")</f>
        <v>Company 33</v>
      </c>
      <c r="D94" s="94">
        <f ca="1">SUMPRODUCT((Portfolio!$L103=D$4)*(Portfolio!$L105))</f>
        <v>0</v>
      </c>
      <c r="E94" s="94">
        <f ca="1">SUMPRODUCT((Portfolio!$L103=E$4)*(Portfolio!$L105))</f>
        <v>0</v>
      </c>
      <c r="F94" s="96">
        <f ca="1">SUMPRODUCT((Portfolio!$L103=F$4)*(Portfolio!$L105))</f>
        <v>0</v>
      </c>
      <c r="G94" s="97">
        <f ca="1">SUMPRODUCT((Portfolio!$L103=G$4)*(Portfolio!$L105))</f>
        <v>0</v>
      </c>
      <c r="H94" s="94">
        <f ca="1">SUMPRODUCT((Portfolio!$L103=H$4)*(Portfolio!$L105))</f>
        <v>0</v>
      </c>
      <c r="I94" s="94">
        <f ca="1">SUMPRODUCT((Portfolio!$L103=I$4)*(Portfolio!$L105))</f>
        <v>0</v>
      </c>
      <c r="J94" s="96">
        <f ca="1">SUMPRODUCT((Portfolio!$L103=J$4)*(Portfolio!$L105))</f>
        <v>0</v>
      </c>
      <c r="K94" s="97">
        <f ca="1">SUMPRODUCT((Portfolio!$L103=K$4)*(Portfolio!$L105))</f>
        <v>0</v>
      </c>
      <c r="L94" s="96">
        <f ca="1">SUMPRODUCT((Portfolio!$L103=L$4)*(Portfolio!$L105))</f>
        <v>0</v>
      </c>
      <c r="M94" s="96">
        <f ca="1">SUMPRODUCT((Portfolio!$L103=M$4)*(Portfolio!$L105))</f>
        <v>0</v>
      </c>
      <c r="N94" s="96">
        <f ca="1">SUMPRODUCT((Portfolio!$L103=N$4)*(Portfolio!$L105))</f>
        <v>0</v>
      </c>
      <c r="O94" s="97">
        <f ca="1">SUMPRODUCT((Portfolio!$L103=O$4)*(Portfolio!$L105))</f>
        <v>0</v>
      </c>
      <c r="P94" s="96">
        <f ca="1">SUMPRODUCT((Portfolio!$L103=P$4)*(Portfolio!$L105))</f>
        <v>0</v>
      </c>
      <c r="Q94" s="96">
        <f ca="1">SUMPRODUCT((Portfolio!$L103=Q$4)*(Portfolio!$L105))</f>
        <v>0</v>
      </c>
      <c r="R94" s="96">
        <f ca="1">SUMPRODUCT((Portfolio!$L103=R$4)*(Portfolio!$L105))</f>
        <v>0</v>
      </c>
      <c r="S94" s="97">
        <f ca="1">SUMPRODUCT((Portfolio!$L103=S$4)*(Portfolio!$L105))</f>
        <v>0</v>
      </c>
      <c r="T94" s="96">
        <f ca="1">SUMPRODUCT((Portfolio!$L103=T$4)*(Portfolio!$L105))</f>
        <v>0</v>
      </c>
      <c r="U94" s="96">
        <f ca="1">SUMPRODUCT((Portfolio!$L103=U$4)*(Portfolio!$L105))</f>
        <v>0</v>
      </c>
      <c r="V94" s="96">
        <f ca="1">SUMPRODUCT((Portfolio!$L103=V$4)*(Portfolio!$L105))</f>
        <v>0</v>
      </c>
      <c r="W94" s="97">
        <f ca="1">SUMPRODUCT((Portfolio!$L103=W$4)*(Portfolio!$L105))</f>
        <v>0</v>
      </c>
      <c r="X94" s="96">
        <f ca="1">SUMPRODUCT((Portfolio!$L103=X$4)*(Portfolio!$L105))</f>
        <v>0</v>
      </c>
      <c r="Y94" s="96">
        <f ca="1">SUMPRODUCT((Portfolio!$L103=Y$4)*(Portfolio!$L105))</f>
        <v>0</v>
      </c>
      <c r="Z94" s="96">
        <f ca="1">SUMPRODUCT((Portfolio!$L103=Z$4)*(Portfolio!$L105))</f>
        <v>0</v>
      </c>
      <c r="AA94" s="97">
        <f ca="1">SUMPRODUCT((Portfolio!$L103=AA$4)*(Portfolio!$L105))</f>
        <v>0</v>
      </c>
      <c r="AB94" s="96">
        <f ca="1">SUMPRODUCT((Portfolio!$L103=AB$4)*(Portfolio!$L105))</f>
        <v>0</v>
      </c>
      <c r="AC94" s="96">
        <f ca="1">SUMPRODUCT((Portfolio!$L103=AC$4)*(Portfolio!$L105))</f>
        <v>0</v>
      </c>
      <c r="AD94" s="96">
        <f ca="1">SUMPRODUCT((Portfolio!$L103=AD$4)*(Portfolio!$L105))</f>
        <v>0</v>
      </c>
      <c r="AE94" s="97">
        <f ca="1">SUMPRODUCT((Portfolio!$L103=AE$4)*(Portfolio!$L105))</f>
        <v>0</v>
      </c>
      <c r="AF94" s="96">
        <f ca="1">SUMPRODUCT((Portfolio!$L103=AF$4)*(Portfolio!$L105))</f>
        <v>0</v>
      </c>
      <c r="AG94" s="96">
        <f ca="1">SUMPRODUCT((Portfolio!$L103=AG$4)*(Portfolio!$L105))</f>
        <v>0</v>
      </c>
      <c r="AH94" s="96">
        <f ca="1">SUMPRODUCT((Portfolio!$L103=AH$4)*(Portfolio!$L105))</f>
        <v>0</v>
      </c>
      <c r="AI94" s="97">
        <f ca="1">SUMPRODUCT((Portfolio!$L103=AI$4)*(Portfolio!$L105))</f>
        <v>0</v>
      </c>
      <c r="AJ94" s="96">
        <f ca="1">SUMPRODUCT((Portfolio!$L103=AJ$4)*(Portfolio!$L105))</f>
        <v>0</v>
      </c>
      <c r="AK94" s="96">
        <f ca="1">SUMPRODUCT((Portfolio!$L103=AK$4)*(Portfolio!$L105))</f>
        <v>0</v>
      </c>
      <c r="AL94" s="96">
        <f ca="1">SUMPRODUCT((Portfolio!$L103=AL$4)*(Portfolio!$L105))</f>
        <v>0</v>
      </c>
      <c r="AM94" s="97">
        <f ca="1">SUMPRODUCT((Portfolio!$L103=AM$4)*(Portfolio!$L105))</f>
        <v>0</v>
      </c>
      <c r="AN94" s="96">
        <f ca="1">SUMPRODUCT((Portfolio!$L103=AN$4)*(Portfolio!$L105))</f>
        <v>0</v>
      </c>
      <c r="AO94" s="96">
        <f ca="1">SUMPRODUCT((Portfolio!$L103=AO$4)*(Portfolio!$L105))</f>
        <v>0</v>
      </c>
      <c r="AP94" s="96">
        <f ca="1">SUMPRODUCT((Portfolio!$L103=AP$4)*(Portfolio!$L105))</f>
        <v>0</v>
      </c>
      <c r="AQ94" s="97">
        <f ca="1">SUMPRODUCT((Portfolio!$L103=AQ$4)*(Portfolio!$L105))</f>
        <v>0</v>
      </c>
      <c r="AR94" s="96">
        <f ca="1">SUMPRODUCT((Portfolio!$L103=AR$4)*(Portfolio!$L105))</f>
        <v>0</v>
      </c>
      <c r="AS94" s="96">
        <f ca="1">SUMPRODUCT((Portfolio!$L103=AS$4)*(Portfolio!$L105))</f>
        <v>0</v>
      </c>
      <c r="AT94" s="96">
        <f ca="1">SUMPRODUCT((Portfolio!$L103=AT$4)*(Portfolio!$L105))</f>
        <v>0</v>
      </c>
      <c r="AU94" s="97">
        <f ca="1">SUMPRODUCT((Portfolio!$L103=AU$4)*(Portfolio!$L105))</f>
        <v>0</v>
      </c>
      <c r="AV94" s="96"/>
      <c r="AW94" s="96"/>
      <c r="AX94" s="96"/>
      <c r="AY94" s="99"/>
    </row>
    <row r="95" spans="1:51" ht="15.75" hidden="1" customHeight="1" outlineLevel="1" x14ac:dyDescent="0.2">
      <c r="A95" s="83"/>
      <c r="B95" s="92">
        <f>IF(Portfolio!C106&lt;&gt;"",Portfolio!C106,"")</f>
        <v>34</v>
      </c>
      <c r="C95" s="93" t="str">
        <f>IF(Portfolio!D106&lt;&gt;"",Portfolio!D106,"")</f>
        <v>Company 34</v>
      </c>
      <c r="D95" s="94">
        <f ca="1">SUMPRODUCT((Portfolio!$L106=D$4)*(Portfolio!$L108))</f>
        <v>0</v>
      </c>
      <c r="E95" s="94">
        <f ca="1">SUMPRODUCT((Portfolio!$L106=E$4)*(Portfolio!$L108))</f>
        <v>0</v>
      </c>
      <c r="F95" s="96">
        <f ca="1">SUMPRODUCT((Portfolio!$L106=F$4)*(Portfolio!$L108))</f>
        <v>0</v>
      </c>
      <c r="G95" s="97">
        <f ca="1">SUMPRODUCT((Portfolio!$L106=G$4)*(Portfolio!$L108))</f>
        <v>0</v>
      </c>
      <c r="H95" s="94">
        <f ca="1">SUMPRODUCT((Portfolio!$L106=H$4)*(Portfolio!$L108))</f>
        <v>0</v>
      </c>
      <c r="I95" s="94">
        <f ca="1">SUMPRODUCT((Portfolio!$L106=I$4)*(Portfolio!$L108))</f>
        <v>0</v>
      </c>
      <c r="J95" s="96">
        <f ca="1">SUMPRODUCT((Portfolio!$L106=J$4)*(Portfolio!$L108))</f>
        <v>0</v>
      </c>
      <c r="K95" s="97">
        <f ca="1">SUMPRODUCT((Portfolio!$L106=K$4)*(Portfolio!$L108))</f>
        <v>0</v>
      </c>
      <c r="L95" s="96">
        <f ca="1">SUMPRODUCT((Portfolio!$L106=L$4)*(Portfolio!$L108))</f>
        <v>0</v>
      </c>
      <c r="M95" s="96">
        <f ca="1">SUMPRODUCT((Portfolio!$L106=M$4)*(Portfolio!$L108))</f>
        <v>0</v>
      </c>
      <c r="N95" s="96">
        <f ca="1">SUMPRODUCT((Portfolio!$L106=N$4)*(Portfolio!$L108))</f>
        <v>0</v>
      </c>
      <c r="O95" s="97">
        <f ca="1">SUMPRODUCT((Portfolio!$L106=O$4)*(Portfolio!$L108))</f>
        <v>0</v>
      </c>
      <c r="P95" s="96">
        <f ca="1">SUMPRODUCT((Portfolio!$L106=P$4)*(Portfolio!$L108))</f>
        <v>0</v>
      </c>
      <c r="Q95" s="96">
        <f ca="1">SUMPRODUCT((Portfolio!$L106=Q$4)*(Portfolio!$L108))</f>
        <v>0</v>
      </c>
      <c r="R95" s="96">
        <f ca="1">SUMPRODUCT((Portfolio!$L106=R$4)*(Portfolio!$L108))</f>
        <v>0</v>
      </c>
      <c r="S95" s="97">
        <f ca="1">SUMPRODUCT((Portfolio!$L106=S$4)*(Portfolio!$L108))</f>
        <v>0</v>
      </c>
      <c r="T95" s="96">
        <f ca="1">SUMPRODUCT((Portfolio!$L106=T$4)*(Portfolio!$L108))</f>
        <v>0</v>
      </c>
      <c r="U95" s="96">
        <f ca="1">SUMPRODUCT((Portfolio!$L106=U$4)*(Portfolio!$L108))</f>
        <v>0</v>
      </c>
      <c r="V95" s="96">
        <f ca="1">SUMPRODUCT((Portfolio!$L106=V$4)*(Portfolio!$L108))</f>
        <v>0</v>
      </c>
      <c r="W95" s="97">
        <f ca="1">SUMPRODUCT((Portfolio!$L106=W$4)*(Portfolio!$L108))</f>
        <v>0</v>
      </c>
      <c r="X95" s="96">
        <f ca="1">SUMPRODUCT((Portfolio!$L106=X$4)*(Portfolio!$L108))</f>
        <v>0</v>
      </c>
      <c r="Y95" s="96">
        <f ca="1">SUMPRODUCT((Portfolio!$L106=Y$4)*(Portfolio!$L108))</f>
        <v>0</v>
      </c>
      <c r="Z95" s="96">
        <f ca="1">SUMPRODUCT((Portfolio!$L106=Z$4)*(Portfolio!$L108))</f>
        <v>0</v>
      </c>
      <c r="AA95" s="97">
        <f ca="1">SUMPRODUCT((Portfolio!$L106=AA$4)*(Portfolio!$L108))</f>
        <v>0</v>
      </c>
      <c r="AB95" s="96">
        <f ca="1">SUMPRODUCT((Portfolio!$L106=AB$4)*(Portfolio!$L108))</f>
        <v>0</v>
      </c>
      <c r="AC95" s="96">
        <f ca="1">SUMPRODUCT((Portfolio!$L106=AC$4)*(Portfolio!$L108))</f>
        <v>0</v>
      </c>
      <c r="AD95" s="96">
        <f ca="1">SUMPRODUCT((Portfolio!$L106=AD$4)*(Portfolio!$L108))</f>
        <v>0</v>
      </c>
      <c r="AE95" s="97">
        <f ca="1">SUMPRODUCT((Portfolio!$L106=AE$4)*(Portfolio!$L108))</f>
        <v>0</v>
      </c>
      <c r="AF95" s="96">
        <f ca="1">SUMPRODUCT((Portfolio!$L106=AF$4)*(Portfolio!$L108))</f>
        <v>0</v>
      </c>
      <c r="AG95" s="96">
        <f ca="1">SUMPRODUCT((Portfolio!$L106=AG$4)*(Portfolio!$L108))</f>
        <v>0</v>
      </c>
      <c r="AH95" s="96">
        <f ca="1">SUMPRODUCT((Portfolio!$L106=AH$4)*(Portfolio!$L108))</f>
        <v>0</v>
      </c>
      <c r="AI95" s="97">
        <f ca="1">SUMPRODUCT((Portfolio!$L106=AI$4)*(Portfolio!$L108))</f>
        <v>0</v>
      </c>
      <c r="AJ95" s="96">
        <f ca="1">SUMPRODUCT((Portfolio!$L106=AJ$4)*(Portfolio!$L108))</f>
        <v>0</v>
      </c>
      <c r="AK95" s="96">
        <f ca="1">SUMPRODUCT((Portfolio!$L106=AK$4)*(Portfolio!$L108))</f>
        <v>0</v>
      </c>
      <c r="AL95" s="96">
        <f ca="1">SUMPRODUCT((Portfolio!$L106=AL$4)*(Portfolio!$L108))</f>
        <v>0</v>
      </c>
      <c r="AM95" s="97">
        <f ca="1">SUMPRODUCT((Portfolio!$L106=AM$4)*(Portfolio!$L108))</f>
        <v>0</v>
      </c>
      <c r="AN95" s="96">
        <f ca="1">SUMPRODUCT((Portfolio!$L106=AN$4)*(Portfolio!$L108))</f>
        <v>0</v>
      </c>
      <c r="AO95" s="96">
        <f ca="1">SUMPRODUCT((Portfolio!$L106=AO$4)*(Portfolio!$L108))</f>
        <v>0</v>
      </c>
      <c r="AP95" s="96">
        <f ca="1">SUMPRODUCT((Portfolio!$L106=AP$4)*(Portfolio!$L108))</f>
        <v>0</v>
      </c>
      <c r="AQ95" s="97">
        <f ca="1">SUMPRODUCT((Portfolio!$L106=AQ$4)*(Portfolio!$L108))</f>
        <v>0</v>
      </c>
      <c r="AR95" s="96">
        <f ca="1">SUMPRODUCT((Portfolio!$L106=AR$4)*(Portfolio!$L108))</f>
        <v>0</v>
      </c>
      <c r="AS95" s="96">
        <f ca="1">SUMPRODUCT((Portfolio!$L106=AS$4)*(Portfolio!$L108))</f>
        <v>0</v>
      </c>
      <c r="AT95" s="96">
        <f ca="1">SUMPRODUCT((Portfolio!$L106=AT$4)*(Portfolio!$L108))</f>
        <v>0</v>
      </c>
      <c r="AU95" s="97">
        <f ca="1">SUMPRODUCT((Portfolio!$L106=AU$4)*(Portfolio!$L108))</f>
        <v>0</v>
      </c>
      <c r="AV95" s="96"/>
      <c r="AW95" s="96"/>
      <c r="AX95" s="96"/>
      <c r="AY95" s="99"/>
    </row>
    <row r="96" spans="1:51" ht="15.75" hidden="1" customHeight="1" outlineLevel="1" x14ac:dyDescent="0.2">
      <c r="A96" s="83"/>
      <c r="B96" s="92">
        <f>IF(Portfolio!C109&lt;&gt;"",Portfolio!C109,"")</f>
        <v>35</v>
      </c>
      <c r="C96" s="93" t="str">
        <f>IF(Portfolio!D109&lt;&gt;"",Portfolio!D109,"")</f>
        <v>Company 35</v>
      </c>
      <c r="D96" s="94">
        <f ca="1">SUMPRODUCT((Portfolio!$L109=D$4)*(Portfolio!$L111))</f>
        <v>0</v>
      </c>
      <c r="E96" s="94">
        <f ca="1">SUMPRODUCT((Portfolio!$L109=E$4)*(Portfolio!$L111))</f>
        <v>0</v>
      </c>
      <c r="F96" s="96">
        <f ca="1">SUMPRODUCT((Portfolio!$L109=F$4)*(Portfolio!$L111))</f>
        <v>0</v>
      </c>
      <c r="G96" s="97">
        <f ca="1">SUMPRODUCT((Portfolio!$L109=G$4)*(Portfolio!$L111))</f>
        <v>0</v>
      </c>
      <c r="H96" s="94">
        <f ca="1">SUMPRODUCT((Portfolio!$L109=H$4)*(Portfolio!$L111))</f>
        <v>0</v>
      </c>
      <c r="I96" s="94">
        <f ca="1">SUMPRODUCT((Portfolio!$L109=I$4)*(Portfolio!$L111))</f>
        <v>0</v>
      </c>
      <c r="J96" s="96">
        <f ca="1">SUMPRODUCT((Portfolio!$L109=J$4)*(Portfolio!$L111))</f>
        <v>0</v>
      </c>
      <c r="K96" s="97">
        <f ca="1">SUMPRODUCT((Portfolio!$L109=K$4)*(Portfolio!$L111))</f>
        <v>0</v>
      </c>
      <c r="L96" s="96">
        <f ca="1">SUMPRODUCT((Portfolio!$L109=L$4)*(Portfolio!$L111))</f>
        <v>0</v>
      </c>
      <c r="M96" s="96">
        <f ca="1">SUMPRODUCT((Portfolio!$L109=M$4)*(Portfolio!$L111))</f>
        <v>0</v>
      </c>
      <c r="N96" s="96">
        <f ca="1">SUMPRODUCT((Portfolio!$L109=N$4)*(Portfolio!$L111))</f>
        <v>0</v>
      </c>
      <c r="O96" s="97">
        <f ca="1">SUMPRODUCT((Portfolio!$L109=O$4)*(Portfolio!$L111))</f>
        <v>0</v>
      </c>
      <c r="P96" s="96">
        <f ca="1">SUMPRODUCT((Portfolio!$L109=P$4)*(Portfolio!$L111))</f>
        <v>0</v>
      </c>
      <c r="Q96" s="96">
        <f ca="1">SUMPRODUCT((Portfolio!$L109=Q$4)*(Portfolio!$L111))</f>
        <v>0</v>
      </c>
      <c r="R96" s="96">
        <f ca="1">SUMPRODUCT((Portfolio!$L109=R$4)*(Portfolio!$L111))</f>
        <v>0</v>
      </c>
      <c r="S96" s="97">
        <f ca="1">SUMPRODUCT((Portfolio!$L109=S$4)*(Portfolio!$L111))</f>
        <v>0</v>
      </c>
      <c r="T96" s="96">
        <f ca="1">SUMPRODUCT((Portfolio!$L109=T$4)*(Portfolio!$L111))</f>
        <v>0</v>
      </c>
      <c r="U96" s="96">
        <f ca="1">SUMPRODUCT((Portfolio!$L109=U$4)*(Portfolio!$L111))</f>
        <v>0</v>
      </c>
      <c r="V96" s="96">
        <f ca="1">SUMPRODUCT((Portfolio!$L109=V$4)*(Portfolio!$L111))</f>
        <v>0</v>
      </c>
      <c r="W96" s="97">
        <f ca="1">SUMPRODUCT((Portfolio!$L109=W$4)*(Portfolio!$L111))</f>
        <v>0</v>
      </c>
      <c r="X96" s="96">
        <f ca="1">SUMPRODUCT((Portfolio!$L109=X$4)*(Portfolio!$L111))</f>
        <v>0</v>
      </c>
      <c r="Y96" s="96">
        <f ca="1">SUMPRODUCT((Portfolio!$L109=Y$4)*(Portfolio!$L111))</f>
        <v>0</v>
      </c>
      <c r="Z96" s="96">
        <f ca="1">SUMPRODUCT((Portfolio!$L109=Z$4)*(Portfolio!$L111))</f>
        <v>0</v>
      </c>
      <c r="AA96" s="97">
        <f ca="1">SUMPRODUCT((Portfolio!$L109=AA$4)*(Portfolio!$L111))</f>
        <v>0</v>
      </c>
      <c r="AB96" s="96">
        <f ca="1">SUMPRODUCT((Portfolio!$L109=AB$4)*(Portfolio!$L111))</f>
        <v>0</v>
      </c>
      <c r="AC96" s="96">
        <f ca="1">SUMPRODUCT((Portfolio!$L109=AC$4)*(Portfolio!$L111))</f>
        <v>0</v>
      </c>
      <c r="AD96" s="96">
        <f ca="1">SUMPRODUCT((Portfolio!$L109=AD$4)*(Portfolio!$L111))</f>
        <v>0</v>
      </c>
      <c r="AE96" s="97">
        <f ca="1">SUMPRODUCT((Portfolio!$L109=AE$4)*(Portfolio!$L111))</f>
        <v>0</v>
      </c>
      <c r="AF96" s="96">
        <f ca="1">SUMPRODUCT((Portfolio!$L109=AF$4)*(Portfolio!$L111))</f>
        <v>0</v>
      </c>
      <c r="AG96" s="96">
        <f ca="1">SUMPRODUCT((Portfolio!$L109=AG$4)*(Portfolio!$L111))</f>
        <v>0</v>
      </c>
      <c r="AH96" s="96">
        <f ca="1">SUMPRODUCT((Portfolio!$L109=AH$4)*(Portfolio!$L111))</f>
        <v>0</v>
      </c>
      <c r="AI96" s="97">
        <f ca="1">SUMPRODUCT((Portfolio!$L109=AI$4)*(Portfolio!$L111))</f>
        <v>0</v>
      </c>
      <c r="AJ96" s="96">
        <f ca="1">SUMPRODUCT((Portfolio!$L109=AJ$4)*(Portfolio!$L111))</f>
        <v>0</v>
      </c>
      <c r="AK96" s="96">
        <f ca="1">SUMPRODUCT((Portfolio!$L109=AK$4)*(Portfolio!$L111))</f>
        <v>0</v>
      </c>
      <c r="AL96" s="96">
        <f ca="1">SUMPRODUCT((Portfolio!$L109=AL$4)*(Portfolio!$L111))</f>
        <v>0</v>
      </c>
      <c r="AM96" s="97">
        <f ca="1">SUMPRODUCT((Portfolio!$L109=AM$4)*(Portfolio!$L111))</f>
        <v>0</v>
      </c>
      <c r="AN96" s="96">
        <f ca="1">SUMPRODUCT((Portfolio!$L109=AN$4)*(Portfolio!$L111))</f>
        <v>0</v>
      </c>
      <c r="AO96" s="96">
        <f ca="1">SUMPRODUCT((Portfolio!$L109=AO$4)*(Portfolio!$L111))</f>
        <v>0</v>
      </c>
      <c r="AP96" s="96">
        <f ca="1">SUMPRODUCT((Portfolio!$L109=AP$4)*(Portfolio!$L111))</f>
        <v>0</v>
      </c>
      <c r="AQ96" s="97">
        <f ca="1">SUMPRODUCT((Portfolio!$L109=AQ$4)*(Portfolio!$L111))</f>
        <v>0</v>
      </c>
      <c r="AR96" s="96">
        <f ca="1">SUMPRODUCT((Portfolio!$L109=AR$4)*(Portfolio!$L111))</f>
        <v>0</v>
      </c>
      <c r="AS96" s="96">
        <f ca="1">SUMPRODUCT((Portfolio!$L109=AS$4)*(Portfolio!$L111))</f>
        <v>0</v>
      </c>
      <c r="AT96" s="96">
        <f ca="1">SUMPRODUCT((Portfolio!$L109=AT$4)*(Portfolio!$L111))</f>
        <v>0</v>
      </c>
      <c r="AU96" s="97">
        <f ca="1">SUMPRODUCT((Portfolio!$L109=AU$4)*(Portfolio!$L111))</f>
        <v>0</v>
      </c>
      <c r="AV96" s="96"/>
      <c r="AW96" s="96"/>
      <c r="AX96" s="96"/>
      <c r="AY96" s="99"/>
    </row>
    <row r="97" spans="1:51" ht="15.75" hidden="1" customHeight="1" outlineLevel="1" x14ac:dyDescent="0.2">
      <c r="A97" s="83"/>
      <c r="B97" s="92">
        <f>IF(Portfolio!C112&lt;&gt;"",Portfolio!C112,"")</f>
        <v>36</v>
      </c>
      <c r="C97" s="93" t="str">
        <f>IF(Portfolio!D112&lt;&gt;"",Portfolio!D112,"")</f>
        <v/>
      </c>
      <c r="D97" s="94">
        <f>SUMPRODUCT((Portfolio!$L112=D$4)*(Portfolio!$L114))</f>
        <v>0</v>
      </c>
      <c r="E97" s="94">
        <f>SUMPRODUCT((Portfolio!$L112=E$4)*(Portfolio!$L114))</f>
        <v>0</v>
      </c>
      <c r="F97" s="96">
        <f>SUMPRODUCT((Portfolio!$L112=F$4)*(Portfolio!$L114))</f>
        <v>0</v>
      </c>
      <c r="G97" s="97">
        <f>SUMPRODUCT((Portfolio!$L112=G$4)*(Portfolio!$L114))</f>
        <v>0</v>
      </c>
      <c r="H97" s="94">
        <f>SUMPRODUCT((Portfolio!$L112=H$4)*(Portfolio!$L114))</f>
        <v>0</v>
      </c>
      <c r="I97" s="94">
        <f>SUMPRODUCT((Portfolio!$L112=I$4)*(Portfolio!$L114))</f>
        <v>0</v>
      </c>
      <c r="J97" s="96">
        <f>SUMPRODUCT((Portfolio!$L112=J$4)*(Portfolio!$L114))</f>
        <v>0</v>
      </c>
      <c r="K97" s="97">
        <f>SUMPRODUCT((Portfolio!$L112=K$4)*(Portfolio!$L114))</f>
        <v>0</v>
      </c>
      <c r="L97" s="96">
        <f>SUMPRODUCT((Portfolio!$L112=L$4)*(Portfolio!$L114))</f>
        <v>0</v>
      </c>
      <c r="M97" s="96">
        <f>SUMPRODUCT((Portfolio!$L112=M$4)*(Portfolio!$L114))</f>
        <v>0</v>
      </c>
      <c r="N97" s="96">
        <f>SUMPRODUCT((Portfolio!$L112=N$4)*(Portfolio!$L114))</f>
        <v>0</v>
      </c>
      <c r="O97" s="97">
        <f>SUMPRODUCT((Portfolio!$L112=O$4)*(Portfolio!$L114))</f>
        <v>0</v>
      </c>
      <c r="P97" s="96">
        <f>SUMPRODUCT((Portfolio!$L112=P$4)*(Portfolio!$L114))</f>
        <v>0</v>
      </c>
      <c r="Q97" s="96">
        <f>SUMPRODUCT((Portfolio!$L112=Q$4)*(Portfolio!$L114))</f>
        <v>0</v>
      </c>
      <c r="R97" s="96">
        <f>SUMPRODUCT((Portfolio!$L112=R$4)*(Portfolio!$L114))</f>
        <v>0</v>
      </c>
      <c r="S97" s="97">
        <f>SUMPRODUCT((Portfolio!$L112=S$4)*(Portfolio!$L114))</f>
        <v>0</v>
      </c>
      <c r="T97" s="96">
        <f>SUMPRODUCT((Portfolio!$L112=T$4)*(Portfolio!$L114))</f>
        <v>0</v>
      </c>
      <c r="U97" s="96">
        <f>SUMPRODUCT((Portfolio!$L112=U$4)*(Portfolio!$L114))</f>
        <v>0</v>
      </c>
      <c r="V97" s="96">
        <f>SUMPRODUCT((Portfolio!$L112=V$4)*(Portfolio!$L114))</f>
        <v>0</v>
      </c>
      <c r="W97" s="97">
        <f>SUMPRODUCT((Portfolio!$L112=W$4)*(Portfolio!$L114))</f>
        <v>0</v>
      </c>
      <c r="X97" s="96">
        <f>SUMPRODUCT((Portfolio!$L112=X$4)*(Portfolio!$L114))</f>
        <v>0</v>
      </c>
      <c r="Y97" s="96">
        <f>SUMPRODUCT((Portfolio!$L112=Y$4)*(Portfolio!$L114))</f>
        <v>0</v>
      </c>
      <c r="Z97" s="96">
        <f>SUMPRODUCT((Portfolio!$L112=Z$4)*(Portfolio!$L114))</f>
        <v>0</v>
      </c>
      <c r="AA97" s="97">
        <f>SUMPRODUCT((Portfolio!$L112=AA$4)*(Portfolio!$L114))</f>
        <v>0</v>
      </c>
      <c r="AB97" s="96">
        <f>SUMPRODUCT((Portfolio!$L112=AB$4)*(Portfolio!$L114))</f>
        <v>0</v>
      </c>
      <c r="AC97" s="96">
        <f>SUMPRODUCT((Portfolio!$L112=AC$4)*(Portfolio!$L114))</f>
        <v>0</v>
      </c>
      <c r="AD97" s="96">
        <f>SUMPRODUCT((Portfolio!$L112=AD$4)*(Portfolio!$L114))</f>
        <v>0</v>
      </c>
      <c r="AE97" s="97">
        <f>SUMPRODUCT((Portfolio!$L112=AE$4)*(Portfolio!$L114))</f>
        <v>0</v>
      </c>
      <c r="AF97" s="96">
        <f>SUMPRODUCT((Portfolio!$L112=AF$4)*(Portfolio!$L114))</f>
        <v>0</v>
      </c>
      <c r="AG97" s="96">
        <f>SUMPRODUCT((Portfolio!$L112=AG$4)*(Portfolio!$L114))</f>
        <v>0</v>
      </c>
      <c r="AH97" s="96">
        <f>SUMPRODUCT((Portfolio!$L112=AH$4)*(Portfolio!$L114))</f>
        <v>0</v>
      </c>
      <c r="AI97" s="97">
        <f>SUMPRODUCT((Portfolio!$L112=AI$4)*(Portfolio!$L114))</f>
        <v>0</v>
      </c>
      <c r="AJ97" s="96">
        <f>SUMPRODUCT((Portfolio!$L112=AJ$4)*(Portfolio!$L114))</f>
        <v>0</v>
      </c>
      <c r="AK97" s="96">
        <f>SUMPRODUCT((Portfolio!$L112=AK$4)*(Portfolio!$L114))</f>
        <v>0</v>
      </c>
      <c r="AL97" s="96">
        <f>SUMPRODUCT((Portfolio!$L112=AL$4)*(Portfolio!$L114))</f>
        <v>0</v>
      </c>
      <c r="AM97" s="97">
        <f>SUMPRODUCT((Portfolio!$L112=AM$4)*(Portfolio!$L114))</f>
        <v>0</v>
      </c>
      <c r="AN97" s="96">
        <f>SUMPRODUCT((Portfolio!$L112=AN$4)*(Portfolio!$L114))</f>
        <v>0</v>
      </c>
      <c r="AO97" s="96">
        <f>SUMPRODUCT((Portfolio!$L112=AO$4)*(Portfolio!$L114))</f>
        <v>0</v>
      </c>
      <c r="AP97" s="96">
        <f>SUMPRODUCT((Portfolio!$L112=AP$4)*(Portfolio!$L114))</f>
        <v>0</v>
      </c>
      <c r="AQ97" s="97">
        <f>SUMPRODUCT((Portfolio!$L112=AQ$4)*(Portfolio!$L114))</f>
        <v>0</v>
      </c>
      <c r="AR97" s="96">
        <f>SUMPRODUCT((Portfolio!$L112=AR$4)*(Portfolio!$L114))</f>
        <v>0</v>
      </c>
      <c r="AS97" s="96">
        <f>SUMPRODUCT((Portfolio!$L112=AS$4)*(Portfolio!$L114))</f>
        <v>0</v>
      </c>
      <c r="AT97" s="96">
        <f>SUMPRODUCT((Portfolio!$L112=AT$4)*(Portfolio!$L114))</f>
        <v>0</v>
      </c>
      <c r="AU97" s="97">
        <f>SUMPRODUCT((Portfolio!$L112=AU$4)*(Portfolio!$L114))</f>
        <v>0</v>
      </c>
      <c r="AV97" s="96"/>
      <c r="AW97" s="96"/>
      <c r="AX97" s="96"/>
      <c r="AY97" s="99"/>
    </row>
    <row r="98" spans="1:51" ht="15.75" hidden="1" customHeight="1" outlineLevel="1" x14ac:dyDescent="0.2">
      <c r="A98" s="83"/>
      <c r="B98" s="92">
        <f>IF(Portfolio!C115&lt;&gt;"",Portfolio!C115,"")</f>
        <v>37</v>
      </c>
      <c r="C98" s="93" t="str">
        <f>IF(Portfolio!D115&lt;&gt;"",Portfolio!D115,"")</f>
        <v/>
      </c>
      <c r="D98" s="94">
        <f>SUMPRODUCT((Portfolio!$L115=D$4)*(Portfolio!$L117))</f>
        <v>0</v>
      </c>
      <c r="E98" s="94">
        <f>SUMPRODUCT((Portfolio!$L115=E$4)*(Portfolio!$L117))</f>
        <v>0</v>
      </c>
      <c r="F98" s="96">
        <f>SUMPRODUCT((Portfolio!$L115=F$4)*(Portfolio!$L117))</f>
        <v>0</v>
      </c>
      <c r="G98" s="97">
        <f>SUMPRODUCT((Portfolio!$L115=G$4)*(Portfolio!$L117))</f>
        <v>0</v>
      </c>
      <c r="H98" s="94">
        <f>SUMPRODUCT((Portfolio!$L115=H$4)*(Portfolio!$L117))</f>
        <v>0</v>
      </c>
      <c r="I98" s="94">
        <f>SUMPRODUCT((Portfolio!$L115=I$4)*(Portfolio!$L117))</f>
        <v>0</v>
      </c>
      <c r="J98" s="96">
        <f>SUMPRODUCT((Portfolio!$L115=J$4)*(Portfolio!$L117))</f>
        <v>0</v>
      </c>
      <c r="K98" s="97">
        <f>SUMPRODUCT((Portfolio!$L115=K$4)*(Portfolio!$L117))</f>
        <v>0</v>
      </c>
      <c r="L98" s="96">
        <f>SUMPRODUCT((Portfolio!$L115=L$4)*(Portfolio!$L117))</f>
        <v>0</v>
      </c>
      <c r="M98" s="96">
        <f>SUMPRODUCT((Portfolio!$L115=M$4)*(Portfolio!$L117))</f>
        <v>0</v>
      </c>
      <c r="N98" s="96">
        <f>SUMPRODUCT((Portfolio!$L115=N$4)*(Portfolio!$L117))</f>
        <v>0</v>
      </c>
      <c r="O98" s="97">
        <f>SUMPRODUCT((Portfolio!$L115=O$4)*(Portfolio!$L117))</f>
        <v>0</v>
      </c>
      <c r="P98" s="96">
        <f>SUMPRODUCT((Portfolio!$L115=P$4)*(Portfolio!$L117))</f>
        <v>0</v>
      </c>
      <c r="Q98" s="96">
        <f>SUMPRODUCT((Portfolio!$L115=Q$4)*(Portfolio!$L117))</f>
        <v>0</v>
      </c>
      <c r="R98" s="96">
        <f>SUMPRODUCT((Portfolio!$L115=R$4)*(Portfolio!$L117))</f>
        <v>0</v>
      </c>
      <c r="S98" s="97">
        <f>SUMPRODUCT((Portfolio!$L115=S$4)*(Portfolio!$L117))</f>
        <v>0</v>
      </c>
      <c r="T98" s="96">
        <f>SUMPRODUCT((Portfolio!$L115=T$4)*(Portfolio!$L117))</f>
        <v>0</v>
      </c>
      <c r="U98" s="96">
        <f>SUMPRODUCT((Portfolio!$L115=U$4)*(Portfolio!$L117))</f>
        <v>0</v>
      </c>
      <c r="V98" s="96">
        <f>SUMPRODUCT((Portfolio!$L115=V$4)*(Portfolio!$L117))</f>
        <v>0</v>
      </c>
      <c r="W98" s="97">
        <f>SUMPRODUCT((Portfolio!$L115=W$4)*(Portfolio!$L117))</f>
        <v>0</v>
      </c>
      <c r="X98" s="96">
        <f>SUMPRODUCT((Portfolio!$L115=X$4)*(Portfolio!$L117))</f>
        <v>0</v>
      </c>
      <c r="Y98" s="96">
        <f>SUMPRODUCT((Portfolio!$L115=Y$4)*(Portfolio!$L117))</f>
        <v>0</v>
      </c>
      <c r="Z98" s="96">
        <f>SUMPRODUCT((Portfolio!$L115=Z$4)*(Portfolio!$L117))</f>
        <v>0</v>
      </c>
      <c r="AA98" s="97">
        <f>SUMPRODUCT((Portfolio!$L115=AA$4)*(Portfolio!$L117))</f>
        <v>0</v>
      </c>
      <c r="AB98" s="96">
        <f>SUMPRODUCT((Portfolio!$L115=AB$4)*(Portfolio!$L117))</f>
        <v>0</v>
      </c>
      <c r="AC98" s="96">
        <f>SUMPRODUCT((Portfolio!$L115=AC$4)*(Portfolio!$L117))</f>
        <v>0</v>
      </c>
      <c r="AD98" s="96">
        <f>SUMPRODUCT((Portfolio!$L115=AD$4)*(Portfolio!$L117))</f>
        <v>0</v>
      </c>
      <c r="AE98" s="97">
        <f>SUMPRODUCT((Portfolio!$L115=AE$4)*(Portfolio!$L117))</f>
        <v>0</v>
      </c>
      <c r="AF98" s="96">
        <f>SUMPRODUCT((Portfolio!$L115=AF$4)*(Portfolio!$L117))</f>
        <v>0</v>
      </c>
      <c r="AG98" s="96">
        <f>SUMPRODUCT((Portfolio!$L115=AG$4)*(Portfolio!$L117))</f>
        <v>0</v>
      </c>
      <c r="AH98" s="96">
        <f>SUMPRODUCT((Portfolio!$L115=AH$4)*(Portfolio!$L117))</f>
        <v>0</v>
      </c>
      <c r="AI98" s="97">
        <f>SUMPRODUCT((Portfolio!$L115=AI$4)*(Portfolio!$L117))</f>
        <v>0</v>
      </c>
      <c r="AJ98" s="96">
        <f>SUMPRODUCT((Portfolio!$L115=AJ$4)*(Portfolio!$L117))</f>
        <v>0</v>
      </c>
      <c r="AK98" s="96">
        <f>SUMPRODUCT((Portfolio!$L115=AK$4)*(Portfolio!$L117))</f>
        <v>0</v>
      </c>
      <c r="AL98" s="96">
        <f>SUMPRODUCT((Portfolio!$L115=AL$4)*(Portfolio!$L117))</f>
        <v>0</v>
      </c>
      <c r="AM98" s="97">
        <f>SUMPRODUCT((Portfolio!$L115=AM$4)*(Portfolio!$L117))</f>
        <v>0</v>
      </c>
      <c r="AN98" s="96">
        <f>SUMPRODUCT((Portfolio!$L115=AN$4)*(Portfolio!$L117))</f>
        <v>0</v>
      </c>
      <c r="AO98" s="96">
        <f>SUMPRODUCT((Portfolio!$L115=AO$4)*(Portfolio!$L117))</f>
        <v>0</v>
      </c>
      <c r="AP98" s="96">
        <f>SUMPRODUCT((Portfolio!$L115=AP$4)*(Portfolio!$L117))</f>
        <v>0</v>
      </c>
      <c r="AQ98" s="97">
        <f>SUMPRODUCT((Portfolio!$L115=AQ$4)*(Portfolio!$L117))</f>
        <v>0</v>
      </c>
      <c r="AR98" s="96">
        <f>SUMPRODUCT((Portfolio!$L115=AR$4)*(Portfolio!$L117))</f>
        <v>0</v>
      </c>
      <c r="AS98" s="96">
        <f>SUMPRODUCT((Portfolio!$L115=AS$4)*(Portfolio!$L117))</f>
        <v>0</v>
      </c>
      <c r="AT98" s="96">
        <f>SUMPRODUCT((Portfolio!$L115=AT$4)*(Portfolio!$L117))</f>
        <v>0</v>
      </c>
      <c r="AU98" s="97">
        <f>SUMPRODUCT((Portfolio!$L115=AU$4)*(Portfolio!$L117))</f>
        <v>0</v>
      </c>
      <c r="AV98" s="96"/>
      <c r="AW98" s="96"/>
      <c r="AX98" s="96"/>
      <c r="AY98" s="99"/>
    </row>
    <row r="99" spans="1:51" ht="15.75" hidden="1" customHeight="1" outlineLevel="1" x14ac:dyDescent="0.2">
      <c r="A99" s="83"/>
      <c r="B99" s="92">
        <f>IF(Portfolio!C118&lt;&gt;"",Portfolio!C118,"")</f>
        <v>38</v>
      </c>
      <c r="C99" s="93" t="str">
        <f>IF(Portfolio!D118&lt;&gt;"",Portfolio!D118,"")</f>
        <v/>
      </c>
      <c r="D99" s="94">
        <f>SUMPRODUCT((Portfolio!$L118=D$4)*(Portfolio!$L120))</f>
        <v>0</v>
      </c>
      <c r="E99" s="94">
        <f>SUMPRODUCT((Portfolio!$L118=E$4)*(Portfolio!$L120))</f>
        <v>0</v>
      </c>
      <c r="F99" s="96">
        <f>SUMPRODUCT((Portfolio!$L118=F$4)*(Portfolio!$L120))</f>
        <v>0</v>
      </c>
      <c r="G99" s="97">
        <f>SUMPRODUCT((Portfolio!$L118=G$4)*(Portfolio!$L120))</f>
        <v>0</v>
      </c>
      <c r="H99" s="94">
        <f>SUMPRODUCT((Portfolio!$L118=H$4)*(Portfolio!$L120))</f>
        <v>0</v>
      </c>
      <c r="I99" s="94">
        <f>SUMPRODUCT((Portfolio!$L118=I$4)*(Portfolio!$L120))</f>
        <v>0</v>
      </c>
      <c r="J99" s="96">
        <f>SUMPRODUCT((Portfolio!$L118=J$4)*(Portfolio!$L120))</f>
        <v>0</v>
      </c>
      <c r="K99" s="97">
        <f>SUMPRODUCT((Portfolio!$L118=K$4)*(Portfolio!$L120))</f>
        <v>0</v>
      </c>
      <c r="L99" s="96">
        <f>SUMPRODUCT((Portfolio!$L118=L$4)*(Portfolio!$L120))</f>
        <v>0</v>
      </c>
      <c r="M99" s="96">
        <f>SUMPRODUCT((Portfolio!$L118=M$4)*(Portfolio!$L120))</f>
        <v>0</v>
      </c>
      <c r="N99" s="96">
        <f>SUMPRODUCT((Portfolio!$L118=N$4)*(Portfolio!$L120))</f>
        <v>0</v>
      </c>
      <c r="O99" s="97">
        <f>SUMPRODUCT((Portfolio!$L118=O$4)*(Portfolio!$L120))</f>
        <v>0</v>
      </c>
      <c r="P99" s="96">
        <f>SUMPRODUCT((Portfolio!$L118=P$4)*(Portfolio!$L120))</f>
        <v>0</v>
      </c>
      <c r="Q99" s="96">
        <f>SUMPRODUCT((Portfolio!$L118=Q$4)*(Portfolio!$L120))</f>
        <v>0</v>
      </c>
      <c r="R99" s="96">
        <f>SUMPRODUCT((Portfolio!$L118=R$4)*(Portfolio!$L120))</f>
        <v>0</v>
      </c>
      <c r="S99" s="97">
        <f>SUMPRODUCT((Portfolio!$L118=S$4)*(Portfolio!$L120))</f>
        <v>0</v>
      </c>
      <c r="T99" s="96">
        <f>SUMPRODUCT((Portfolio!$L118=T$4)*(Portfolio!$L120))</f>
        <v>0</v>
      </c>
      <c r="U99" s="96">
        <f>SUMPRODUCT((Portfolio!$L118=U$4)*(Portfolio!$L120))</f>
        <v>0</v>
      </c>
      <c r="V99" s="96">
        <f>SUMPRODUCT((Portfolio!$L118=V$4)*(Portfolio!$L120))</f>
        <v>0</v>
      </c>
      <c r="W99" s="97">
        <f>SUMPRODUCT((Portfolio!$L118=W$4)*(Portfolio!$L120))</f>
        <v>0</v>
      </c>
      <c r="X99" s="96">
        <f>SUMPRODUCT((Portfolio!$L118=X$4)*(Portfolio!$L120))</f>
        <v>0</v>
      </c>
      <c r="Y99" s="96">
        <f>SUMPRODUCT((Portfolio!$L118=Y$4)*(Portfolio!$L120))</f>
        <v>0</v>
      </c>
      <c r="Z99" s="96">
        <f>SUMPRODUCT((Portfolio!$L118=Z$4)*(Portfolio!$L120))</f>
        <v>0</v>
      </c>
      <c r="AA99" s="97">
        <f>SUMPRODUCT((Portfolio!$L118=AA$4)*(Portfolio!$L120))</f>
        <v>0</v>
      </c>
      <c r="AB99" s="96">
        <f>SUMPRODUCT((Portfolio!$L118=AB$4)*(Portfolio!$L120))</f>
        <v>0</v>
      </c>
      <c r="AC99" s="96">
        <f>SUMPRODUCT((Portfolio!$L118=AC$4)*(Portfolio!$L120))</f>
        <v>0</v>
      </c>
      <c r="AD99" s="96">
        <f>SUMPRODUCT((Portfolio!$L118=AD$4)*(Portfolio!$L120))</f>
        <v>0</v>
      </c>
      <c r="AE99" s="97">
        <f>SUMPRODUCT((Portfolio!$L118=AE$4)*(Portfolio!$L120))</f>
        <v>0</v>
      </c>
      <c r="AF99" s="96">
        <f>SUMPRODUCT((Portfolio!$L118=AF$4)*(Portfolio!$L120))</f>
        <v>0</v>
      </c>
      <c r="AG99" s="96">
        <f>SUMPRODUCT((Portfolio!$L118=AG$4)*(Portfolio!$L120))</f>
        <v>0</v>
      </c>
      <c r="AH99" s="96">
        <f>SUMPRODUCT((Portfolio!$L118=AH$4)*(Portfolio!$L120))</f>
        <v>0</v>
      </c>
      <c r="AI99" s="97">
        <f>SUMPRODUCT((Portfolio!$L118=AI$4)*(Portfolio!$L120))</f>
        <v>0</v>
      </c>
      <c r="AJ99" s="96">
        <f>SUMPRODUCT((Portfolio!$L118=AJ$4)*(Portfolio!$L120))</f>
        <v>0</v>
      </c>
      <c r="AK99" s="96">
        <f>SUMPRODUCT((Portfolio!$L118=AK$4)*(Portfolio!$L120))</f>
        <v>0</v>
      </c>
      <c r="AL99" s="96">
        <f>SUMPRODUCT((Portfolio!$L118=AL$4)*(Portfolio!$L120))</f>
        <v>0</v>
      </c>
      <c r="AM99" s="97">
        <f>SUMPRODUCT((Portfolio!$L118=AM$4)*(Portfolio!$L120))</f>
        <v>0</v>
      </c>
      <c r="AN99" s="96">
        <f>SUMPRODUCT((Portfolio!$L118=AN$4)*(Portfolio!$L120))</f>
        <v>0</v>
      </c>
      <c r="AO99" s="96">
        <f>SUMPRODUCT((Portfolio!$L118=AO$4)*(Portfolio!$L120))</f>
        <v>0</v>
      </c>
      <c r="AP99" s="96">
        <f>SUMPRODUCT((Portfolio!$L118=AP$4)*(Portfolio!$L120))</f>
        <v>0</v>
      </c>
      <c r="AQ99" s="97">
        <f>SUMPRODUCT((Portfolio!$L118=AQ$4)*(Portfolio!$L120))</f>
        <v>0</v>
      </c>
      <c r="AR99" s="96">
        <f>SUMPRODUCT((Portfolio!$L118=AR$4)*(Portfolio!$L120))</f>
        <v>0</v>
      </c>
      <c r="AS99" s="96">
        <f>SUMPRODUCT((Portfolio!$L118=AS$4)*(Portfolio!$L120))</f>
        <v>0</v>
      </c>
      <c r="AT99" s="96">
        <f>SUMPRODUCT((Portfolio!$L118=AT$4)*(Portfolio!$L120))</f>
        <v>0</v>
      </c>
      <c r="AU99" s="97">
        <f>SUMPRODUCT((Portfolio!$L118=AU$4)*(Portfolio!$L120))</f>
        <v>0</v>
      </c>
      <c r="AV99" s="96"/>
      <c r="AW99" s="96"/>
      <c r="AX99" s="96"/>
      <c r="AY99" s="99"/>
    </row>
    <row r="100" spans="1:51" ht="15.75" hidden="1" customHeight="1" outlineLevel="1" x14ac:dyDescent="0.2">
      <c r="A100" s="83"/>
      <c r="B100" s="92">
        <f>IF(Portfolio!C121&lt;&gt;"",Portfolio!C121,"")</f>
        <v>39</v>
      </c>
      <c r="C100" s="93" t="str">
        <f>IF(Portfolio!D121&lt;&gt;"",Portfolio!D121,"")</f>
        <v/>
      </c>
      <c r="D100" s="94">
        <f>SUMPRODUCT((Portfolio!$L121=D$4)*(Portfolio!$L123))</f>
        <v>0</v>
      </c>
      <c r="E100" s="94">
        <f>SUMPRODUCT((Portfolio!$L121=E$4)*(Portfolio!$L123))</f>
        <v>0</v>
      </c>
      <c r="F100" s="96">
        <f>SUMPRODUCT((Portfolio!$L121=F$4)*(Portfolio!$L123))</f>
        <v>0</v>
      </c>
      <c r="G100" s="97">
        <f>SUMPRODUCT((Portfolio!$L121=G$4)*(Portfolio!$L123))</f>
        <v>0</v>
      </c>
      <c r="H100" s="94">
        <f>SUMPRODUCT((Portfolio!$L121=H$4)*(Portfolio!$L123))</f>
        <v>0</v>
      </c>
      <c r="I100" s="94">
        <f>SUMPRODUCT((Portfolio!$L121=I$4)*(Portfolio!$L123))</f>
        <v>0</v>
      </c>
      <c r="J100" s="96">
        <f>SUMPRODUCT((Portfolio!$L121=J$4)*(Portfolio!$L123))</f>
        <v>0</v>
      </c>
      <c r="K100" s="97">
        <f>SUMPRODUCT((Portfolio!$L121=K$4)*(Portfolio!$L123))</f>
        <v>0</v>
      </c>
      <c r="L100" s="96">
        <f>SUMPRODUCT((Portfolio!$L121=L$4)*(Portfolio!$L123))</f>
        <v>0</v>
      </c>
      <c r="M100" s="96">
        <f>SUMPRODUCT((Portfolio!$L121=M$4)*(Portfolio!$L123))</f>
        <v>0</v>
      </c>
      <c r="N100" s="96">
        <f>SUMPRODUCT((Portfolio!$L121=N$4)*(Portfolio!$L123))</f>
        <v>0</v>
      </c>
      <c r="O100" s="97">
        <f>SUMPRODUCT((Portfolio!$L121=O$4)*(Portfolio!$L123))</f>
        <v>0</v>
      </c>
      <c r="P100" s="96">
        <f>SUMPRODUCT((Portfolio!$L121=P$4)*(Portfolio!$L123))</f>
        <v>0</v>
      </c>
      <c r="Q100" s="96">
        <f>SUMPRODUCT((Portfolio!$L121=Q$4)*(Portfolio!$L123))</f>
        <v>0</v>
      </c>
      <c r="R100" s="96">
        <f>SUMPRODUCT((Portfolio!$L121=R$4)*(Portfolio!$L123))</f>
        <v>0</v>
      </c>
      <c r="S100" s="97">
        <f>SUMPRODUCT((Portfolio!$L121=S$4)*(Portfolio!$L123))</f>
        <v>0</v>
      </c>
      <c r="T100" s="96">
        <f>SUMPRODUCT((Portfolio!$L121=T$4)*(Portfolio!$L123))</f>
        <v>0</v>
      </c>
      <c r="U100" s="96">
        <f>SUMPRODUCT((Portfolio!$L121=U$4)*(Portfolio!$L123))</f>
        <v>0</v>
      </c>
      <c r="V100" s="96">
        <f>SUMPRODUCT((Portfolio!$L121=V$4)*(Portfolio!$L123))</f>
        <v>0</v>
      </c>
      <c r="W100" s="97">
        <f>SUMPRODUCT((Portfolio!$L121=W$4)*(Portfolio!$L123))</f>
        <v>0</v>
      </c>
      <c r="X100" s="96">
        <f>SUMPRODUCT((Portfolio!$L121=X$4)*(Portfolio!$L123))</f>
        <v>0</v>
      </c>
      <c r="Y100" s="96">
        <f>SUMPRODUCT((Portfolio!$L121=Y$4)*(Portfolio!$L123))</f>
        <v>0</v>
      </c>
      <c r="Z100" s="96">
        <f>SUMPRODUCT((Portfolio!$L121=Z$4)*(Portfolio!$L123))</f>
        <v>0</v>
      </c>
      <c r="AA100" s="97">
        <f>SUMPRODUCT((Portfolio!$L121=AA$4)*(Portfolio!$L123))</f>
        <v>0</v>
      </c>
      <c r="AB100" s="96">
        <f>SUMPRODUCT((Portfolio!$L121=AB$4)*(Portfolio!$L123))</f>
        <v>0</v>
      </c>
      <c r="AC100" s="96">
        <f>SUMPRODUCT((Portfolio!$L121=AC$4)*(Portfolio!$L123))</f>
        <v>0</v>
      </c>
      <c r="AD100" s="96">
        <f>SUMPRODUCT((Portfolio!$L121=AD$4)*(Portfolio!$L123))</f>
        <v>0</v>
      </c>
      <c r="AE100" s="97">
        <f>SUMPRODUCT((Portfolio!$L121=AE$4)*(Portfolio!$L123))</f>
        <v>0</v>
      </c>
      <c r="AF100" s="96">
        <f>SUMPRODUCT((Portfolio!$L121=AF$4)*(Portfolio!$L123))</f>
        <v>0</v>
      </c>
      <c r="AG100" s="96">
        <f>SUMPRODUCT((Portfolio!$L121=AG$4)*(Portfolio!$L123))</f>
        <v>0</v>
      </c>
      <c r="AH100" s="96">
        <f>SUMPRODUCT((Portfolio!$L121=AH$4)*(Portfolio!$L123))</f>
        <v>0</v>
      </c>
      <c r="AI100" s="97">
        <f>SUMPRODUCT((Portfolio!$L121=AI$4)*(Portfolio!$L123))</f>
        <v>0</v>
      </c>
      <c r="AJ100" s="96">
        <f>SUMPRODUCT((Portfolio!$L121=AJ$4)*(Portfolio!$L123))</f>
        <v>0</v>
      </c>
      <c r="AK100" s="96">
        <f>SUMPRODUCT((Portfolio!$L121=AK$4)*(Portfolio!$L123))</f>
        <v>0</v>
      </c>
      <c r="AL100" s="96">
        <f>SUMPRODUCT((Portfolio!$L121=AL$4)*(Portfolio!$L123))</f>
        <v>0</v>
      </c>
      <c r="AM100" s="97">
        <f>SUMPRODUCT((Portfolio!$L121=AM$4)*(Portfolio!$L123))</f>
        <v>0</v>
      </c>
      <c r="AN100" s="96">
        <f>SUMPRODUCT((Portfolio!$L121=AN$4)*(Portfolio!$L123))</f>
        <v>0</v>
      </c>
      <c r="AO100" s="96">
        <f>SUMPRODUCT((Portfolio!$L121=AO$4)*(Portfolio!$L123))</f>
        <v>0</v>
      </c>
      <c r="AP100" s="96">
        <f>SUMPRODUCT((Portfolio!$L121=AP$4)*(Portfolio!$L123))</f>
        <v>0</v>
      </c>
      <c r="AQ100" s="97">
        <f>SUMPRODUCT((Portfolio!$L121=AQ$4)*(Portfolio!$L123))</f>
        <v>0</v>
      </c>
      <c r="AR100" s="96">
        <f>SUMPRODUCT((Portfolio!$L121=AR$4)*(Portfolio!$L123))</f>
        <v>0</v>
      </c>
      <c r="AS100" s="96">
        <f>SUMPRODUCT((Portfolio!$L121=AS$4)*(Portfolio!$L123))</f>
        <v>0</v>
      </c>
      <c r="AT100" s="96">
        <f>SUMPRODUCT((Portfolio!$L121=AT$4)*(Portfolio!$L123))</f>
        <v>0</v>
      </c>
      <c r="AU100" s="97">
        <f>SUMPRODUCT((Portfolio!$L121=AU$4)*(Portfolio!$L123))</f>
        <v>0</v>
      </c>
      <c r="AV100" s="96"/>
      <c r="AW100" s="96"/>
      <c r="AX100" s="96"/>
      <c r="AY100" s="99"/>
    </row>
    <row r="101" spans="1:51" ht="15.75" hidden="1" customHeight="1" outlineLevel="1" x14ac:dyDescent="0.2">
      <c r="A101" s="83"/>
      <c r="B101" s="92">
        <f>IF(Portfolio!C124&lt;&gt;"",Portfolio!C124,"")</f>
        <v>40</v>
      </c>
      <c r="C101" s="93" t="str">
        <f>IF(Portfolio!D124&lt;&gt;"",Portfolio!D124,"")</f>
        <v/>
      </c>
      <c r="D101" s="94">
        <f>SUMPRODUCT((Portfolio!$L124=D$4)*(Portfolio!$L126))</f>
        <v>0</v>
      </c>
      <c r="E101" s="94">
        <f>SUMPRODUCT((Portfolio!$L124=E$4)*(Portfolio!$L126))</f>
        <v>0</v>
      </c>
      <c r="F101" s="96">
        <f>SUMPRODUCT((Portfolio!$L124=F$4)*(Portfolio!$L126))</f>
        <v>0</v>
      </c>
      <c r="G101" s="97">
        <f>SUMPRODUCT((Portfolio!$L124=G$4)*(Portfolio!$L126))</f>
        <v>0</v>
      </c>
      <c r="H101" s="94">
        <f>SUMPRODUCT((Portfolio!$L124=H$4)*(Portfolio!$L126))</f>
        <v>0</v>
      </c>
      <c r="I101" s="94">
        <f>SUMPRODUCT((Portfolio!$L124=I$4)*(Portfolio!$L126))</f>
        <v>0</v>
      </c>
      <c r="J101" s="96">
        <f>SUMPRODUCT((Portfolio!$L124=J$4)*(Portfolio!$L126))</f>
        <v>0</v>
      </c>
      <c r="K101" s="97">
        <f>SUMPRODUCT((Portfolio!$L124=K$4)*(Portfolio!$L126))</f>
        <v>0</v>
      </c>
      <c r="L101" s="96">
        <f>SUMPRODUCT((Portfolio!$L124=L$4)*(Portfolio!$L126))</f>
        <v>0</v>
      </c>
      <c r="M101" s="96">
        <f>SUMPRODUCT((Portfolio!$L124=M$4)*(Portfolio!$L126))</f>
        <v>0</v>
      </c>
      <c r="N101" s="96">
        <f>SUMPRODUCT((Portfolio!$L124=N$4)*(Portfolio!$L126))</f>
        <v>0</v>
      </c>
      <c r="O101" s="97">
        <f>SUMPRODUCT((Portfolio!$L124=O$4)*(Portfolio!$L126))</f>
        <v>0</v>
      </c>
      <c r="P101" s="96">
        <f>SUMPRODUCT((Portfolio!$L124=P$4)*(Portfolio!$L126))</f>
        <v>0</v>
      </c>
      <c r="Q101" s="96">
        <f>SUMPRODUCT((Portfolio!$L124=Q$4)*(Portfolio!$L126))</f>
        <v>0</v>
      </c>
      <c r="R101" s="96">
        <f>SUMPRODUCT((Portfolio!$L124=R$4)*(Portfolio!$L126))</f>
        <v>0</v>
      </c>
      <c r="S101" s="97">
        <f>SUMPRODUCT((Portfolio!$L124=S$4)*(Portfolio!$L126))</f>
        <v>0</v>
      </c>
      <c r="T101" s="96">
        <f>SUMPRODUCT((Portfolio!$L124=T$4)*(Portfolio!$L126))</f>
        <v>0</v>
      </c>
      <c r="U101" s="96">
        <f>SUMPRODUCT((Portfolio!$L124=U$4)*(Portfolio!$L126))</f>
        <v>0</v>
      </c>
      <c r="V101" s="96">
        <f>SUMPRODUCT((Portfolio!$L124=V$4)*(Portfolio!$L126))</f>
        <v>0</v>
      </c>
      <c r="W101" s="97">
        <f>SUMPRODUCT((Portfolio!$L124=W$4)*(Portfolio!$L126))</f>
        <v>0</v>
      </c>
      <c r="X101" s="96">
        <f>SUMPRODUCT((Portfolio!$L124=X$4)*(Portfolio!$L126))</f>
        <v>0</v>
      </c>
      <c r="Y101" s="96">
        <f>SUMPRODUCT((Portfolio!$L124=Y$4)*(Portfolio!$L126))</f>
        <v>0</v>
      </c>
      <c r="Z101" s="96">
        <f>SUMPRODUCT((Portfolio!$L124=Z$4)*(Portfolio!$L126))</f>
        <v>0</v>
      </c>
      <c r="AA101" s="97">
        <f>SUMPRODUCT((Portfolio!$L124=AA$4)*(Portfolio!$L126))</f>
        <v>0</v>
      </c>
      <c r="AB101" s="96">
        <f>SUMPRODUCT((Portfolio!$L124=AB$4)*(Portfolio!$L126))</f>
        <v>0</v>
      </c>
      <c r="AC101" s="96">
        <f>SUMPRODUCT((Portfolio!$L124=AC$4)*(Portfolio!$L126))</f>
        <v>0</v>
      </c>
      <c r="AD101" s="96">
        <f>SUMPRODUCT((Portfolio!$L124=AD$4)*(Portfolio!$L126))</f>
        <v>0</v>
      </c>
      <c r="AE101" s="97">
        <f>SUMPRODUCT((Portfolio!$L124=AE$4)*(Portfolio!$L126))</f>
        <v>0</v>
      </c>
      <c r="AF101" s="96">
        <f>SUMPRODUCT((Portfolio!$L124=AF$4)*(Portfolio!$L126))</f>
        <v>0</v>
      </c>
      <c r="AG101" s="96">
        <f>SUMPRODUCT((Portfolio!$L124=AG$4)*(Portfolio!$L126))</f>
        <v>0</v>
      </c>
      <c r="AH101" s="96">
        <f>SUMPRODUCT((Portfolio!$L124=AH$4)*(Portfolio!$L126))</f>
        <v>0</v>
      </c>
      <c r="AI101" s="97">
        <f>SUMPRODUCT((Portfolio!$L124=AI$4)*(Portfolio!$L126))</f>
        <v>0</v>
      </c>
      <c r="AJ101" s="96">
        <f>SUMPRODUCT((Portfolio!$L124=AJ$4)*(Portfolio!$L126))</f>
        <v>0</v>
      </c>
      <c r="AK101" s="96">
        <f>SUMPRODUCT((Portfolio!$L124=AK$4)*(Portfolio!$L126))</f>
        <v>0</v>
      </c>
      <c r="AL101" s="96">
        <f>SUMPRODUCT((Portfolio!$L124=AL$4)*(Portfolio!$L126))</f>
        <v>0</v>
      </c>
      <c r="AM101" s="97">
        <f>SUMPRODUCT((Portfolio!$L124=AM$4)*(Portfolio!$L126))</f>
        <v>0</v>
      </c>
      <c r="AN101" s="96">
        <f>SUMPRODUCT((Portfolio!$L124=AN$4)*(Portfolio!$L126))</f>
        <v>0</v>
      </c>
      <c r="AO101" s="96">
        <f>SUMPRODUCT((Portfolio!$L124=AO$4)*(Portfolio!$L126))</f>
        <v>0</v>
      </c>
      <c r="AP101" s="96">
        <f>SUMPRODUCT((Portfolio!$L124=AP$4)*(Portfolio!$L126))</f>
        <v>0</v>
      </c>
      <c r="AQ101" s="97">
        <f>SUMPRODUCT((Portfolio!$L124=AQ$4)*(Portfolio!$L126))</f>
        <v>0</v>
      </c>
      <c r="AR101" s="96">
        <f>SUMPRODUCT((Portfolio!$L124=AR$4)*(Portfolio!$L126))</f>
        <v>0</v>
      </c>
      <c r="AS101" s="96">
        <f>SUMPRODUCT((Portfolio!$L124=AS$4)*(Portfolio!$L126))</f>
        <v>0</v>
      </c>
      <c r="AT101" s="96">
        <f>SUMPRODUCT((Portfolio!$L124=AT$4)*(Portfolio!$L126))</f>
        <v>0</v>
      </c>
      <c r="AU101" s="97">
        <f>SUMPRODUCT((Portfolio!$L124=AU$4)*(Portfolio!$L126))</f>
        <v>0</v>
      </c>
      <c r="AV101" s="96"/>
      <c r="AW101" s="96"/>
      <c r="AX101" s="96"/>
      <c r="AY101" s="99"/>
    </row>
    <row r="102" spans="1:51" ht="15.75" hidden="1" customHeight="1" outlineLevel="1" x14ac:dyDescent="0.2">
      <c r="A102" s="83"/>
      <c r="B102" s="92">
        <f>IF(Portfolio!C127&lt;&gt;"",Portfolio!C127,"")</f>
        <v>41</v>
      </c>
      <c r="C102" s="93" t="str">
        <f>IF(Portfolio!D127&lt;&gt;"",Portfolio!D127,"")</f>
        <v/>
      </c>
      <c r="D102" s="94">
        <f>SUMPRODUCT((Portfolio!$L127=D$4)*(Portfolio!$L129))</f>
        <v>0</v>
      </c>
      <c r="E102" s="94">
        <f>SUMPRODUCT((Portfolio!$L127=E$4)*(Portfolio!$L129))</f>
        <v>0</v>
      </c>
      <c r="F102" s="96">
        <f>SUMPRODUCT((Portfolio!$L127=F$4)*(Portfolio!$L129))</f>
        <v>0</v>
      </c>
      <c r="G102" s="97">
        <f>SUMPRODUCT((Portfolio!$L127=G$4)*(Portfolio!$L129))</f>
        <v>0</v>
      </c>
      <c r="H102" s="94">
        <f>SUMPRODUCT((Portfolio!$L127=H$4)*(Portfolio!$L129))</f>
        <v>0</v>
      </c>
      <c r="I102" s="94">
        <f>SUMPRODUCT((Portfolio!$L127=I$4)*(Portfolio!$L129))</f>
        <v>0</v>
      </c>
      <c r="J102" s="96">
        <f>SUMPRODUCT((Portfolio!$L127=J$4)*(Portfolio!$L129))</f>
        <v>0</v>
      </c>
      <c r="K102" s="97">
        <f>SUMPRODUCT((Portfolio!$L127=K$4)*(Portfolio!$L129))</f>
        <v>0</v>
      </c>
      <c r="L102" s="96">
        <f>SUMPRODUCT((Portfolio!$L127=L$4)*(Portfolio!$L129))</f>
        <v>0</v>
      </c>
      <c r="M102" s="96">
        <f>SUMPRODUCT((Portfolio!$L127=M$4)*(Portfolio!$L129))</f>
        <v>0</v>
      </c>
      <c r="N102" s="96">
        <f>SUMPRODUCT((Portfolio!$L127=N$4)*(Portfolio!$L129))</f>
        <v>0</v>
      </c>
      <c r="O102" s="97">
        <f>SUMPRODUCT((Portfolio!$L127=O$4)*(Portfolio!$L129))</f>
        <v>0</v>
      </c>
      <c r="P102" s="96">
        <f>SUMPRODUCT((Portfolio!$L127=P$4)*(Portfolio!$L129))</f>
        <v>0</v>
      </c>
      <c r="Q102" s="96">
        <f>SUMPRODUCT((Portfolio!$L127=Q$4)*(Portfolio!$L129))</f>
        <v>0</v>
      </c>
      <c r="R102" s="96">
        <f>SUMPRODUCT((Portfolio!$L127=R$4)*(Portfolio!$L129))</f>
        <v>0</v>
      </c>
      <c r="S102" s="97">
        <f>SUMPRODUCT((Portfolio!$L127=S$4)*(Portfolio!$L129))</f>
        <v>0</v>
      </c>
      <c r="T102" s="96">
        <f>SUMPRODUCT((Portfolio!$L127=T$4)*(Portfolio!$L129))</f>
        <v>0</v>
      </c>
      <c r="U102" s="96">
        <f>SUMPRODUCT((Portfolio!$L127=U$4)*(Portfolio!$L129))</f>
        <v>0</v>
      </c>
      <c r="V102" s="96">
        <f>SUMPRODUCT((Portfolio!$L127=V$4)*(Portfolio!$L129))</f>
        <v>0</v>
      </c>
      <c r="W102" s="97">
        <f>SUMPRODUCT((Portfolio!$L127=W$4)*(Portfolio!$L129))</f>
        <v>0</v>
      </c>
      <c r="X102" s="96">
        <f>SUMPRODUCT((Portfolio!$L127=X$4)*(Portfolio!$L129))</f>
        <v>0</v>
      </c>
      <c r="Y102" s="96">
        <f>SUMPRODUCT((Portfolio!$L127=Y$4)*(Portfolio!$L129))</f>
        <v>0</v>
      </c>
      <c r="Z102" s="96">
        <f>SUMPRODUCT((Portfolio!$L127=Z$4)*(Portfolio!$L129))</f>
        <v>0</v>
      </c>
      <c r="AA102" s="97">
        <f>SUMPRODUCT((Portfolio!$L127=AA$4)*(Portfolio!$L129))</f>
        <v>0</v>
      </c>
      <c r="AB102" s="96">
        <f>SUMPRODUCT((Portfolio!$L127=AB$4)*(Portfolio!$L129))</f>
        <v>0</v>
      </c>
      <c r="AC102" s="96">
        <f>SUMPRODUCT((Portfolio!$L127=AC$4)*(Portfolio!$L129))</f>
        <v>0</v>
      </c>
      <c r="AD102" s="96">
        <f>SUMPRODUCT((Portfolio!$L127=AD$4)*(Portfolio!$L129))</f>
        <v>0</v>
      </c>
      <c r="AE102" s="97">
        <f>SUMPRODUCT((Portfolio!$L127=AE$4)*(Portfolio!$L129))</f>
        <v>0</v>
      </c>
      <c r="AF102" s="96">
        <f>SUMPRODUCT((Portfolio!$L127=AF$4)*(Portfolio!$L129))</f>
        <v>0</v>
      </c>
      <c r="AG102" s="96">
        <f>SUMPRODUCT((Portfolio!$L127=AG$4)*(Portfolio!$L129))</f>
        <v>0</v>
      </c>
      <c r="AH102" s="96">
        <f>SUMPRODUCT((Portfolio!$L127=AH$4)*(Portfolio!$L129))</f>
        <v>0</v>
      </c>
      <c r="AI102" s="97">
        <f>SUMPRODUCT((Portfolio!$L127=AI$4)*(Portfolio!$L129))</f>
        <v>0</v>
      </c>
      <c r="AJ102" s="96">
        <f>SUMPRODUCT((Portfolio!$L127=AJ$4)*(Portfolio!$L129))</f>
        <v>0</v>
      </c>
      <c r="AK102" s="96">
        <f>SUMPRODUCT((Portfolio!$L127=AK$4)*(Portfolio!$L129))</f>
        <v>0</v>
      </c>
      <c r="AL102" s="96">
        <f>SUMPRODUCT((Portfolio!$L127=AL$4)*(Portfolio!$L129))</f>
        <v>0</v>
      </c>
      <c r="AM102" s="97">
        <f>SUMPRODUCT((Portfolio!$L127=AM$4)*(Portfolio!$L129))</f>
        <v>0</v>
      </c>
      <c r="AN102" s="96">
        <f>SUMPRODUCT((Portfolio!$L127=AN$4)*(Portfolio!$L129))</f>
        <v>0</v>
      </c>
      <c r="AO102" s="96">
        <f>SUMPRODUCT((Portfolio!$L127=AO$4)*(Portfolio!$L129))</f>
        <v>0</v>
      </c>
      <c r="AP102" s="96">
        <f>SUMPRODUCT((Portfolio!$L127=AP$4)*(Portfolio!$L129))</f>
        <v>0</v>
      </c>
      <c r="AQ102" s="97">
        <f>SUMPRODUCT((Portfolio!$L127=AQ$4)*(Portfolio!$L129))</f>
        <v>0</v>
      </c>
      <c r="AR102" s="96">
        <f>SUMPRODUCT((Portfolio!$L127=AR$4)*(Portfolio!$L129))</f>
        <v>0</v>
      </c>
      <c r="AS102" s="96">
        <f>SUMPRODUCT((Portfolio!$L127=AS$4)*(Portfolio!$L129))</f>
        <v>0</v>
      </c>
      <c r="AT102" s="96">
        <f>SUMPRODUCT((Portfolio!$L127=AT$4)*(Portfolio!$L129))</f>
        <v>0</v>
      </c>
      <c r="AU102" s="97">
        <f>SUMPRODUCT((Portfolio!$L127=AU$4)*(Portfolio!$L129))</f>
        <v>0</v>
      </c>
      <c r="AV102" s="96"/>
      <c r="AW102" s="96"/>
      <c r="AX102" s="96"/>
      <c r="AY102" s="99"/>
    </row>
    <row r="103" spans="1:51" ht="15.75" hidden="1" customHeight="1" outlineLevel="1" x14ac:dyDescent="0.2">
      <c r="A103" s="83"/>
      <c r="B103" s="92">
        <f>IF(Portfolio!C130&lt;&gt;"",Portfolio!C130,"")</f>
        <v>42</v>
      </c>
      <c r="C103" s="93" t="str">
        <f>IF(Portfolio!D130&lt;&gt;"",Portfolio!D130,"")</f>
        <v/>
      </c>
      <c r="D103" s="94">
        <f>SUMPRODUCT((Portfolio!$L130=D$4)*(Portfolio!$L132))</f>
        <v>0</v>
      </c>
      <c r="E103" s="94">
        <f>SUMPRODUCT((Portfolio!$L130=E$4)*(Portfolio!$L132))</f>
        <v>0</v>
      </c>
      <c r="F103" s="96">
        <f>SUMPRODUCT((Portfolio!$L130=F$4)*(Portfolio!$L132))</f>
        <v>0</v>
      </c>
      <c r="G103" s="97">
        <f>SUMPRODUCT((Portfolio!$L130=G$4)*(Portfolio!$L132))</f>
        <v>0</v>
      </c>
      <c r="H103" s="94">
        <f>SUMPRODUCT((Portfolio!$L130=H$4)*(Portfolio!$L132))</f>
        <v>0</v>
      </c>
      <c r="I103" s="94">
        <f>SUMPRODUCT((Portfolio!$L130=I$4)*(Portfolio!$L132))</f>
        <v>0</v>
      </c>
      <c r="J103" s="96">
        <f>SUMPRODUCT((Portfolio!$L130=J$4)*(Portfolio!$L132))</f>
        <v>0</v>
      </c>
      <c r="K103" s="97">
        <f>SUMPRODUCT((Portfolio!$L130=K$4)*(Portfolio!$L132))</f>
        <v>0</v>
      </c>
      <c r="L103" s="96">
        <f>SUMPRODUCT((Portfolio!$L130=L$4)*(Portfolio!$L132))</f>
        <v>0</v>
      </c>
      <c r="M103" s="96">
        <f>SUMPRODUCT((Portfolio!$L130=M$4)*(Portfolio!$L132))</f>
        <v>0</v>
      </c>
      <c r="N103" s="96">
        <f>SUMPRODUCT((Portfolio!$L130=N$4)*(Portfolio!$L132))</f>
        <v>0</v>
      </c>
      <c r="O103" s="97">
        <f>SUMPRODUCT((Portfolio!$L130=O$4)*(Portfolio!$L132))</f>
        <v>0</v>
      </c>
      <c r="P103" s="96">
        <f>SUMPRODUCT((Portfolio!$L130=P$4)*(Portfolio!$L132))</f>
        <v>0</v>
      </c>
      <c r="Q103" s="96">
        <f>SUMPRODUCT((Portfolio!$L130=Q$4)*(Portfolio!$L132))</f>
        <v>0</v>
      </c>
      <c r="R103" s="96">
        <f>SUMPRODUCT((Portfolio!$L130=R$4)*(Portfolio!$L132))</f>
        <v>0</v>
      </c>
      <c r="S103" s="97">
        <f>SUMPRODUCT((Portfolio!$L130=S$4)*(Portfolio!$L132))</f>
        <v>0</v>
      </c>
      <c r="T103" s="96">
        <f>SUMPRODUCT((Portfolio!$L130=T$4)*(Portfolio!$L132))</f>
        <v>0</v>
      </c>
      <c r="U103" s="96">
        <f>SUMPRODUCT((Portfolio!$L130=U$4)*(Portfolio!$L132))</f>
        <v>0</v>
      </c>
      <c r="V103" s="96">
        <f>SUMPRODUCT((Portfolio!$L130=V$4)*(Portfolio!$L132))</f>
        <v>0</v>
      </c>
      <c r="W103" s="97">
        <f>SUMPRODUCT((Portfolio!$L130=W$4)*(Portfolio!$L132))</f>
        <v>0</v>
      </c>
      <c r="X103" s="96">
        <f>SUMPRODUCT((Portfolio!$L130=X$4)*(Portfolio!$L132))</f>
        <v>0</v>
      </c>
      <c r="Y103" s="96">
        <f>SUMPRODUCT((Portfolio!$L130=Y$4)*(Portfolio!$L132))</f>
        <v>0</v>
      </c>
      <c r="Z103" s="96">
        <f>SUMPRODUCT((Portfolio!$L130=Z$4)*(Portfolio!$L132))</f>
        <v>0</v>
      </c>
      <c r="AA103" s="97">
        <f>SUMPRODUCT((Portfolio!$L130=AA$4)*(Portfolio!$L132))</f>
        <v>0</v>
      </c>
      <c r="AB103" s="96">
        <f>SUMPRODUCT((Portfolio!$L130=AB$4)*(Portfolio!$L132))</f>
        <v>0</v>
      </c>
      <c r="AC103" s="96">
        <f>SUMPRODUCT((Portfolio!$L130=AC$4)*(Portfolio!$L132))</f>
        <v>0</v>
      </c>
      <c r="AD103" s="96">
        <f>SUMPRODUCT((Portfolio!$L130=AD$4)*(Portfolio!$L132))</f>
        <v>0</v>
      </c>
      <c r="AE103" s="97">
        <f>SUMPRODUCT((Portfolio!$L130=AE$4)*(Portfolio!$L132))</f>
        <v>0</v>
      </c>
      <c r="AF103" s="96">
        <f>SUMPRODUCT((Portfolio!$L130=AF$4)*(Portfolio!$L132))</f>
        <v>0</v>
      </c>
      <c r="AG103" s="96">
        <f>SUMPRODUCT((Portfolio!$L130=AG$4)*(Portfolio!$L132))</f>
        <v>0</v>
      </c>
      <c r="AH103" s="96">
        <f>SUMPRODUCT((Portfolio!$L130=AH$4)*(Portfolio!$L132))</f>
        <v>0</v>
      </c>
      <c r="AI103" s="97">
        <f>SUMPRODUCT((Portfolio!$L130=AI$4)*(Portfolio!$L132))</f>
        <v>0</v>
      </c>
      <c r="AJ103" s="96">
        <f>SUMPRODUCT((Portfolio!$L130=AJ$4)*(Portfolio!$L132))</f>
        <v>0</v>
      </c>
      <c r="AK103" s="96">
        <f>SUMPRODUCT((Portfolio!$L130=AK$4)*(Portfolio!$L132))</f>
        <v>0</v>
      </c>
      <c r="AL103" s="96">
        <f>SUMPRODUCT((Portfolio!$L130=AL$4)*(Portfolio!$L132))</f>
        <v>0</v>
      </c>
      <c r="AM103" s="97">
        <f>SUMPRODUCT((Portfolio!$L130=AM$4)*(Portfolio!$L132))</f>
        <v>0</v>
      </c>
      <c r="AN103" s="96">
        <f>SUMPRODUCT((Portfolio!$L130=AN$4)*(Portfolio!$L132))</f>
        <v>0</v>
      </c>
      <c r="AO103" s="96">
        <f>SUMPRODUCT((Portfolio!$L130=AO$4)*(Portfolio!$L132))</f>
        <v>0</v>
      </c>
      <c r="AP103" s="96">
        <f>SUMPRODUCT((Portfolio!$L130=AP$4)*(Portfolio!$L132))</f>
        <v>0</v>
      </c>
      <c r="AQ103" s="97">
        <f>SUMPRODUCT((Portfolio!$L130=AQ$4)*(Portfolio!$L132))</f>
        <v>0</v>
      </c>
      <c r="AR103" s="96">
        <f>SUMPRODUCT((Portfolio!$L130=AR$4)*(Portfolio!$L132))</f>
        <v>0</v>
      </c>
      <c r="AS103" s="96">
        <f>SUMPRODUCT((Portfolio!$L130=AS$4)*(Portfolio!$L132))</f>
        <v>0</v>
      </c>
      <c r="AT103" s="96">
        <f>SUMPRODUCT((Portfolio!$L130=AT$4)*(Portfolio!$L132))</f>
        <v>0</v>
      </c>
      <c r="AU103" s="97">
        <f>SUMPRODUCT((Portfolio!$L130=AU$4)*(Portfolio!$L132))</f>
        <v>0</v>
      </c>
      <c r="AV103" s="96"/>
      <c r="AW103" s="96"/>
      <c r="AX103" s="96"/>
      <c r="AY103" s="99"/>
    </row>
    <row r="104" spans="1:51" ht="15.75" hidden="1" customHeight="1" outlineLevel="1" x14ac:dyDescent="0.2">
      <c r="A104" s="83"/>
      <c r="B104" s="92">
        <f>IF(Portfolio!C133&lt;&gt;"",Portfolio!C133,"")</f>
        <v>43</v>
      </c>
      <c r="C104" s="93" t="str">
        <f>IF(Portfolio!D133&lt;&gt;"",Portfolio!D133,"")</f>
        <v/>
      </c>
      <c r="D104" s="94">
        <f>SUMPRODUCT((Portfolio!$L133=D$4)*(Portfolio!$L135))</f>
        <v>0</v>
      </c>
      <c r="E104" s="94">
        <f>SUMPRODUCT((Portfolio!$L133=E$4)*(Portfolio!$L135))</f>
        <v>0</v>
      </c>
      <c r="F104" s="96">
        <f>SUMPRODUCT((Portfolio!$L133=F$4)*(Portfolio!$L135))</f>
        <v>0</v>
      </c>
      <c r="G104" s="97">
        <f>SUMPRODUCT((Portfolio!$L133=G$4)*(Portfolio!$L135))</f>
        <v>0</v>
      </c>
      <c r="H104" s="94">
        <f>SUMPRODUCT((Portfolio!$L133=H$4)*(Portfolio!$L135))</f>
        <v>0</v>
      </c>
      <c r="I104" s="94">
        <f>SUMPRODUCT((Portfolio!$L133=I$4)*(Portfolio!$L135))</f>
        <v>0</v>
      </c>
      <c r="J104" s="96">
        <f>SUMPRODUCT((Portfolio!$L133=J$4)*(Portfolio!$L135))</f>
        <v>0</v>
      </c>
      <c r="K104" s="97">
        <f>SUMPRODUCT((Portfolio!$L133=K$4)*(Portfolio!$L135))</f>
        <v>0</v>
      </c>
      <c r="L104" s="96">
        <f>SUMPRODUCT((Portfolio!$L133=L$4)*(Portfolio!$L135))</f>
        <v>0</v>
      </c>
      <c r="M104" s="96">
        <f>SUMPRODUCT((Portfolio!$L133=M$4)*(Portfolio!$L135))</f>
        <v>0</v>
      </c>
      <c r="N104" s="96">
        <f>SUMPRODUCT((Portfolio!$L133=N$4)*(Portfolio!$L135))</f>
        <v>0</v>
      </c>
      <c r="O104" s="97">
        <f>SUMPRODUCT((Portfolio!$L133=O$4)*(Portfolio!$L135))</f>
        <v>0</v>
      </c>
      <c r="P104" s="96">
        <f>SUMPRODUCT((Portfolio!$L133=P$4)*(Portfolio!$L135))</f>
        <v>0</v>
      </c>
      <c r="Q104" s="96">
        <f>SUMPRODUCT((Portfolio!$L133=Q$4)*(Portfolio!$L135))</f>
        <v>0</v>
      </c>
      <c r="R104" s="96">
        <f>SUMPRODUCT((Portfolio!$L133=R$4)*(Portfolio!$L135))</f>
        <v>0</v>
      </c>
      <c r="S104" s="97">
        <f>SUMPRODUCT((Portfolio!$L133=S$4)*(Portfolio!$L135))</f>
        <v>0</v>
      </c>
      <c r="T104" s="96">
        <f>SUMPRODUCT((Portfolio!$L133=T$4)*(Portfolio!$L135))</f>
        <v>0</v>
      </c>
      <c r="U104" s="96">
        <f>SUMPRODUCT((Portfolio!$L133=U$4)*(Portfolio!$L135))</f>
        <v>0</v>
      </c>
      <c r="V104" s="96">
        <f>SUMPRODUCT((Portfolio!$L133=V$4)*(Portfolio!$L135))</f>
        <v>0</v>
      </c>
      <c r="W104" s="97">
        <f>SUMPRODUCT((Portfolio!$L133=W$4)*(Portfolio!$L135))</f>
        <v>0</v>
      </c>
      <c r="X104" s="96">
        <f>SUMPRODUCT((Portfolio!$L133=X$4)*(Portfolio!$L135))</f>
        <v>0</v>
      </c>
      <c r="Y104" s="96">
        <f>SUMPRODUCT((Portfolio!$L133=Y$4)*(Portfolio!$L135))</f>
        <v>0</v>
      </c>
      <c r="Z104" s="96">
        <f>SUMPRODUCT((Portfolio!$L133=Z$4)*(Portfolio!$L135))</f>
        <v>0</v>
      </c>
      <c r="AA104" s="97">
        <f>SUMPRODUCT((Portfolio!$L133=AA$4)*(Portfolio!$L135))</f>
        <v>0</v>
      </c>
      <c r="AB104" s="96">
        <f>SUMPRODUCT((Portfolio!$L133=AB$4)*(Portfolio!$L135))</f>
        <v>0</v>
      </c>
      <c r="AC104" s="96">
        <f>SUMPRODUCT((Portfolio!$L133=AC$4)*(Portfolio!$L135))</f>
        <v>0</v>
      </c>
      <c r="AD104" s="96">
        <f>SUMPRODUCT((Portfolio!$L133=AD$4)*(Portfolio!$L135))</f>
        <v>0</v>
      </c>
      <c r="AE104" s="97">
        <f>SUMPRODUCT((Portfolio!$L133=AE$4)*(Portfolio!$L135))</f>
        <v>0</v>
      </c>
      <c r="AF104" s="96">
        <f>SUMPRODUCT((Portfolio!$L133=AF$4)*(Portfolio!$L135))</f>
        <v>0</v>
      </c>
      <c r="AG104" s="96">
        <f>SUMPRODUCT((Portfolio!$L133=AG$4)*(Portfolio!$L135))</f>
        <v>0</v>
      </c>
      <c r="AH104" s="96">
        <f>SUMPRODUCT((Portfolio!$L133=AH$4)*(Portfolio!$L135))</f>
        <v>0</v>
      </c>
      <c r="AI104" s="97">
        <f>SUMPRODUCT((Portfolio!$L133=AI$4)*(Portfolio!$L135))</f>
        <v>0</v>
      </c>
      <c r="AJ104" s="96">
        <f>SUMPRODUCT((Portfolio!$L133=AJ$4)*(Portfolio!$L135))</f>
        <v>0</v>
      </c>
      <c r="AK104" s="96">
        <f>SUMPRODUCT((Portfolio!$L133=AK$4)*(Portfolio!$L135))</f>
        <v>0</v>
      </c>
      <c r="AL104" s="96">
        <f>SUMPRODUCT((Portfolio!$L133=AL$4)*(Portfolio!$L135))</f>
        <v>0</v>
      </c>
      <c r="AM104" s="97">
        <f>SUMPRODUCT((Portfolio!$L133=AM$4)*(Portfolio!$L135))</f>
        <v>0</v>
      </c>
      <c r="AN104" s="96">
        <f>SUMPRODUCT((Portfolio!$L133=AN$4)*(Portfolio!$L135))</f>
        <v>0</v>
      </c>
      <c r="AO104" s="96">
        <f>SUMPRODUCT((Portfolio!$L133=AO$4)*(Portfolio!$L135))</f>
        <v>0</v>
      </c>
      <c r="AP104" s="96">
        <f>SUMPRODUCT((Portfolio!$L133=AP$4)*(Portfolio!$L135))</f>
        <v>0</v>
      </c>
      <c r="AQ104" s="97">
        <f>SUMPRODUCT((Portfolio!$L133=AQ$4)*(Portfolio!$L135))</f>
        <v>0</v>
      </c>
      <c r="AR104" s="96">
        <f>SUMPRODUCT((Portfolio!$L133=AR$4)*(Portfolio!$L135))</f>
        <v>0</v>
      </c>
      <c r="AS104" s="96">
        <f>SUMPRODUCT((Portfolio!$L133=AS$4)*(Portfolio!$L135))</f>
        <v>0</v>
      </c>
      <c r="AT104" s="96">
        <f>SUMPRODUCT((Portfolio!$L133=AT$4)*(Portfolio!$L135))</f>
        <v>0</v>
      </c>
      <c r="AU104" s="97">
        <f>SUMPRODUCT((Portfolio!$L133=AU$4)*(Portfolio!$L135))</f>
        <v>0</v>
      </c>
      <c r="AV104" s="96"/>
      <c r="AW104" s="96"/>
      <c r="AX104" s="96"/>
      <c r="AY104" s="99"/>
    </row>
    <row r="105" spans="1:51" ht="15.75" hidden="1" customHeight="1" outlineLevel="1" x14ac:dyDescent="0.2">
      <c r="A105" s="83"/>
      <c r="B105" s="92">
        <f>IF(Portfolio!C136&lt;&gt;"",Portfolio!C136,"")</f>
        <v>44</v>
      </c>
      <c r="C105" s="93" t="str">
        <f>IF(Portfolio!D136&lt;&gt;"",Portfolio!D136,"")</f>
        <v/>
      </c>
      <c r="D105" s="94">
        <f>SUMPRODUCT((Portfolio!$L136=D$4)*(Portfolio!$L138))</f>
        <v>0</v>
      </c>
      <c r="E105" s="94">
        <f>SUMPRODUCT((Portfolio!$L136=E$4)*(Portfolio!$L138))</f>
        <v>0</v>
      </c>
      <c r="F105" s="96">
        <f>SUMPRODUCT((Portfolio!$L136=F$4)*(Portfolio!$L138))</f>
        <v>0</v>
      </c>
      <c r="G105" s="97">
        <f>SUMPRODUCT((Portfolio!$L136=G$4)*(Portfolio!$L138))</f>
        <v>0</v>
      </c>
      <c r="H105" s="94">
        <f>SUMPRODUCT((Portfolio!$L136=H$4)*(Portfolio!$L138))</f>
        <v>0</v>
      </c>
      <c r="I105" s="94">
        <f>SUMPRODUCT((Portfolio!$L136=I$4)*(Portfolio!$L138))</f>
        <v>0</v>
      </c>
      <c r="J105" s="96">
        <f>SUMPRODUCT((Portfolio!$L136=J$4)*(Portfolio!$L138))</f>
        <v>0</v>
      </c>
      <c r="K105" s="97">
        <f>SUMPRODUCT((Portfolio!$L136=K$4)*(Portfolio!$L138))</f>
        <v>0</v>
      </c>
      <c r="L105" s="96">
        <f>SUMPRODUCT((Portfolio!$L136=L$4)*(Portfolio!$L138))</f>
        <v>0</v>
      </c>
      <c r="M105" s="96">
        <f>SUMPRODUCT((Portfolio!$L136=M$4)*(Portfolio!$L138))</f>
        <v>0</v>
      </c>
      <c r="N105" s="96">
        <f>SUMPRODUCT((Portfolio!$L136=N$4)*(Portfolio!$L138))</f>
        <v>0</v>
      </c>
      <c r="O105" s="97">
        <f>SUMPRODUCT((Portfolio!$L136=O$4)*(Portfolio!$L138))</f>
        <v>0</v>
      </c>
      <c r="P105" s="96">
        <f>SUMPRODUCT((Portfolio!$L136=P$4)*(Portfolio!$L138))</f>
        <v>0</v>
      </c>
      <c r="Q105" s="96">
        <f>SUMPRODUCT((Portfolio!$L136=Q$4)*(Portfolio!$L138))</f>
        <v>0</v>
      </c>
      <c r="R105" s="96">
        <f>SUMPRODUCT((Portfolio!$L136=R$4)*(Portfolio!$L138))</f>
        <v>0</v>
      </c>
      <c r="S105" s="97">
        <f>SUMPRODUCT((Portfolio!$L136=S$4)*(Portfolio!$L138))</f>
        <v>0</v>
      </c>
      <c r="T105" s="96">
        <f>SUMPRODUCT((Portfolio!$L136=T$4)*(Portfolio!$L138))</f>
        <v>0</v>
      </c>
      <c r="U105" s="96">
        <f>SUMPRODUCT((Portfolio!$L136=U$4)*(Portfolio!$L138))</f>
        <v>0</v>
      </c>
      <c r="V105" s="96">
        <f>SUMPRODUCT((Portfolio!$L136=V$4)*(Portfolio!$L138))</f>
        <v>0</v>
      </c>
      <c r="W105" s="97">
        <f>SUMPRODUCT((Portfolio!$L136=W$4)*(Portfolio!$L138))</f>
        <v>0</v>
      </c>
      <c r="X105" s="96">
        <f>SUMPRODUCT((Portfolio!$L136=X$4)*(Portfolio!$L138))</f>
        <v>0</v>
      </c>
      <c r="Y105" s="96">
        <f>SUMPRODUCT((Portfolio!$L136=Y$4)*(Portfolio!$L138))</f>
        <v>0</v>
      </c>
      <c r="Z105" s="96">
        <f>SUMPRODUCT((Portfolio!$L136=Z$4)*(Portfolio!$L138))</f>
        <v>0</v>
      </c>
      <c r="AA105" s="97">
        <f>SUMPRODUCT((Portfolio!$L136=AA$4)*(Portfolio!$L138))</f>
        <v>0</v>
      </c>
      <c r="AB105" s="96">
        <f>SUMPRODUCT((Portfolio!$L136=AB$4)*(Portfolio!$L138))</f>
        <v>0</v>
      </c>
      <c r="AC105" s="96">
        <f>SUMPRODUCT((Portfolio!$L136=AC$4)*(Portfolio!$L138))</f>
        <v>0</v>
      </c>
      <c r="AD105" s="96">
        <f>SUMPRODUCT((Portfolio!$L136=AD$4)*(Portfolio!$L138))</f>
        <v>0</v>
      </c>
      <c r="AE105" s="97">
        <f>SUMPRODUCT((Portfolio!$L136=AE$4)*(Portfolio!$L138))</f>
        <v>0</v>
      </c>
      <c r="AF105" s="96">
        <f>SUMPRODUCT((Portfolio!$L136=AF$4)*(Portfolio!$L138))</f>
        <v>0</v>
      </c>
      <c r="AG105" s="96">
        <f>SUMPRODUCT((Portfolio!$L136=AG$4)*(Portfolio!$L138))</f>
        <v>0</v>
      </c>
      <c r="AH105" s="96">
        <f>SUMPRODUCT((Portfolio!$L136=AH$4)*(Portfolio!$L138))</f>
        <v>0</v>
      </c>
      <c r="AI105" s="97">
        <f>SUMPRODUCT((Portfolio!$L136=AI$4)*(Portfolio!$L138))</f>
        <v>0</v>
      </c>
      <c r="AJ105" s="96">
        <f>SUMPRODUCT((Portfolio!$L136=AJ$4)*(Portfolio!$L138))</f>
        <v>0</v>
      </c>
      <c r="AK105" s="96">
        <f>SUMPRODUCT((Portfolio!$L136=AK$4)*(Portfolio!$L138))</f>
        <v>0</v>
      </c>
      <c r="AL105" s="96">
        <f>SUMPRODUCT((Portfolio!$L136=AL$4)*(Portfolio!$L138))</f>
        <v>0</v>
      </c>
      <c r="AM105" s="97">
        <f>SUMPRODUCT((Portfolio!$L136=AM$4)*(Portfolio!$L138))</f>
        <v>0</v>
      </c>
      <c r="AN105" s="96">
        <f>SUMPRODUCT((Portfolio!$L136=AN$4)*(Portfolio!$L138))</f>
        <v>0</v>
      </c>
      <c r="AO105" s="96">
        <f>SUMPRODUCT((Portfolio!$L136=AO$4)*(Portfolio!$L138))</f>
        <v>0</v>
      </c>
      <c r="AP105" s="96">
        <f>SUMPRODUCT((Portfolio!$L136=AP$4)*(Portfolio!$L138))</f>
        <v>0</v>
      </c>
      <c r="AQ105" s="97">
        <f>SUMPRODUCT((Portfolio!$L136=AQ$4)*(Portfolio!$L138))</f>
        <v>0</v>
      </c>
      <c r="AR105" s="96">
        <f>SUMPRODUCT((Portfolio!$L136=AR$4)*(Portfolio!$L138))</f>
        <v>0</v>
      </c>
      <c r="AS105" s="96">
        <f>SUMPRODUCT((Portfolio!$L136=AS$4)*(Portfolio!$L138))</f>
        <v>0</v>
      </c>
      <c r="AT105" s="96">
        <f>SUMPRODUCT((Portfolio!$L136=AT$4)*(Portfolio!$L138))</f>
        <v>0</v>
      </c>
      <c r="AU105" s="97">
        <f>SUMPRODUCT((Portfolio!$L136=AU$4)*(Portfolio!$L138))</f>
        <v>0</v>
      </c>
      <c r="AV105" s="96"/>
      <c r="AW105" s="96"/>
      <c r="AX105" s="96"/>
      <c r="AY105" s="99"/>
    </row>
    <row r="106" spans="1:51" ht="15.75" hidden="1" customHeight="1" outlineLevel="1" x14ac:dyDescent="0.2">
      <c r="A106" s="83"/>
      <c r="B106" s="92">
        <f>IF(Portfolio!C139&lt;&gt;"",Portfolio!C139,"")</f>
        <v>45</v>
      </c>
      <c r="C106" s="93" t="str">
        <f>IF(Portfolio!D139&lt;&gt;"",Portfolio!D139,"")</f>
        <v/>
      </c>
      <c r="D106" s="94">
        <f>SUMPRODUCT((Portfolio!$L139=D$4)*(Portfolio!$L141))</f>
        <v>0</v>
      </c>
      <c r="E106" s="94">
        <f>SUMPRODUCT((Portfolio!$L139=E$4)*(Portfolio!$L141))</f>
        <v>0</v>
      </c>
      <c r="F106" s="96">
        <f>SUMPRODUCT((Portfolio!$L139=F$4)*(Portfolio!$L141))</f>
        <v>0</v>
      </c>
      <c r="G106" s="97">
        <f>SUMPRODUCT((Portfolio!$L139=G$4)*(Portfolio!$L141))</f>
        <v>0</v>
      </c>
      <c r="H106" s="94">
        <f>SUMPRODUCT((Portfolio!$L139=H$4)*(Portfolio!$L141))</f>
        <v>0</v>
      </c>
      <c r="I106" s="94">
        <f>SUMPRODUCT((Portfolio!$L139=I$4)*(Portfolio!$L141))</f>
        <v>0</v>
      </c>
      <c r="J106" s="96">
        <f>SUMPRODUCT((Portfolio!$L139=J$4)*(Portfolio!$L141))</f>
        <v>0</v>
      </c>
      <c r="K106" s="97">
        <f>SUMPRODUCT((Portfolio!$L139=K$4)*(Portfolio!$L141))</f>
        <v>0</v>
      </c>
      <c r="L106" s="96">
        <f>SUMPRODUCT((Portfolio!$L139=L$4)*(Portfolio!$L141))</f>
        <v>0</v>
      </c>
      <c r="M106" s="96">
        <f>SUMPRODUCT((Portfolio!$L139=M$4)*(Portfolio!$L141))</f>
        <v>0</v>
      </c>
      <c r="N106" s="96">
        <f>SUMPRODUCT((Portfolio!$L139=N$4)*(Portfolio!$L141))</f>
        <v>0</v>
      </c>
      <c r="O106" s="97">
        <f>SUMPRODUCT((Portfolio!$L139=O$4)*(Portfolio!$L141))</f>
        <v>0</v>
      </c>
      <c r="P106" s="96">
        <f>SUMPRODUCT((Portfolio!$L139=P$4)*(Portfolio!$L141))</f>
        <v>0</v>
      </c>
      <c r="Q106" s="96">
        <f>SUMPRODUCT((Portfolio!$L139=Q$4)*(Portfolio!$L141))</f>
        <v>0</v>
      </c>
      <c r="R106" s="96">
        <f>SUMPRODUCT((Portfolio!$L139=R$4)*(Portfolio!$L141))</f>
        <v>0</v>
      </c>
      <c r="S106" s="97">
        <f>SUMPRODUCT((Portfolio!$L139=S$4)*(Portfolio!$L141))</f>
        <v>0</v>
      </c>
      <c r="T106" s="96">
        <f>SUMPRODUCT((Portfolio!$L139=T$4)*(Portfolio!$L141))</f>
        <v>0</v>
      </c>
      <c r="U106" s="96">
        <f>SUMPRODUCT((Portfolio!$L139=U$4)*(Portfolio!$L141))</f>
        <v>0</v>
      </c>
      <c r="V106" s="96">
        <f>SUMPRODUCT((Portfolio!$L139=V$4)*(Portfolio!$L141))</f>
        <v>0</v>
      </c>
      <c r="W106" s="97">
        <f>SUMPRODUCT((Portfolio!$L139=W$4)*(Portfolio!$L141))</f>
        <v>0</v>
      </c>
      <c r="X106" s="96">
        <f>SUMPRODUCT((Portfolio!$L139=X$4)*(Portfolio!$L141))</f>
        <v>0</v>
      </c>
      <c r="Y106" s="96">
        <f>SUMPRODUCT((Portfolio!$L139=Y$4)*(Portfolio!$L141))</f>
        <v>0</v>
      </c>
      <c r="Z106" s="96">
        <f>SUMPRODUCT((Portfolio!$L139=Z$4)*(Portfolio!$L141))</f>
        <v>0</v>
      </c>
      <c r="AA106" s="97">
        <f>SUMPRODUCT((Portfolio!$L139=AA$4)*(Portfolio!$L141))</f>
        <v>0</v>
      </c>
      <c r="AB106" s="96">
        <f>SUMPRODUCT((Portfolio!$L139=AB$4)*(Portfolio!$L141))</f>
        <v>0</v>
      </c>
      <c r="AC106" s="96">
        <f>SUMPRODUCT((Portfolio!$L139=AC$4)*(Portfolio!$L141))</f>
        <v>0</v>
      </c>
      <c r="AD106" s="96">
        <f>SUMPRODUCT((Portfolio!$L139=AD$4)*(Portfolio!$L141))</f>
        <v>0</v>
      </c>
      <c r="AE106" s="97">
        <f>SUMPRODUCT((Portfolio!$L139=AE$4)*(Portfolio!$L141))</f>
        <v>0</v>
      </c>
      <c r="AF106" s="96">
        <f>SUMPRODUCT((Portfolio!$L139=AF$4)*(Portfolio!$L141))</f>
        <v>0</v>
      </c>
      <c r="AG106" s="96">
        <f>SUMPRODUCT((Portfolio!$L139=AG$4)*(Portfolio!$L141))</f>
        <v>0</v>
      </c>
      <c r="AH106" s="96">
        <f>SUMPRODUCT((Portfolio!$L139=AH$4)*(Portfolio!$L141))</f>
        <v>0</v>
      </c>
      <c r="AI106" s="97">
        <f>SUMPRODUCT((Portfolio!$L139=AI$4)*(Portfolio!$L141))</f>
        <v>0</v>
      </c>
      <c r="AJ106" s="96">
        <f>SUMPRODUCT((Portfolio!$L139=AJ$4)*(Portfolio!$L141))</f>
        <v>0</v>
      </c>
      <c r="AK106" s="96">
        <f>SUMPRODUCT((Portfolio!$L139=AK$4)*(Portfolio!$L141))</f>
        <v>0</v>
      </c>
      <c r="AL106" s="96">
        <f>SUMPRODUCT((Portfolio!$L139=AL$4)*(Portfolio!$L141))</f>
        <v>0</v>
      </c>
      <c r="AM106" s="97">
        <f>SUMPRODUCT((Portfolio!$L139=AM$4)*(Portfolio!$L141))</f>
        <v>0</v>
      </c>
      <c r="AN106" s="96">
        <f>SUMPRODUCT((Portfolio!$L139=AN$4)*(Portfolio!$L141))</f>
        <v>0</v>
      </c>
      <c r="AO106" s="96">
        <f>SUMPRODUCT((Portfolio!$L139=AO$4)*(Portfolio!$L141))</f>
        <v>0</v>
      </c>
      <c r="AP106" s="96">
        <f>SUMPRODUCT((Portfolio!$L139=AP$4)*(Portfolio!$L141))</f>
        <v>0</v>
      </c>
      <c r="AQ106" s="97">
        <f>SUMPRODUCT((Portfolio!$L139=AQ$4)*(Portfolio!$L141))</f>
        <v>0</v>
      </c>
      <c r="AR106" s="96">
        <f>SUMPRODUCT((Portfolio!$L139=AR$4)*(Portfolio!$L141))</f>
        <v>0</v>
      </c>
      <c r="AS106" s="96">
        <f>SUMPRODUCT((Portfolio!$L139=AS$4)*(Portfolio!$L141))</f>
        <v>0</v>
      </c>
      <c r="AT106" s="96">
        <f>SUMPRODUCT((Portfolio!$L139=AT$4)*(Portfolio!$L141))</f>
        <v>0</v>
      </c>
      <c r="AU106" s="97">
        <f>SUMPRODUCT((Portfolio!$L139=AU$4)*(Portfolio!$L141))</f>
        <v>0</v>
      </c>
      <c r="AV106" s="96"/>
      <c r="AW106" s="96"/>
      <c r="AX106" s="96"/>
      <c r="AY106" s="99"/>
    </row>
    <row r="107" spans="1:51" ht="15.75" hidden="1" customHeight="1" outlineLevel="1" x14ac:dyDescent="0.2">
      <c r="A107" s="83"/>
      <c r="B107" s="92">
        <f>IF(Portfolio!C142&lt;&gt;"",Portfolio!C142,"")</f>
        <v>46</v>
      </c>
      <c r="C107" s="93" t="str">
        <f>IF(Portfolio!D142&lt;&gt;"",Portfolio!D142,"")</f>
        <v/>
      </c>
      <c r="D107" s="94">
        <f>SUMPRODUCT((Portfolio!$L142=D$4)*(Portfolio!$L144))</f>
        <v>0</v>
      </c>
      <c r="E107" s="94">
        <f>SUMPRODUCT((Portfolio!$L142=E$4)*(Portfolio!$L144))</f>
        <v>0</v>
      </c>
      <c r="F107" s="96">
        <f>SUMPRODUCT((Portfolio!$L142=F$4)*(Portfolio!$L144))</f>
        <v>0</v>
      </c>
      <c r="G107" s="97">
        <f>SUMPRODUCT((Portfolio!$L142=G$4)*(Portfolio!$L144))</f>
        <v>0</v>
      </c>
      <c r="H107" s="94">
        <f>SUMPRODUCT((Portfolio!$L142=H$4)*(Portfolio!$L144))</f>
        <v>0</v>
      </c>
      <c r="I107" s="94">
        <f>SUMPRODUCT((Portfolio!$L142=I$4)*(Portfolio!$L144))</f>
        <v>0</v>
      </c>
      <c r="J107" s="96">
        <f>SUMPRODUCT((Portfolio!$L142=J$4)*(Portfolio!$L144))</f>
        <v>0</v>
      </c>
      <c r="K107" s="97">
        <f>SUMPRODUCT((Portfolio!$L142=K$4)*(Portfolio!$L144))</f>
        <v>0</v>
      </c>
      <c r="L107" s="96">
        <f>SUMPRODUCT((Portfolio!$L142=L$4)*(Portfolio!$L144))</f>
        <v>0</v>
      </c>
      <c r="M107" s="96">
        <f>SUMPRODUCT((Portfolio!$L142=M$4)*(Portfolio!$L144))</f>
        <v>0</v>
      </c>
      <c r="N107" s="96">
        <f>SUMPRODUCT((Portfolio!$L142=N$4)*(Portfolio!$L144))</f>
        <v>0</v>
      </c>
      <c r="O107" s="97">
        <f>SUMPRODUCT((Portfolio!$L142=O$4)*(Portfolio!$L144))</f>
        <v>0</v>
      </c>
      <c r="P107" s="96">
        <f>SUMPRODUCT((Portfolio!$L142=P$4)*(Portfolio!$L144))</f>
        <v>0</v>
      </c>
      <c r="Q107" s="96">
        <f>SUMPRODUCT((Portfolio!$L142=Q$4)*(Portfolio!$L144))</f>
        <v>0</v>
      </c>
      <c r="R107" s="96">
        <f>SUMPRODUCT((Portfolio!$L142=R$4)*(Portfolio!$L144))</f>
        <v>0</v>
      </c>
      <c r="S107" s="97">
        <f>SUMPRODUCT((Portfolio!$L142=S$4)*(Portfolio!$L144))</f>
        <v>0</v>
      </c>
      <c r="T107" s="96">
        <f>SUMPRODUCT((Portfolio!$L142=T$4)*(Portfolio!$L144))</f>
        <v>0</v>
      </c>
      <c r="U107" s="96">
        <f>SUMPRODUCT((Portfolio!$L142=U$4)*(Portfolio!$L144))</f>
        <v>0</v>
      </c>
      <c r="V107" s="96">
        <f>SUMPRODUCT((Portfolio!$L142=V$4)*(Portfolio!$L144))</f>
        <v>0</v>
      </c>
      <c r="W107" s="97">
        <f>SUMPRODUCT((Portfolio!$L142=W$4)*(Portfolio!$L144))</f>
        <v>0</v>
      </c>
      <c r="X107" s="96">
        <f>SUMPRODUCT((Portfolio!$L142=X$4)*(Portfolio!$L144))</f>
        <v>0</v>
      </c>
      <c r="Y107" s="96">
        <f>SUMPRODUCT((Portfolio!$L142=Y$4)*(Portfolio!$L144))</f>
        <v>0</v>
      </c>
      <c r="Z107" s="96">
        <f>SUMPRODUCT((Portfolio!$L142=Z$4)*(Portfolio!$L144))</f>
        <v>0</v>
      </c>
      <c r="AA107" s="97">
        <f>SUMPRODUCT((Portfolio!$L142=AA$4)*(Portfolio!$L144))</f>
        <v>0</v>
      </c>
      <c r="AB107" s="96">
        <f>SUMPRODUCT((Portfolio!$L142=AB$4)*(Portfolio!$L144))</f>
        <v>0</v>
      </c>
      <c r="AC107" s="96">
        <f>SUMPRODUCT((Portfolio!$L142=AC$4)*(Portfolio!$L144))</f>
        <v>0</v>
      </c>
      <c r="AD107" s="96">
        <f>SUMPRODUCT((Portfolio!$L142=AD$4)*(Portfolio!$L144))</f>
        <v>0</v>
      </c>
      <c r="AE107" s="97">
        <f>SUMPRODUCT((Portfolio!$L142=AE$4)*(Portfolio!$L144))</f>
        <v>0</v>
      </c>
      <c r="AF107" s="96">
        <f>SUMPRODUCT((Portfolio!$L142=AF$4)*(Portfolio!$L144))</f>
        <v>0</v>
      </c>
      <c r="AG107" s="96">
        <f>SUMPRODUCT((Portfolio!$L142=AG$4)*(Portfolio!$L144))</f>
        <v>0</v>
      </c>
      <c r="AH107" s="96">
        <f>SUMPRODUCT((Portfolio!$L142=AH$4)*(Portfolio!$L144))</f>
        <v>0</v>
      </c>
      <c r="AI107" s="97">
        <f>SUMPRODUCT((Portfolio!$L142=AI$4)*(Portfolio!$L144))</f>
        <v>0</v>
      </c>
      <c r="AJ107" s="96">
        <f>SUMPRODUCT((Portfolio!$L142=AJ$4)*(Portfolio!$L144))</f>
        <v>0</v>
      </c>
      <c r="AK107" s="96">
        <f>SUMPRODUCT((Portfolio!$L142=AK$4)*(Portfolio!$L144))</f>
        <v>0</v>
      </c>
      <c r="AL107" s="96">
        <f>SUMPRODUCT((Portfolio!$L142=AL$4)*(Portfolio!$L144))</f>
        <v>0</v>
      </c>
      <c r="AM107" s="97">
        <f>SUMPRODUCT((Portfolio!$L142=AM$4)*(Portfolio!$L144))</f>
        <v>0</v>
      </c>
      <c r="AN107" s="96">
        <f>SUMPRODUCT((Portfolio!$L142=AN$4)*(Portfolio!$L144))</f>
        <v>0</v>
      </c>
      <c r="AO107" s="96">
        <f>SUMPRODUCT((Portfolio!$L142=AO$4)*(Portfolio!$L144))</f>
        <v>0</v>
      </c>
      <c r="AP107" s="96">
        <f>SUMPRODUCT((Portfolio!$L142=AP$4)*(Portfolio!$L144))</f>
        <v>0</v>
      </c>
      <c r="AQ107" s="97">
        <f>SUMPRODUCT((Portfolio!$L142=AQ$4)*(Portfolio!$L144))</f>
        <v>0</v>
      </c>
      <c r="AR107" s="96">
        <f>SUMPRODUCT((Portfolio!$L142=AR$4)*(Portfolio!$L144))</f>
        <v>0</v>
      </c>
      <c r="AS107" s="96">
        <f>SUMPRODUCT((Portfolio!$L142=AS$4)*(Portfolio!$L144))</f>
        <v>0</v>
      </c>
      <c r="AT107" s="96">
        <f>SUMPRODUCT((Portfolio!$L142=AT$4)*(Portfolio!$L144))</f>
        <v>0</v>
      </c>
      <c r="AU107" s="97">
        <f>SUMPRODUCT((Portfolio!$L142=AU$4)*(Portfolio!$L144))</f>
        <v>0</v>
      </c>
      <c r="AV107" s="96"/>
      <c r="AW107" s="96"/>
      <c r="AX107" s="96"/>
      <c r="AY107" s="99"/>
    </row>
    <row r="108" spans="1:51" ht="15.75" hidden="1" customHeight="1" outlineLevel="1" x14ac:dyDescent="0.2">
      <c r="A108" s="83"/>
      <c r="B108" s="92">
        <f>IF(Portfolio!C145&lt;&gt;"",Portfolio!C145,"")</f>
        <v>47</v>
      </c>
      <c r="C108" s="93" t="str">
        <f>IF(Portfolio!D145&lt;&gt;"",Portfolio!D145,"")</f>
        <v/>
      </c>
      <c r="D108" s="94">
        <f>SUMPRODUCT((Portfolio!$L145=D$4)*(Portfolio!$L147))</f>
        <v>0</v>
      </c>
      <c r="E108" s="94">
        <f>SUMPRODUCT((Portfolio!$L145=E$4)*(Portfolio!$L147))</f>
        <v>0</v>
      </c>
      <c r="F108" s="96">
        <f>SUMPRODUCT((Portfolio!$L145=F$4)*(Portfolio!$L147))</f>
        <v>0</v>
      </c>
      <c r="G108" s="97">
        <f>SUMPRODUCT((Portfolio!$L145=G$4)*(Portfolio!$L147))</f>
        <v>0</v>
      </c>
      <c r="H108" s="94">
        <f>SUMPRODUCT((Portfolio!$L145=H$4)*(Portfolio!$L147))</f>
        <v>0</v>
      </c>
      <c r="I108" s="94">
        <f>SUMPRODUCT((Portfolio!$L145=I$4)*(Portfolio!$L147))</f>
        <v>0</v>
      </c>
      <c r="J108" s="96">
        <f>SUMPRODUCT((Portfolio!$L145=J$4)*(Portfolio!$L147))</f>
        <v>0</v>
      </c>
      <c r="K108" s="97">
        <f>SUMPRODUCT((Portfolio!$L145=K$4)*(Portfolio!$L147))</f>
        <v>0</v>
      </c>
      <c r="L108" s="96">
        <f>SUMPRODUCT((Portfolio!$L145=L$4)*(Portfolio!$L147))</f>
        <v>0</v>
      </c>
      <c r="M108" s="96">
        <f>SUMPRODUCT((Portfolio!$L145=M$4)*(Portfolio!$L147))</f>
        <v>0</v>
      </c>
      <c r="N108" s="96">
        <f>SUMPRODUCT((Portfolio!$L145=N$4)*(Portfolio!$L147))</f>
        <v>0</v>
      </c>
      <c r="O108" s="97">
        <f>SUMPRODUCT((Portfolio!$L145=O$4)*(Portfolio!$L147))</f>
        <v>0</v>
      </c>
      <c r="P108" s="96">
        <f>SUMPRODUCT((Portfolio!$L145=P$4)*(Portfolio!$L147))</f>
        <v>0</v>
      </c>
      <c r="Q108" s="96">
        <f>SUMPRODUCT((Portfolio!$L145=Q$4)*(Portfolio!$L147))</f>
        <v>0</v>
      </c>
      <c r="R108" s="96">
        <f>SUMPRODUCT((Portfolio!$L145=R$4)*(Portfolio!$L147))</f>
        <v>0</v>
      </c>
      <c r="S108" s="97">
        <f>SUMPRODUCT((Portfolio!$L145=S$4)*(Portfolio!$L147))</f>
        <v>0</v>
      </c>
      <c r="T108" s="96">
        <f>SUMPRODUCT((Portfolio!$L145=T$4)*(Portfolio!$L147))</f>
        <v>0</v>
      </c>
      <c r="U108" s="96">
        <f>SUMPRODUCT((Portfolio!$L145=U$4)*(Portfolio!$L147))</f>
        <v>0</v>
      </c>
      <c r="V108" s="96">
        <f>SUMPRODUCT((Portfolio!$L145=V$4)*(Portfolio!$L147))</f>
        <v>0</v>
      </c>
      <c r="W108" s="97">
        <f>SUMPRODUCT((Portfolio!$L145=W$4)*(Portfolio!$L147))</f>
        <v>0</v>
      </c>
      <c r="X108" s="96">
        <f>SUMPRODUCT((Portfolio!$L145=X$4)*(Portfolio!$L147))</f>
        <v>0</v>
      </c>
      <c r="Y108" s="96">
        <f>SUMPRODUCT((Portfolio!$L145=Y$4)*(Portfolio!$L147))</f>
        <v>0</v>
      </c>
      <c r="Z108" s="96">
        <f>SUMPRODUCT((Portfolio!$L145=Z$4)*(Portfolio!$L147))</f>
        <v>0</v>
      </c>
      <c r="AA108" s="97">
        <f>SUMPRODUCT((Portfolio!$L145=AA$4)*(Portfolio!$L147))</f>
        <v>0</v>
      </c>
      <c r="AB108" s="96">
        <f>SUMPRODUCT((Portfolio!$L145=AB$4)*(Portfolio!$L147))</f>
        <v>0</v>
      </c>
      <c r="AC108" s="96">
        <f>SUMPRODUCT((Portfolio!$L145=AC$4)*(Portfolio!$L147))</f>
        <v>0</v>
      </c>
      <c r="AD108" s="96">
        <f>SUMPRODUCT((Portfolio!$L145=AD$4)*(Portfolio!$L147))</f>
        <v>0</v>
      </c>
      <c r="AE108" s="97">
        <f>SUMPRODUCT((Portfolio!$L145=AE$4)*(Portfolio!$L147))</f>
        <v>0</v>
      </c>
      <c r="AF108" s="96">
        <f>SUMPRODUCT((Portfolio!$L145=AF$4)*(Portfolio!$L147))</f>
        <v>0</v>
      </c>
      <c r="AG108" s="96">
        <f>SUMPRODUCT((Portfolio!$L145=AG$4)*(Portfolio!$L147))</f>
        <v>0</v>
      </c>
      <c r="AH108" s="96">
        <f>SUMPRODUCT((Portfolio!$L145=AH$4)*(Portfolio!$L147))</f>
        <v>0</v>
      </c>
      <c r="AI108" s="97">
        <f>SUMPRODUCT((Portfolio!$L145=AI$4)*(Portfolio!$L147))</f>
        <v>0</v>
      </c>
      <c r="AJ108" s="96">
        <f>SUMPRODUCT((Portfolio!$L145=AJ$4)*(Portfolio!$L147))</f>
        <v>0</v>
      </c>
      <c r="AK108" s="96">
        <f>SUMPRODUCT((Portfolio!$L145=AK$4)*(Portfolio!$L147))</f>
        <v>0</v>
      </c>
      <c r="AL108" s="96">
        <f>SUMPRODUCT((Portfolio!$L145=AL$4)*(Portfolio!$L147))</f>
        <v>0</v>
      </c>
      <c r="AM108" s="97">
        <f>SUMPRODUCT((Portfolio!$L145=AM$4)*(Portfolio!$L147))</f>
        <v>0</v>
      </c>
      <c r="AN108" s="96">
        <f>SUMPRODUCT((Portfolio!$L145=AN$4)*(Portfolio!$L147))</f>
        <v>0</v>
      </c>
      <c r="AO108" s="96">
        <f>SUMPRODUCT((Portfolio!$L145=AO$4)*(Portfolio!$L147))</f>
        <v>0</v>
      </c>
      <c r="AP108" s="96">
        <f>SUMPRODUCT((Portfolio!$L145=AP$4)*(Portfolio!$L147))</f>
        <v>0</v>
      </c>
      <c r="AQ108" s="97">
        <f>SUMPRODUCT((Portfolio!$L145=AQ$4)*(Portfolio!$L147))</f>
        <v>0</v>
      </c>
      <c r="AR108" s="96">
        <f>SUMPRODUCT((Portfolio!$L145=AR$4)*(Portfolio!$L147))</f>
        <v>0</v>
      </c>
      <c r="AS108" s="96">
        <f>SUMPRODUCT((Portfolio!$L145=AS$4)*(Portfolio!$L147))</f>
        <v>0</v>
      </c>
      <c r="AT108" s="96">
        <f>SUMPRODUCT((Portfolio!$L145=AT$4)*(Portfolio!$L147))</f>
        <v>0</v>
      </c>
      <c r="AU108" s="97">
        <f>SUMPRODUCT((Portfolio!$L145=AU$4)*(Portfolio!$L147))</f>
        <v>0</v>
      </c>
      <c r="AV108" s="96"/>
      <c r="AW108" s="96"/>
      <c r="AX108" s="96"/>
      <c r="AY108" s="99"/>
    </row>
    <row r="109" spans="1:51" ht="15.75" customHeight="1" collapsed="1" x14ac:dyDescent="0.2">
      <c r="A109" s="83"/>
      <c r="B109" s="92">
        <f>IF(Portfolio!C148&lt;&gt;"",Portfolio!C148,"")</f>
        <v>48</v>
      </c>
      <c r="C109" s="93" t="str">
        <f>IF(Portfolio!D148&lt;&gt;"",Portfolio!D148,"")</f>
        <v/>
      </c>
      <c r="D109" s="94">
        <f>SUMPRODUCT((Portfolio!$L148=D$4)*(Portfolio!$L150))</f>
        <v>0</v>
      </c>
      <c r="E109" s="94">
        <f>SUMPRODUCT((Portfolio!$L148=E$4)*(Portfolio!$L150))</f>
        <v>0</v>
      </c>
      <c r="F109" s="96">
        <f>SUMPRODUCT((Portfolio!$L148=F$4)*(Portfolio!$L150))</f>
        <v>0</v>
      </c>
      <c r="G109" s="97">
        <f>SUMPRODUCT((Portfolio!$L148=G$4)*(Portfolio!$L150))</f>
        <v>0</v>
      </c>
      <c r="H109" s="94">
        <f>SUMPRODUCT((Portfolio!$L148=H$4)*(Portfolio!$L150))</f>
        <v>0</v>
      </c>
      <c r="I109" s="94">
        <f>SUMPRODUCT((Portfolio!$L148=I$4)*(Portfolio!$L150))</f>
        <v>0</v>
      </c>
      <c r="J109" s="96">
        <f>SUMPRODUCT((Portfolio!$L148=J$4)*(Portfolio!$L150))</f>
        <v>0</v>
      </c>
      <c r="K109" s="97">
        <f>SUMPRODUCT((Portfolio!$L148=K$4)*(Portfolio!$L150))</f>
        <v>0</v>
      </c>
      <c r="L109" s="96">
        <f>SUMPRODUCT((Portfolio!$L148=L$4)*(Portfolio!$L150))</f>
        <v>0</v>
      </c>
      <c r="M109" s="96">
        <f>SUMPRODUCT((Portfolio!$L148=M$4)*(Portfolio!$L150))</f>
        <v>0</v>
      </c>
      <c r="N109" s="96">
        <f>SUMPRODUCT((Portfolio!$L148=N$4)*(Portfolio!$L150))</f>
        <v>0</v>
      </c>
      <c r="O109" s="97">
        <f>SUMPRODUCT((Portfolio!$L148=O$4)*(Portfolio!$L150))</f>
        <v>0</v>
      </c>
      <c r="P109" s="96">
        <f>SUMPRODUCT((Portfolio!$L148=P$4)*(Portfolio!$L150))</f>
        <v>0</v>
      </c>
      <c r="Q109" s="96">
        <f>SUMPRODUCT((Portfolio!$L148=Q$4)*(Portfolio!$L150))</f>
        <v>0</v>
      </c>
      <c r="R109" s="96">
        <f>SUMPRODUCT((Portfolio!$L148=R$4)*(Portfolio!$L150))</f>
        <v>0</v>
      </c>
      <c r="S109" s="97">
        <f>SUMPRODUCT((Portfolio!$L148=S$4)*(Portfolio!$L150))</f>
        <v>0</v>
      </c>
      <c r="T109" s="96">
        <f>SUMPRODUCT((Portfolio!$L148=T$4)*(Portfolio!$L150))</f>
        <v>0</v>
      </c>
      <c r="U109" s="96">
        <f>SUMPRODUCT((Portfolio!$L148=U$4)*(Portfolio!$L150))</f>
        <v>0</v>
      </c>
      <c r="V109" s="96">
        <f>SUMPRODUCT((Portfolio!$L148=V$4)*(Portfolio!$L150))</f>
        <v>0</v>
      </c>
      <c r="W109" s="97">
        <f>SUMPRODUCT((Portfolio!$L148=W$4)*(Portfolio!$L150))</f>
        <v>0</v>
      </c>
      <c r="X109" s="96">
        <f>SUMPRODUCT((Portfolio!$L148=X$4)*(Portfolio!$L150))</f>
        <v>0</v>
      </c>
      <c r="Y109" s="96">
        <f>SUMPRODUCT((Portfolio!$L148=Y$4)*(Portfolio!$L150))</f>
        <v>0</v>
      </c>
      <c r="Z109" s="96">
        <f>SUMPRODUCT((Portfolio!$L148=Z$4)*(Portfolio!$L150))</f>
        <v>0</v>
      </c>
      <c r="AA109" s="97">
        <f>SUMPRODUCT((Portfolio!$L148=AA$4)*(Portfolio!$L150))</f>
        <v>0</v>
      </c>
      <c r="AB109" s="96">
        <f>SUMPRODUCT((Portfolio!$L148=AB$4)*(Portfolio!$L150))</f>
        <v>0</v>
      </c>
      <c r="AC109" s="96">
        <f>SUMPRODUCT((Portfolio!$L148=AC$4)*(Portfolio!$L150))</f>
        <v>0</v>
      </c>
      <c r="AD109" s="96">
        <f>SUMPRODUCT((Portfolio!$L148=AD$4)*(Portfolio!$L150))</f>
        <v>0</v>
      </c>
      <c r="AE109" s="97">
        <f>SUMPRODUCT((Portfolio!$L148=AE$4)*(Portfolio!$L150))</f>
        <v>0</v>
      </c>
      <c r="AF109" s="96">
        <f>SUMPRODUCT((Portfolio!$L148=AF$4)*(Portfolio!$L150))</f>
        <v>0</v>
      </c>
      <c r="AG109" s="96">
        <f>SUMPRODUCT((Portfolio!$L148=AG$4)*(Portfolio!$L150))</f>
        <v>0</v>
      </c>
      <c r="AH109" s="96">
        <f>SUMPRODUCT((Portfolio!$L148=AH$4)*(Portfolio!$L150))</f>
        <v>0</v>
      </c>
      <c r="AI109" s="97">
        <f>SUMPRODUCT((Portfolio!$L148=AI$4)*(Portfolio!$L150))</f>
        <v>0</v>
      </c>
      <c r="AJ109" s="96">
        <f>SUMPRODUCT((Portfolio!$L148=AJ$4)*(Portfolio!$L150))</f>
        <v>0</v>
      </c>
      <c r="AK109" s="96">
        <f>SUMPRODUCT((Portfolio!$L148=AK$4)*(Portfolio!$L150))</f>
        <v>0</v>
      </c>
      <c r="AL109" s="96">
        <f>SUMPRODUCT((Portfolio!$L148=AL$4)*(Portfolio!$L150))</f>
        <v>0</v>
      </c>
      <c r="AM109" s="97">
        <f>SUMPRODUCT((Portfolio!$L148=AM$4)*(Portfolio!$L150))</f>
        <v>0</v>
      </c>
      <c r="AN109" s="96">
        <f>SUMPRODUCT((Portfolio!$L148=AN$4)*(Portfolio!$L150))</f>
        <v>0</v>
      </c>
      <c r="AO109" s="96">
        <f>SUMPRODUCT((Portfolio!$L148=AO$4)*(Portfolio!$L150))</f>
        <v>0</v>
      </c>
      <c r="AP109" s="96">
        <f>SUMPRODUCT((Portfolio!$L148=AP$4)*(Portfolio!$L150))</f>
        <v>0</v>
      </c>
      <c r="AQ109" s="97">
        <f>SUMPRODUCT((Portfolio!$L148=AQ$4)*(Portfolio!$L150))</f>
        <v>0</v>
      </c>
      <c r="AR109" s="96">
        <f>SUMPRODUCT((Portfolio!$L148=AR$4)*(Portfolio!$L150))</f>
        <v>0</v>
      </c>
      <c r="AS109" s="96">
        <f>SUMPRODUCT((Portfolio!$L148=AS$4)*(Portfolio!$L150))</f>
        <v>0</v>
      </c>
      <c r="AT109" s="96">
        <f>SUMPRODUCT((Portfolio!$L148=AT$4)*(Portfolio!$L150))</f>
        <v>0</v>
      </c>
      <c r="AU109" s="97">
        <f>SUMPRODUCT((Portfolio!$L148=AU$4)*(Portfolio!$L150))</f>
        <v>0</v>
      </c>
      <c r="AV109" s="96"/>
      <c r="AW109" s="96"/>
      <c r="AX109" s="96"/>
      <c r="AY109" s="99"/>
    </row>
    <row r="110" spans="1:51" ht="15.75" customHeight="1" x14ac:dyDescent="0.2">
      <c r="A110" s="83"/>
      <c r="B110" s="92">
        <f>IF(Portfolio!C151&lt;&gt;"",Portfolio!C151,"")</f>
        <v>49</v>
      </c>
      <c r="C110" s="93" t="str">
        <f>IF(Portfolio!D151&lt;&gt;"",Portfolio!D151,"")</f>
        <v/>
      </c>
      <c r="D110" s="94">
        <f>SUMPRODUCT((Portfolio!$L151=D$4)*(Portfolio!$L153))</f>
        <v>0</v>
      </c>
      <c r="E110" s="94">
        <f>SUMPRODUCT((Portfolio!$L151=E$4)*(Portfolio!$L153))</f>
        <v>0</v>
      </c>
      <c r="F110" s="96">
        <f>SUMPRODUCT((Portfolio!$L151=F$4)*(Portfolio!$L153))</f>
        <v>0</v>
      </c>
      <c r="G110" s="97">
        <f>SUMPRODUCT((Portfolio!$L151=G$4)*(Portfolio!$L153))</f>
        <v>0</v>
      </c>
      <c r="H110" s="94">
        <f>SUMPRODUCT((Portfolio!$L151=H$4)*(Portfolio!$L153))</f>
        <v>0</v>
      </c>
      <c r="I110" s="94">
        <f>SUMPRODUCT((Portfolio!$L151=I$4)*(Portfolio!$L153))</f>
        <v>0</v>
      </c>
      <c r="J110" s="96">
        <f>SUMPRODUCT((Portfolio!$L151=J$4)*(Portfolio!$L153))</f>
        <v>0</v>
      </c>
      <c r="K110" s="97">
        <f>SUMPRODUCT((Portfolio!$L151=K$4)*(Portfolio!$L153))</f>
        <v>0</v>
      </c>
      <c r="L110" s="96">
        <f>SUMPRODUCT((Portfolio!$L151=L$4)*(Portfolio!$L153))</f>
        <v>0</v>
      </c>
      <c r="M110" s="96">
        <f>SUMPRODUCT((Portfolio!$L151=M$4)*(Portfolio!$L153))</f>
        <v>0</v>
      </c>
      <c r="N110" s="96">
        <f>SUMPRODUCT((Portfolio!$L151=N$4)*(Portfolio!$L153))</f>
        <v>0</v>
      </c>
      <c r="O110" s="97">
        <f>SUMPRODUCT((Portfolio!$L151=O$4)*(Portfolio!$L153))</f>
        <v>0</v>
      </c>
      <c r="P110" s="96">
        <f>SUMPRODUCT((Portfolio!$L151=P$4)*(Portfolio!$L153))</f>
        <v>0</v>
      </c>
      <c r="Q110" s="96">
        <f>SUMPRODUCT((Portfolio!$L151=Q$4)*(Portfolio!$L153))</f>
        <v>0</v>
      </c>
      <c r="R110" s="96">
        <f>SUMPRODUCT((Portfolio!$L151=R$4)*(Portfolio!$L153))</f>
        <v>0</v>
      </c>
      <c r="S110" s="97">
        <f>SUMPRODUCT((Portfolio!$L151=S$4)*(Portfolio!$L153))</f>
        <v>0</v>
      </c>
      <c r="T110" s="96">
        <f>SUMPRODUCT((Portfolio!$L151=T$4)*(Portfolio!$L153))</f>
        <v>0</v>
      </c>
      <c r="U110" s="96">
        <f>SUMPRODUCT((Portfolio!$L151=U$4)*(Portfolio!$L153))</f>
        <v>0</v>
      </c>
      <c r="V110" s="96">
        <f>SUMPRODUCT((Portfolio!$L151=V$4)*(Portfolio!$L153))</f>
        <v>0</v>
      </c>
      <c r="W110" s="97">
        <f>SUMPRODUCT((Portfolio!$L151=W$4)*(Portfolio!$L153))</f>
        <v>0</v>
      </c>
      <c r="X110" s="96">
        <f>SUMPRODUCT((Portfolio!$L151=X$4)*(Portfolio!$L153))</f>
        <v>0</v>
      </c>
      <c r="Y110" s="96">
        <f>SUMPRODUCT((Portfolio!$L151=Y$4)*(Portfolio!$L153))</f>
        <v>0</v>
      </c>
      <c r="Z110" s="96">
        <f>SUMPRODUCT((Portfolio!$L151=Z$4)*(Portfolio!$L153))</f>
        <v>0</v>
      </c>
      <c r="AA110" s="97">
        <f>SUMPRODUCT((Portfolio!$L151=AA$4)*(Portfolio!$L153))</f>
        <v>0</v>
      </c>
      <c r="AB110" s="96">
        <f>SUMPRODUCT((Portfolio!$L151=AB$4)*(Portfolio!$L153))</f>
        <v>0</v>
      </c>
      <c r="AC110" s="96">
        <f>SUMPRODUCT((Portfolio!$L151=AC$4)*(Portfolio!$L153))</f>
        <v>0</v>
      </c>
      <c r="AD110" s="96">
        <f>SUMPRODUCT((Portfolio!$L151=AD$4)*(Portfolio!$L153))</f>
        <v>0</v>
      </c>
      <c r="AE110" s="97">
        <f>SUMPRODUCT((Portfolio!$L151=AE$4)*(Portfolio!$L153))</f>
        <v>0</v>
      </c>
      <c r="AF110" s="96">
        <f>SUMPRODUCT((Portfolio!$L151=AF$4)*(Portfolio!$L153))</f>
        <v>0</v>
      </c>
      <c r="AG110" s="96">
        <f>SUMPRODUCT((Portfolio!$L151=AG$4)*(Portfolio!$L153))</f>
        <v>0</v>
      </c>
      <c r="AH110" s="96">
        <f>SUMPRODUCT((Portfolio!$L151=AH$4)*(Portfolio!$L153))</f>
        <v>0</v>
      </c>
      <c r="AI110" s="97">
        <f>SUMPRODUCT((Portfolio!$L151=AI$4)*(Portfolio!$L153))</f>
        <v>0</v>
      </c>
      <c r="AJ110" s="96">
        <f>SUMPRODUCT((Portfolio!$L151=AJ$4)*(Portfolio!$L153))</f>
        <v>0</v>
      </c>
      <c r="AK110" s="96">
        <f>SUMPRODUCT((Portfolio!$L151=AK$4)*(Portfolio!$L153))</f>
        <v>0</v>
      </c>
      <c r="AL110" s="96">
        <f>SUMPRODUCT((Portfolio!$L151=AL$4)*(Portfolio!$L153))</f>
        <v>0</v>
      </c>
      <c r="AM110" s="97">
        <f>SUMPRODUCT((Portfolio!$L151=AM$4)*(Portfolio!$L153))</f>
        <v>0</v>
      </c>
      <c r="AN110" s="96">
        <f>SUMPRODUCT((Portfolio!$L151=AN$4)*(Portfolio!$L153))</f>
        <v>0</v>
      </c>
      <c r="AO110" s="96">
        <f>SUMPRODUCT((Portfolio!$L151=AO$4)*(Portfolio!$L153))</f>
        <v>0</v>
      </c>
      <c r="AP110" s="96">
        <f>SUMPRODUCT((Portfolio!$L151=AP$4)*(Portfolio!$L153))</f>
        <v>0</v>
      </c>
      <c r="AQ110" s="97">
        <f>SUMPRODUCT((Portfolio!$L151=AQ$4)*(Portfolio!$L153))</f>
        <v>0</v>
      </c>
      <c r="AR110" s="96">
        <f>SUMPRODUCT((Portfolio!$L151=AR$4)*(Portfolio!$L153))</f>
        <v>0</v>
      </c>
      <c r="AS110" s="96">
        <f>SUMPRODUCT((Portfolio!$L151=AS$4)*(Portfolio!$L153))</f>
        <v>0</v>
      </c>
      <c r="AT110" s="96">
        <f>SUMPRODUCT((Portfolio!$L151=AT$4)*(Portfolio!$L153))</f>
        <v>0</v>
      </c>
      <c r="AU110" s="97">
        <f>SUMPRODUCT((Portfolio!$L151=AU$4)*(Portfolio!$L153))</f>
        <v>0</v>
      </c>
      <c r="AV110" s="96"/>
      <c r="AW110" s="96"/>
      <c r="AX110" s="96"/>
      <c r="AY110" s="99"/>
    </row>
    <row r="111" spans="1:51" ht="15.75" customHeight="1" x14ac:dyDescent="0.2">
      <c r="A111" s="83"/>
      <c r="B111" s="92">
        <f>IF(Portfolio!C154&lt;&gt;"",Portfolio!C154,"")</f>
        <v>50</v>
      </c>
      <c r="C111" s="93" t="str">
        <f>IF(Portfolio!D154&lt;&gt;"",Portfolio!D154,"")</f>
        <v/>
      </c>
      <c r="D111" s="329">
        <f>SUMPRODUCT((Portfolio!$L154=D$4)*(Portfolio!$L156))</f>
        <v>0</v>
      </c>
      <c r="E111" s="329">
        <f>SUMPRODUCT((Portfolio!$L154=E$4)*(Portfolio!$L156))</f>
        <v>0</v>
      </c>
      <c r="F111" s="329">
        <f>SUMPRODUCT((Portfolio!$L154=F$4)*(Portfolio!$L156))</f>
        <v>0</v>
      </c>
      <c r="G111" s="257">
        <f>SUMPRODUCT((Portfolio!$L154=G$4)*(Portfolio!$L156))</f>
        <v>0</v>
      </c>
      <c r="H111" s="329">
        <f>SUMPRODUCT((Portfolio!$L154=H$4)*(Portfolio!$L156))</f>
        <v>0</v>
      </c>
      <c r="I111" s="329">
        <f>SUMPRODUCT((Portfolio!$L154=I$4)*(Portfolio!$L156))</f>
        <v>0</v>
      </c>
      <c r="J111" s="329">
        <f>SUMPRODUCT((Portfolio!$L154=J$4)*(Portfolio!$L156))</f>
        <v>0</v>
      </c>
      <c r="K111" s="257">
        <f>SUMPRODUCT((Portfolio!$L154=K$4)*(Portfolio!$L156))</f>
        <v>0</v>
      </c>
      <c r="L111" s="259">
        <f>SUMPRODUCT((Portfolio!$L154=L$4)*(Portfolio!$L156))</f>
        <v>0</v>
      </c>
      <c r="M111" s="259">
        <f>SUMPRODUCT((Portfolio!$L154=M$4)*(Portfolio!$L156))</f>
        <v>0</v>
      </c>
      <c r="N111" s="259">
        <f>SUMPRODUCT((Portfolio!$L154=N$4)*(Portfolio!$L156))</f>
        <v>0</v>
      </c>
      <c r="O111" s="263">
        <f>SUMPRODUCT((Portfolio!$L154=O$4)*(Portfolio!$L156))</f>
        <v>0</v>
      </c>
      <c r="P111" s="259">
        <f>SUMPRODUCT((Portfolio!$L154=P$4)*(Portfolio!$L156))</f>
        <v>0</v>
      </c>
      <c r="Q111" s="259">
        <f>SUMPRODUCT((Portfolio!$L154=Q$4)*(Portfolio!$L156))</f>
        <v>0</v>
      </c>
      <c r="R111" s="259">
        <f>SUMPRODUCT((Portfolio!$L154=R$4)*(Portfolio!$L156))</f>
        <v>0</v>
      </c>
      <c r="S111" s="263">
        <f>SUMPRODUCT((Portfolio!$L154=S$4)*(Portfolio!$L156))</f>
        <v>0</v>
      </c>
      <c r="T111" s="259">
        <f>SUMPRODUCT((Portfolio!$L154=T$4)*(Portfolio!$L156))</f>
        <v>0</v>
      </c>
      <c r="U111" s="259">
        <f>SUMPRODUCT((Portfolio!$L154=U$4)*(Portfolio!$L156))</f>
        <v>0</v>
      </c>
      <c r="V111" s="259">
        <f>SUMPRODUCT((Portfolio!$L154=V$4)*(Portfolio!$L156))</f>
        <v>0</v>
      </c>
      <c r="W111" s="263">
        <f>SUMPRODUCT((Portfolio!$L154=W$4)*(Portfolio!$L156))</f>
        <v>0</v>
      </c>
      <c r="X111" s="259">
        <f>SUMPRODUCT((Portfolio!$L154=X$4)*(Portfolio!$L156))</f>
        <v>0</v>
      </c>
      <c r="Y111" s="259">
        <f>SUMPRODUCT((Portfolio!$L154=Y$4)*(Portfolio!$L156))</f>
        <v>0</v>
      </c>
      <c r="Z111" s="259">
        <f>SUMPRODUCT((Portfolio!$L154=Z$4)*(Portfolio!$L156))</f>
        <v>0</v>
      </c>
      <c r="AA111" s="263">
        <f>SUMPRODUCT((Portfolio!$L154=AA$4)*(Portfolio!$L156))</f>
        <v>0</v>
      </c>
      <c r="AB111" s="259">
        <f>SUMPRODUCT((Portfolio!$L154=AB$4)*(Portfolio!$L156))</f>
        <v>0</v>
      </c>
      <c r="AC111" s="259">
        <f>SUMPRODUCT((Portfolio!$L154=AC$4)*(Portfolio!$L156))</f>
        <v>0</v>
      </c>
      <c r="AD111" s="259">
        <f>SUMPRODUCT((Portfolio!$L154=AD$4)*(Portfolio!$L156))</f>
        <v>0</v>
      </c>
      <c r="AE111" s="263">
        <f>SUMPRODUCT((Portfolio!$L154=AE$4)*(Portfolio!$L156))</f>
        <v>0</v>
      </c>
      <c r="AF111" s="259">
        <f>SUMPRODUCT((Portfolio!$L154=AF$4)*(Portfolio!$L156))</f>
        <v>0</v>
      </c>
      <c r="AG111" s="259">
        <f>SUMPRODUCT((Portfolio!$L154=AG$4)*(Portfolio!$L156))</f>
        <v>0</v>
      </c>
      <c r="AH111" s="259">
        <f>SUMPRODUCT((Portfolio!$L154=AH$4)*(Portfolio!$L156))</f>
        <v>0</v>
      </c>
      <c r="AI111" s="263">
        <f>SUMPRODUCT((Portfolio!$L154=AI$4)*(Portfolio!$L156))</f>
        <v>0</v>
      </c>
      <c r="AJ111" s="259">
        <f>SUMPRODUCT((Portfolio!$L154=AJ$4)*(Portfolio!$L156))</f>
        <v>0</v>
      </c>
      <c r="AK111" s="259">
        <f>SUMPRODUCT((Portfolio!$L154=AK$4)*(Portfolio!$L156))</f>
        <v>0</v>
      </c>
      <c r="AL111" s="259">
        <f>SUMPRODUCT((Portfolio!$L154=AL$4)*(Portfolio!$L156))</f>
        <v>0</v>
      </c>
      <c r="AM111" s="263">
        <f>SUMPRODUCT((Portfolio!$L154=AM$4)*(Portfolio!$L156))</f>
        <v>0</v>
      </c>
      <c r="AN111" s="259">
        <f>SUMPRODUCT((Portfolio!$L154=AN$4)*(Portfolio!$L156))</f>
        <v>0</v>
      </c>
      <c r="AO111" s="259">
        <f>SUMPRODUCT((Portfolio!$L154=AO$4)*(Portfolio!$L156))</f>
        <v>0</v>
      </c>
      <c r="AP111" s="259">
        <f>SUMPRODUCT((Portfolio!$L154=AP$4)*(Portfolio!$L156))</f>
        <v>0</v>
      </c>
      <c r="AQ111" s="263">
        <f>SUMPRODUCT((Portfolio!$L154=AQ$4)*(Portfolio!$L156))</f>
        <v>0</v>
      </c>
      <c r="AR111" s="259">
        <f>SUMPRODUCT((Portfolio!$L154=AR$4)*(Portfolio!$L156))</f>
        <v>0</v>
      </c>
      <c r="AS111" s="259">
        <f>SUMPRODUCT((Portfolio!$L154=AS$4)*(Portfolio!$L156))</f>
        <v>0</v>
      </c>
      <c r="AT111" s="259">
        <f>SUMPRODUCT((Portfolio!$L154=AT$4)*(Portfolio!$L156))</f>
        <v>0</v>
      </c>
      <c r="AU111" s="263">
        <f>SUMPRODUCT((Portfolio!$L154=AU$4)*(Portfolio!$L156))</f>
        <v>0</v>
      </c>
      <c r="AV111" s="259"/>
      <c r="AW111" s="259"/>
      <c r="AX111" s="259"/>
      <c r="AY111" s="99"/>
    </row>
    <row r="112" spans="1:51" ht="15.75" customHeight="1" x14ac:dyDescent="0.2">
      <c r="A112" s="83"/>
      <c r="B112" s="262" t="s">
        <v>161</v>
      </c>
      <c r="C112" s="276"/>
      <c r="D112" s="330">
        <f ca="1">SUM(D62:D110)</f>
        <v>0</v>
      </c>
      <c r="E112" s="330">
        <f t="shared" ref="E112:G112" ca="1" si="12">SUM(E62:E111)</f>
        <v>0</v>
      </c>
      <c r="F112" s="330">
        <f t="shared" ca="1" si="12"/>
        <v>0</v>
      </c>
      <c r="G112" s="282">
        <f t="shared" ca="1" si="12"/>
        <v>0</v>
      </c>
      <c r="H112" s="330">
        <f ca="1">SUM(H62:H110)</f>
        <v>0</v>
      </c>
      <c r="I112" s="330">
        <f t="shared" ref="I112:K112" ca="1" si="13">SUM(I62:I111)</f>
        <v>0</v>
      </c>
      <c r="J112" s="330">
        <f t="shared" ca="1" si="13"/>
        <v>0</v>
      </c>
      <c r="K112" s="331">
        <f t="shared" ca="1" si="13"/>
        <v>0</v>
      </c>
      <c r="L112" s="332">
        <f ca="1">SUM(L62:L110)</f>
        <v>0</v>
      </c>
      <c r="M112" s="332">
        <f t="shared" ref="M112:O112" ca="1" si="14">SUM(M62:M111)</f>
        <v>0</v>
      </c>
      <c r="N112" s="332">
        <f t="shared" ca="1" si="14"/>
        <v>0</v>
      </c>
      <c r="O112" s="331">
        <f t="shared" ca="1" si="14"/>
        <v>0</v>
      </c>
      <c r="P112" s="332">
        <f ca="1">SUM(P62:P110)</f>
        <v>0</v>
      </c>
      <c r="Q112" s="332">
        <f t="shared" ref="Q112:S112" ca="1" si="15">SUM(Q62:Q111)</f>
        <v>0</v>
      </c>
      <c r="R112" s="332">
        <f t="shared" ca="1" si="15"/>
        <v>0</v>
      </c>
      <c r="S112" s="333">
        <f t="shared" ca="1" si="15"/>
        <v>0</v>
      </c>
      <c r="T112" s="332">
        <f ca="1">SUM(T62:T110)</f>
        <v>0</v>
      </c>
      <c r="U112" s="332">
        <f t="shared" ref="U112:W112" ca="1" si="16">SUM(U62:U111)</f>
        <v>0</v>
      </c>
      <c r="V112" s="332">
        <f t="shared" ca="1" si="16"/>
        <v>0</v>
      </c>
      <c r="W112" s="333">
        <f t="shared" ca="1" si="16"/>
        <v>0</v>
      </c>
      <c r="X112" s="332">
        <f ca="1">SUM(X62:X110)</f>
        <v>0</v>
      </c>
      <c r="Y112" s="332">
        <f t="shared" ref="Y112:AA112" ca="1" si="17">SUM(Y62:Y111)</f>
        <v>0</v>
      </c>
      <c r="Z112" s="332">
        <f t="shared" ca="1" si="17"/>
        <v>0</v>
      </c>
      <c r="AA112" s="333">
        <f t="shared" ca="1" si="17"/>
        <v>0</v>
      </c>
      <c r="AB112" s="332">
        <f ca="1">SUM(AB62:AB110)</f>
        <v>0</v>
      </c>
      <c r="AC112" s="332">
        <f t="shared" ref="AC112:AE112" ca="1" si="18">SUM(AC62:AC111)</f>
        <v>0</v>
      </c>
      <c r="AD112" s="332">
        <f t="shared" ca="1" si="18"/>
        <v>0</v>
      </c>
      <c r="AE112" s="333">
        <f t="shared" ca="1" si="18"/>
        <v>0</v>
      </c>
      <c r="AF112" s="332">
        <f ca="1">SUM(AF62:AF110)</f>
        <v>0</v>
      </c>
      <c r="AG112" s="332">
        <f t="shared" ref="AG112:AI112" ca="1" si="19">SUM(AG62:AG111)</f>
        <v>0</v>
      </c>
      <c r="AH112" s="332">
        <f t="shared" ca="1" si="19"/>
        <v>0</v>
      </c>
      <c r="AI112" s="333">
        <f t="shared" ca="1" si="19"/>
        <v>0</v>
      </c>
      <c r="AJ112" s="332">
        <f ca="1">SUM(AJ62:AJ110)</f>
        <v>0</v>
      </c>
      <c r="AK112" s="332">
        <f t="shared" ref="AK112:AM112" ca="1" si="20">SUM(AK62:AK111)</f>
        <v>0</v>
      </c>
      <c r="AL112" s="332">
        <f t="shared" ca="1" si="20"/>
        <v>0</v>
      </c>
      <c r="AM112" s="333">
        <f t="shared" ca="1" si="20"/>
        <v>0</v>
      </c>
      <c r="AN112" s="332">
        <f ca="1">SUM(AN62:AN110)</f>
        <v>0</v>
      </c>
      <c r="AO112" s="332">
        <f t="shared" ref="AO112:AQ112" ca="1" si="21">SUM(AO62:AO111)</f>
        <v>0</v>
      </c>
      <c r="AP112" s="332">
        <f t="shared" ca="1" si="21"/>
        <v>0</v>
      </c>
      <c r="AQ112" s="333">
        <f t="shared" ca="1" si="21"/>
        <v>0</v>
      </c>
      <c r="AR112" s="332">
        <f ca="1">SUM(AR62:AR110)</f>
        <v>0</v>
      </c>
      <c r="AS112" s="332">
        <f t="shared" ref="AS112:AU112" ca="1" si="22">SUM(AS62:AS111)</f>
        <v>0</v>
      </c>
      <c r="AT112" s="332">
        <f t="shared" ca="1" si="22"/>
        <v>0</v>
      </c>
      <c r="AU112" s="333">
        <f t="shared" ca="1" si="22"/>
        <v>0</v>
      </c>
      <c r="AV112" s="332"/>
      <c r="AW112" s="332"/>
      <c r="AX112" s="332"/>
      <c r="AY112" s="285"/>
    </row>
    <row r="113" spans="1:51" ht="15.75" customHeight="1" x14ac:dyDescent="0.2">
      <c r="A113" s="83"/>
      <c r="B113" s="287"/>
      <c r="C113" s="93"/>
      <c r="D113" s="94"/>
      <c r="E113" s="94"/>
      <c r="F113" s="94"/>
      <c r="G113" s="288"/>
      <c r="H113" s="94"/>
      <c r="I113" s="94"/>
      <c r="J113" s="94"/>
      <c r="K113" s="95"/>
      <c r="L113" s="94"/>
      <c r="M113" s="94"/>
      <c r="N113" s="94"/>
      <c r="O113" s="95"/>
      <c r="P113" s="94"/>
      <c r="Q113" s="94"/>
      <c r="R113" s="94"/>
      <c r="S113" s="288"/>
      <c r="T113" s="94"/>
      <c r="U113" s="94"/>
      <c r="V113" s="94"/>
      <c r="W113" s="288"/>
      <c r="X113" s="94"/>
      <c r="Y113" s="94"/>
      <c r="Z113" s="94"/>
      <c r="AA113" s="288"/>
      <c r="AB113" s="94"/>
      <c r="AC113" s="94"/>
      <c r="AD113" s="94"/>
      <c r="AE113" s="288"/>
      <c r="AF113" s="94"/>
      <c r="AG113" s="94"/>
      <c r="AH113" s="94"/>
      <c r="AI113" s="288"/>
      <c r="AJ113" s="94"/>
      <c r="AK113" s="94"/>
      <c r="AL113" s="94"/>
      <c r="AM113" s="288"/>
      <c r="AN113" s="94"/>
      <c r="AO113" s="94"/>
      <c r="AP113" s="94"/>
      <c r="AQ113" s="288"/>
      <c r="AR113" s="94"/>
      <c r="AS113" s="94"/>
      <c r="AT113" s="94"/>
      <c r="AU113" s="288"/>
      <c r="AV113" s="98"/>
      <c r="AW113" s="98"/>
      <c r="AX113" s="98"/>
      <c r="AY113" s="99"/>
    </row>
    <row r="114" spans="1:51" ht="15.75" customHeight="1" x14ac:dyDescent="0.2">
      <c r="A114" s="83" t="s">
        <v>30</v>
      </c>
      <c r="B114" s="39" t="s">
        <v>162</v>
      </c>
      <c r="C114" s="334"/>
      <c r="D114" s="335"/>
      <c r="E114" s="39"/>
      <c r="F114" s="39"/>
      <c r="G114" s="336"/>
      <c r="H114" s="39"/>
      <c r="I114" s="39"/>
      <c r="J114" s="39"/>
      <c r="K114" s="337"/>
      <c r="L114" s="39"/>
      <c r="M114" s="39"/>
      <c r="N114" s="39"/>
      <c r="O114" s="337"/>
      <c r="P114" s="39"/>
      <c r="Q114" s="39"/>
      <c r="R114" s="39"/>
      <c r="S114" s="336"/>
      <c r="T114" s="39"/>
      <c r="U114" s="39"/>
      <c r="V114" s="39"/>
      <c r="W114" s="336"/>
      <c r="X114" s="39"/>
      <c r="Y114" s="39"/>
      <c r="Z114" s="39"/>
      <c r="AA114" s="336"/>
      <c r="AB114" s="39"/>
      <c r="AC114" s="39"/>
      <c r="AD114" s="39"/>
      <c r="AE114" s="336"/>
      <c r="AF114" s="39"/>
      <c r="AG114" s="39"/>
      <c r="AH114" s="39"/>
      <c r="AI114" s="336"/>
      <c r="AJ114" s="39"/>
      <c r="AK114" s="39"/>
      <c r="AL114" s="39"/>
      <c r="AM114" s="336"/>
      <c r="AN114" s="39"/>
      <c r="AO114" s="39"/>
      <c r="AP114" s="39"/>
      <c r="AQ114" s="336"/>
      <c r="AR114" s="39"/>
      <c r="AS114" s="39"/>
      <c r="AT114" s="39"/>
      <c r="AU114" s="336"/>
      <c r="AV114" s="338"/>
      <c r="AW114" s="338"/>
      <c r="AX114" s="338"/>
      <c r="AY114" s="339"/>
    </row>
    <row r="115" spans="1:51" ht="15.75" customHeight="1" x14ac:dyDescent="0.2">
      <c r="A115" s="83"/>
      <c r="B115" s="287"/>
      <c r="C115" s="73" t="str">
        <f>'Summary and Assumptions'!C147</f>
        <v>Expense line item #1</v>
      </c>
      <c r="D115" s="340">
        <f>'Summary and Assumptions'!$D$147</f>
        <v>5000</v>
      </c>
      <c r="E115" s="341">
        <f>'Summary and Assumptions'!$D$147</f>
        <v>5000</v>
      </c>
      <c r="F115" s="341">
        <f>'Summary and Assumptions'!$D$147</f>
        <v>5000</v>
      </c>
      <c r="G115" s="342">
        <f>'Summary and Assumptions'!$D$147</f>
        <v>5000</v>
      </c>
      <c r="H115" s="340">
        <f>'Summary and Assumptions'!$D$147</f>
        <v>5000</v>
      </c>
      <c r="I115" s="341">
        <f>'Summary and Assumptions'!$D$147</f>
        <v>5000</v>
      </c>
      <c r="J115" s="343">
        <f>'Summary and Assumptions'!$D$147</f>
        <v>5000</v>
      </c>
      <c r="K115" s="97">
        <f>'Summary and Assumptions'!$D$147</f>
        <v>5000</v>
      </c>
      <c r="L115" s="344">
        <f>'Summary and Assumptions'!$D$147</f>
        <v>5000</v>
      </c>
      <c r="M115" s="344">
        <f>'Summary and Assumptions'!$D$147</f>
        <v>5000</v>
      </c>
      <c r="N115" s="344">
        <f>'Summary and Assumptions'!$D$147</f>
        <v>5000</v>
      </c>
      <c r="O115" s="97">
        <f>'Summary and Assumptions'!$D$147</f>
        <v>5000</v>
      </c>
      <c r="P115" s="344">
        <f>'Summary and Assumptions'!$D$147</f>
        <v>5000</v>
      </c>
      <c r="Q115" s="344">
        <f>'Summary and Assumptions'!$D$147</f>
        <v>5000</v>
      </c>
      <c r="R115" s="344">
        <f>'Summary and Assumptions'!$D$147</f>
        <v>5000</v>
      </c>
      <c r="S115" s="97">
        <f>'Summary and Assumptions'!$D$147</f>
        <v>5000</v>
      </c>
      <c r="T115" s="344">
        <f>'Summary and Assumptions'!$D$147</f>
        <v>5000</v>
      </c>
      <c r="U115" s="344">
        <f>'Summary and Assumptions'!$D$147</f>
        <v>5000</v>
      </c>
      <c r="V115" s="344">
        <f>'Summary and Assumptions'!$D$147</f>
        <v>5000</v>
      </c>
      <c r="W115" s="97">
        <f>'Summary and Assumptions'!$D$147</f>
        <v>5000</v>
      </c>
      <c r="X115" s="344">
        <f>'Summary and Assumptions'!$D$147</f>
        <v>5000</v>
      </c>
      <c r="Y115" s="344">
        <f>'Summary and Assumptions'!$D$147</f>
        <v>5000</v>
      </c>
      <c r="Z115" s="344">
        <f>'Summary and Assumptions'!$D$147</f>
        <v>5000</v>
      </c>
      <c r="AA115" s="97">
        <f>'Summary and Assumptions'!$D$147</f>
        <v>5000</v>
      </c>
      <c r="AB115" s="344">
        <f>'Summary and Assumptions'!$D$147</f>
        <v>5000</v>
      </c>
      <c r="AC115" s="344">
        <f>'Summary and Assumptions'!$D$147</f>
        <v>5000</v>
      </c>
      <c r="AD115" s="344">
        <f>'Summary and Assumptions'!$D$147</f>
        <v>5000</v>
      </c>
      <c r="AE115" s="97">
        <f>'Summary and Assumptions'!$D$147</f>
        <v>5000</v>
      </c>
      <c r="AF115" s="344">
        <f>'Summary and Assumptions'!$D$147</f>
        <v>5000</v>
      </c>
      <c r="AG115" s="344">
        <f>'Summary and Assumptions'!$D$147</f>
        <v>5000</v>
      </c>
      <c r="AH115" s="344">
        <f>'Summary and Assumptions'!$D$147</f>
        <v>5000</v>
      </c>
      <c r="AI115" s="97">
        <f>'Summary and Assumptions'!$D$147</f>
        <v>5000</v>
      </c>
      <c r="AJ115" s="344">
        <f>'Summary and Assumptions'!$D$147</f>
        <v>5000</v>
      </c>
      <c r="AK115" s="344">
        <f>'Summary and Assumptions'!$D$147</f>
        <v>5000</v>
      </c>
      <c r="AL115" s="344">
        <f>'Summary and Assumptions'!$D$147</f>
        <v>5000</v>
      </c>
      <c r="AM115" s="97">
        <f>'Summary and Assumptions'!$D$147</f>
        <v>5000</v>
      </c>
      <c r="AN115" s="344">
        <f>'Summary and Assumptions'!$D$147</f>
        <v>5000</v>
      </c>
      <c r="AO115" s="344">
        <f>'Summary and Assumptions'!$D$147</f>
        <v>5000</v>
      </c>
      <c r="AP115" s="344">
        <f>'Summary and Assumptions'!$D$147</f>
        <v>5000</v>
      </c>
      <c r="AQ115" s="97">
        <f>'Summary and Assumptions'!$D$147</f>
        <v>5000</v>
      </c>
      <c r="AR115" s="344">
        <f>'Summary and Assumptions'!$D$147</f>
        <v>5000</v>
      </c>
      <c r="AS115" s="344">
        <f>'Summary and Assumptions'!$D$147</f>
        <v>5000</v>
      </c>
      <c r="AT115" s="344">
        <f>'Summary and Assumptions'!$D$147</f>
        <v>5000</v>
      </c>
      <c r="AU115" s="288">
        <f>'Summary and Assumptions'!$D$147</f>
        <v>5000</v>
      </c>
      <c r="AV115" s="99"/>
      <c r="AW115" s="99"/>
      <c r="AX115" s="99"/>
      <c r="AY115" s="99"/>
    </row>
    <row r="116" spans="1:51" ht="15.75" customHeight="1" x14ac:dyDescent="0.2">
      <c r="A116" s="83"/>
      <c r="B116" s="287"/>
      <c r="C116" s="73" t="str">
        <f>'Summary and Assumptions'!C148</f>
        <v>Expense line item #2</v>
      </c>
      <c r="D116" s="345">
        <f>'Summary and Assumptions'!$D$148</f>
        <v>5000</v>
      </c>
      <c r="E116" s="346">
        <f>'Summary and Assumptions'!$D$148</f>
        <v>5000</v>
      </c>
      <c r="F116" s="346">
        <f>'Summary and Assumptions'!$D$148</f>
        <v>5000</v>
      </c>
      <c r="G116" s="347">
        <f>'Summary and Assumptions'!$D$148</f>
        <v>5000</v>
      </c>
      <c r="H116" s="345">
        <f>'Summary and Assumptions'!$D$148</f>
        <v>5000</v>
      </c>
      <c r="I116" s="346">
        <f>'Summary and Assumptions'!$D$148</f>
        <v>5000</v>
      </c>
      <c r="J116" s="348">
        <f>'Summary and Assumptions'!$D$148</f>
        <v>5000</v>
      </c>
      <c r="K116" s="97">
        <f>'Summary and Assumptions'!$D$148</f>
        <v>5000</v>
      </c>
      <c r="L116" s="344">
        <f>'Summary and Assumptions'!$D$148</f>
        <v>5000</v>
      </c>
      <c r="M116" s="344">
        <f>'Summary and Assumptions'!$D$148</f>
        <v>5000</v>
      </c>
      <c r="N116" s="344">
        <f>'Summary and Assumptions'!$D$148</f>
        <v>5000</v>
      </c>
      <c r="O116" s="97">
        <f>'Summary and Assumptions'!$D$148</f>
        <v>5000</v>
      </c>
      <c r="P116" s="344">
        <f>'Summary and Assumptions'!$D$148</f>
        <v>5000</v>
      </c>
      <c r="Q116" s="344">
        <f>'Summary and Assumptions'!$D$148</f>
        <v>5000</v>
      </c>
      <c r="R116" s="344">
        <f>'Summary and Assumptions'!$D$148</f>
        <v>5000</v>
      </c>
      <c r="S116" s="97">
        <f>'Summary and Assumptions'!$D$148</f>
        <v>5000</v>
      </c>
      <c r="T116" s="344">
        <f>'Summary and Assumptions'!$D$148</f>
        <v>5000</v>
      </c>
      <c r="U116" s="344">
        <f>'Summary and Assumptions'!$D$148</f>
        <v>5000</v>
      </c>
      <c r="V116" s="344">
        <f>'Summary and Assumptions'!$D$148</f>
        <v>5000</v>
      </c>
      <c r="W116" s="97">
        <f>'Summary and Assumptions'!$D$148</f>
        <v>5000</v>
      </c>
      <c r="X116" s="344">
        <f>'Summary and Assumptions'!$D$148</f>
        <v>5000</v>
      </c>
      <c r="Y116" s="344">
        <f>'Summary and Assumptions'!$D$148</f>
        <v>5000</v>
      </c>
      <c r="Z116" s="344">
        <f>'Summary and Assumptions'!$D$148</f>
        <v>5000</v>
      </c>
      <c r="AA116" s="97">
        <f>'Summary and Assumptions'!$D$148</f>
        <v>5000</v>
      </c>
      <c r="AB116" s="344">
        <f>'Summary and Assumptions'!$D$148</f>
        <v>5000</v>
      </c>
      <c r="AC116" s="344">
        <f>'Summary and Assumptions'!$D$148</f>
        <v>5000</v>
      </c>
      <c r="AD116" s="344">
        <f>'Summary and Assumptions'!$D$148</f>
        <v>5000</v>
      </c>
      <c r="AE116" s="97">
        <f>'Summary and Assumptions'!$D$148</f>
        <v>5000</v>
      </c>
      <c r="AF116" s="344">
        <f>'Summary and Assumptions'!$D$148</f>
        <v>5000</v>
      </c>
      <c r="AG116" s="344">
        <f>'Summary and Assumptions'!$D$148</f>
        <v>5000</v>
      </c>
      <c r="AH116" s="344">
        <f>'Summary and Assumptions'!$D$148</f>
        <v>5000</v>
      </c>
      <c r="AI116" s="97">
        <f>'Summary and Assumptions'!$D$148</f>
        <v>5000</v>
      </c>
      <c r="AJ116" s="344">
        <f>'Summary and Assumptions'!$D$148</f>
        <v>5000</v>
      </c>
      <c r="AK116" s="344">
        <f>'Summary and Assumptions'!$D$148</f>
        <v>5000</v>
      </c>
      <c r="AL116" s="344">
        <f>'Summary and Assumptions'!$D$148</f>
        <v>5000</v>
      </c>
      <c r="AM116" s="97">
        <f>'Summary and Assumptions'!$D$148</f>
        <v>5000</v>
      </c>
      <c r="AN116" s="344">
        <f>'Summary and Assumptions'!$D$148</f>
        <v>5000</v>
      </c>
      <c r="AO116" s="344">
        <f>'Summary and Assumptions'!$D$148</f>
        <v>5000</v>
      </c>
      <c r="AP116" s="344">
        <f>'Summary and Assumptions'!$D$148</f>
        <v>5000</v>
      </c>
      <c r="AQ116" s="97">
        <f>'Summary and Assumptions'!$D$148</f>
        <v>5000</v>
      </c>
      <c r="AR116" s="344">
        <f>'Summary and Assumptions'!$D$148</f>
        <v>5000</v>
      </c>
      <c r="AS116" s="344">
        <f>'Summary and Assumptions'!$D$148</f>
        <v>5000</v>
      </c>
      <c r="AT116" s="344">
        <f>'Summary and Assumptions'!$D$148</f>
        <v>5000</v>
      </c>
      <c r="AU116" s="288">
        <f>'Summary and Assumptions'!$D$148</f>
        <v>5000</v>
      </c>
      <c r="AV116" s="99"/>
      <c r="AW116" s="99"/>
      <c r="AX116" s="99"/>
      <c r="AY116" s="99"/>
    </row>
    <row r="117" spans="1:51" ht="15.75" customHeight="1" x14ac:dyDescent="0.2">
      <c r="A117" s="83"/>
      <c r="B117" s="287"/>
      <c r="C117" s="73" t="str">
        <f>'Summary and Assumptions'!C149</f>
        <v>Expense line item #3</v>
      </c>
      <c r="D117" s="346">
        <f>'Summary and Assumptions'!$D$149</f>
        <v>5000</v>
      </c>
      <c r="E117" s="346">
        <f>'Summary and Assumptions'!$D$149</f>
        <v>5000</v>
      </c>
      <c r="F117" s="346">
        <f>'Summary and Assumptions'!$D$149</f>
        <v>5000</v>
      </c>
      <c r="G117" s="347">
        <f>'Summary and Assumptions'!$D$149</f>
        <v>5000</v>
      </c>
      <c r="H117" s="346">
        <f>'Summary and Assumptions'!$D$149</f>
        <v>5000</v>
      </c>
      <c r="I117" s="346">
        <f>'Summary and Assumptions'!$D$149</f>
        <v>5000</v>
      </c>
      <c r="J117" s="348">
        <f>'Summary and Assumptions'!$D$149</f>
        <v>5000</v>
      </c>
      <c r="K117" s="97">
        <f>'Summary and Assumptions'!$D$149</f>
        <v>5000</v>
      </c>
      <c r="L117" s="344">
        <f>'Summary and Assumptions'!$D$149</f>
        <v>5000</v>
      </c>
      <c r="M117" s="344">
        <f>'Summary and Assumptions'!$D$149</f>
        <v>5000</v>
      </c>
      <c r="N117" s="344">
        <f>'Summary and Assumptions'!$D$149</f>
        <v>5000</v>
      </c>
      <c r="O117" s="97">
        <f>'Summary and Assumptions'!$D$149</f>
        <v>5000</v>
      </c>
      <c r="P117" s="344">
        <f>'Summary and Assumptions'!$D$149</f>
        <v>5000</v>
      </c>
      <c r="Q117" s="344">
        <f>'Summary and Assumptions'!$D$149</f>
        <v>5000</v>
      </c>
      <c r="R117" s="344">
        <f>'Summary and Assumptions'!$D$149</f>
        <v>5000</v>
      </c>
      <c r="S117" s="97">
        <f>'Summary and Assumptions'!$D$149</f>
        <v>5000</v>
      </c>
      <c r="T117" s="344">
        <f>'Summary and Assumptions'!$D$149</f>
        <v>5000</v>
      </c>
      <c r="U117" s="344">
        <f>'Summary and Assumptions'!$D$149</f>
        <v>5000</v>
      </c>
      <c r="V117" s="344">
        <f>'Summary and Assumptions'!$D$149</f>
        <v>5000</v>
      </c>
      <c r="W117" s="97">
        <f>'Summary and Assumptions'!$D$149</f>
        <v>5000</v>
      </c>
      <c r="X117" s="344">
        <f>'Summary and Assumptions'!$D$149</f>
        <v>5000</v>
      </c>
      <c r="Y117" s="344">
        <f>'Summary and Assumptions'!$D$149</f>
        <v>5000</v>
      </c>
      <c r="Z117" s="344">
        <f>'Summary and Assumptions'!$D$149</f>
        <v>5000</v>
      </c>
      <c r="AA117" s="97">
        <f>'Summary and Assumptions'!$D$149</f>
        <v>5000</v>
      </c>
      <c r="AB117" s="344">
        <f>'Summary and Assumptions'!$D$149</f>
        <v>5000</v>
      </c>
      <c r="AC117" s="344">
        <f>'Summary and Assumptions'!$D$149</f>
        <v>5000</v>
      </c>
      <c r="AD117" s="344">
        <f>'Summary and Assumptions'!$D$149</f>
        <v>5000</v>
      </c>
      <c r="AE117" s="97">
        <f>'Summary and Assumptions'!$D$149</f>
        <v>5000</v>
      </c>
      <c r="AF117" s="344">
        <f>'Summary and Assumptions'!$D$149</f>
        <v>5000</v>
      </c>
      <c r="AG117" s="344">
        <f>'Summary and Assumptions'!$D$149</f>
        <v>5000</v>
      </c>
      <c r="AH117" s="344">
        <f>'Summary and Assumptions'!$D$149</f>
        <v>5000</v>
      </c>
      <c r="AI117" s="97">
        <f>'Summary and Assumptions'!$D$149</f>
        <v>5000</v>
      </c>
      <c r="AJ117" s="344">
        <f>'Summary and Assumptions'!$D$149</f>
        <v>5000</v>
      </c>
      <c r="AK117" s="344">
        <f>'Summary and Assumptions'!$D$149</f>
        <v>5000</v>
      </c>
      <c r="AL117" s="344">
        <f>'Summary and Assumptions'!$D$149</f>
        <v>5000</v>
      </c>
      <c r="AM117" s="97">
        <f>'Summary and Assumptions'!$D$149</f>
        <v>5000</v>
      </c>
      <c r="AN117" s="344">
        <f>'Summary and Assumptions'!$D$149</f>
        <v>5000</v>
      </c>
      <c r="AO117" s="344">
        <f>'Summary and Assumptions'!$D$149</f>
        <v>5000</v>
      </c>
      <c r="AP117" s="344">
        <f>'Summary and Assumptions'!$D$149</f>
        <v>5000</v>
      </c>
      <c r="AQ117" s="97">
        <f>'Summary and Assumptions'!$D$149</f>
        <v>5000</v>
      </c>
      <c r="AR117" s="344">
        <f>'Summary and Assumptions'!$D$149</f>
        <v>5000</v>
      </c>
      <c r="AS117" s="344">
        <f>'Summary and Assumptions'!$D$149</f>
        <v>5000</v>
      </c>
      <c r="AT117" s="344">
        <f>'Summary and Assumptions'!$D$149</f>
        <v>5000</v>
      </c>
      <c r="AU117" s="288">
        <f>'Summary and Assumptions'!$D$149</f>
        <v>5000</v>
      </c>
      <c r="AV117" s="349"/>
      <c r="AW117" s="349"/>
      <c r="AX117" s="349"/>
      <c r="AY117" s="99"/>
    </row>
    <row r="118" spans="1:51" ht="15.75" customHeight="1" x14ac:dyDescent="0.2">
      <c r="A118" s="83"/>
      <c r="B118" s="287"/>
      <c r="C118" s="73" t="str">
        <f>'Summary and Assumptions'!C150</f>
        <v>Expense line item #4</v>
      </c>
      <c r="D118" s="346">
        <f>'Summary and Assumptions'!$D$150</f>
        <v>5000</v>
      </c>
      <c r="E118" s="346">
        <f>'Summary and Assumptions'!$D$150</f>
        <v>5000</v>
      </c>
      <c r="F118" s="346">
        <f>'Summary and Assumptions'!$D$150</f>
        <v>5000</v>
      </c>
      <c r="G118" s="347">
        <f>'Summary and Assumptions'!$D$150</f>
        <v>5000</v>
      </c>
      <c r="H118" s="346">
        <f>'Summary and Assumptions'!$D$150</f>
        <v>5000</v>
      </c>
      <c r="I118" s="346">
        <f>'Summary and Assumptions'!$D$150</f>
        <v>5000</v>
      </c>
      <c r="J118" s="348">
        <f>'Summary and Assumptions'!$D$150</f>
        <v>5000</v>
      </c>
      <c r="K118" s="97">
        <f>'Summary and Assumptions'!$D$150</f>
        <v>5000</v>
      </c>
      <c r="L118" s="344">
        <f>'Summary and Assumptions'!$D$150</f>
        <v>5000</v>
      </c>
      <c r="M118" s="344">
        <f>'Summary and Assumptions'!$D$150</f>
        <v>5000</v>
      </c>
      <c r="N118" s="344">
        <f>'Summary and Assumptions'!$D$150</f>
        <v>5000</v>
      </c>
      <c r="O118" s="97">
        <f>'Summary and Assumptions'!$D$150</f>
        <v>5000</v>
      </c>
      <c r="P118" s="344">
        <f>'Summary and Assumptions'!$D$150</f>
        <v>5000</v>
      </c>
      <c r="Q118" s="344">
        <f>'Summary and Assumptions'!$D$150</f>
        <v>5000</v>
      </c>
      <c r="R118" s="344">
        <f>'Summary and Assumptions'!$D$150</f>
        <v>5000</v>
      </c>
      <c r="S118" s="97">
        <f>'Summary and Assumptions'!$D$150</f>
        <v>5000</v>
      </c>
      <c r="T118" s="344">
        <f>'Summary and Assumptions'!$D$150</f>
        <v>5000</v>
      </c>
      <c r="U118" s="344">
        <f>'Summary and Assumptions'!$D$150</f>
        <v>5000</v>
      </c>
      <c r="V118" s="344">
        <f>'Summary and Assumptions'!$D$150</f>
        <v>5000</v>
      </c>
      <c r="W118" s="97">
        <f>'Summary and Assumptions'!$D$150</f>
        <v>5000</v>
      </c>
      <c r="X118" s="344">
        <f>'Summary and Assumptions'!$D$150</f>
        <v>5000</v>
      </c>
      <c r="Y118" s="344">
        <f>'Summary and Assumptions'!$D$150</f>
        <v>5000</v>
      </c>
      <c r="Z118" s="344">
        <f>'Summary and Assumptions'!$D$150</f>
        <v>5000</v>
      </c>
      <c r="AA118" s="97">
        <f>'Summary and Assumptions'!$D$150</f>
        <v>5000</v>
      </c>
      <c r="AB118" s="344">
        <f>'Summary and Assumptions'!$D$150</f>
        <v>5000</v>
      </c>
      <c r="AC118" s="344">
        <f>'Summary and Assumptions'!$D$150</f>
        <v>5000</v>
      </c>
      <c r="AD118" s="344">
        <f>'Summary and Assumptions'!$D$150</f>
        <v>5000</v>
      </c>
      <c r="AE118" s="97">
        <f>'Summary and Assumptions'!$D$150</f>
        <v>5000</v>
      </c>
      <c r="AF118" s="344">
        <f>'Summary and Assumptions'!$D$150</f>
        <v>5000</v>
      </c>
      <c r="AG118" s="344">
        <f>'Summary and Assumptions'!$D$150</f>
        <v>5000</v>
      </c>
      <c r="AH118" s="344">
        <f>'Summary and Assumptions'!$D$150</f>
        <v>5000</v>
      </c>
      <c r="AI118" s="97">
        <f>'Summary and Assumptions'!$D$150</f>
        <v>5000</v>
      </c>
      <c r="AJ118" s="344">
        <f>'Summary and Assumptions'!$D$150</f>
        <v>5000</v>
      </c>
      <c r="AK118" s="344">
        <f>'Summary and Assumptions'!$D$150</f>
        <v>5000</v>
      </c>
      <c r="AL118" s="344">
        <f>'Summary and Assumptions'!$D$150</f>
        <v>5000</v>
      </c>
      <c r="AM118" s="97">
        <f>'Summary and Assumptions'!$D$150</f>
        <v>5000</v>
      </c>
      <c r="AN118" s="344">
        <f>'Summary and Assumptions'!$D$150</f>
        <v>5000</v>
      </c>
      <c r="AO118" s="344">
        <f>'Summary and Assumptions'!$D$150</f>
        <v>5000</v>
      </c>
      <c r="AP118" s="344">
        <f>'Summary and Assumptions'!$D$150</f>
        <v>5000</v>
      </c>
      <c r="AQ118" s="97">
        <f>'Summary and Assumptions'!$D$150</f>
        <v>5000</v>
      </c>
      <c r="AR118" s="344">
        <f>'Summary and Assumptions'!$D$150</f>
        <v>5000</v>
      </c>
      <c r="AS118" s="344">
        <f>'Summary and Assumptions'!$D$150</f>
        <v>5000</v>
      </c>
      <c r="AT118" s="344">
        <f>'Summary and Assumptions'!$D$150</f>
        <v>5000</v>
      </c>
      <c r="AU118" s="288">
        <f>'Summary and Assumptions'!$D$150</f>
        <v>5000</v>
      </c>
      <c r="AV118" s="349"/>
      <c r="AW118" s="349"/>
      <c r="AX118" s="349"/>
      <c r="AY118" s="99"/>
    </row>
    <row r="119" spans="1:51" ht="15.75" customHeight="1" x14ac:dyDescent="0.2">
      <c r="A119" s="83"/>
      <c r="B119" s="287"/>
      <c r="C119" s="73" t="str">
        <f>'Summary and Assumptions'!C151</f>
        <v>Expense line item #5</v>
      </c>
      <c r="D119" s="345">
        <f>'Summary and Assumptions'!$D$151</f>
        <v>5000</v>
      </c>
      <c r="E119" s="346">
        <f>'Summary and Assumptions'!$D$151</f>
        <v>5000</v>
      </c>
      <c r="F119" s="346">
        <f>'Summary and Assumptions'!$D$151</f>
        <v>5000</v>
      </c>
      <c r="G119" s="347">
        <f>'Summary and Assumptions'!$D$151</f>
        <v>5000</v>
      </c>
      <c r="H119" s="345">
        <f>'Summary and Assumptions'!$D$151</f>
        <v>5000</v>
      </c>
      <c r="I119" s="346">
        <f>'Summary and Assumptions'!$D$151</f>
        <v>5000</v>
      </c>
      <c r="J119" s="348">
        <f>'Summary and Assumptions'!$D$151</f>
        <v>5000</v>
      </c>
      <c r="K119" s="97">
        <f>'Summary and Assumptions'!$D$151</f>
        <v>5000</v>
      </c>
      <c r="L119" s="344">
        <f>'Summary and Assumptions'!$D$151</f>
        <v>5000</v>
      </c>
      <c r="M119" s="344">
        <f>'Summary and Assumptions'!$D$151</f>
        <v>5000</v>
      </c>
      <c r="N119" s="344">
        <f>'Summary and Assumptions'!$D$151</f>
        <v>5000</v>
      </c>
      <c r="O119" s="97">
        <f>'Summary and Assumptions'!$D$151</f>
        <v>5000</v>
      </c>
      <c r="P119" s="344">
        <f>'Summary and Assumptions'!$D$151</f>
        <v>5000</v>
      </c>
      <c r="Q119" s="344">
        <f>'Summary and Assumptions'!$D$151</f>
        <v>5000</v>
      </c>
      <c r="R119" s="344">
        <f>'Summary and Assumptions'!$D$151</f>
        <v>5000</v>
      </c>
      <c r="S119" s="97">
        <f>'Summary and Assumptions'!$D$151</f>
        <v>5000</v>
      </c>
      <c r="T119" s="344">
        <f>'Summary and Assumptions'!$D$151</f>
        <v>5000</v>
      </c>
      <c r="U119" s="344">
        <f>'Summary and Assumptions'!$D$151</f>
        <v>5000</v>
      </c>
      <c r="V119" s="344">
        <f>'Summary and Assumptions'!$D$151</f>
        <v>5000</v>
      </c>
      <c r="W119" s="97">
        <f>'Summary and Assumptions'!$D$151</f>
        <v>5000</v>
      </c>
      <c r="X119" s="344">
        <f>'Summary and Assumptions'!$D$151</f>
        <v>5000</v>
      </c>
      <c r="Y119" s="344">
        <f>'Summary and Assumptions'!$D$151</f>
        <v>5000</v>
      </c>
      <c r="Z119" s="344">
        <f>'Summary and Assumptions'!$D$151</f>
        <v>5000</v>
      </c>
      <c r="AA119" s="97">
        <f>'Summary and Assumptions'!$D$151</f>
        <v>5000</v>
      </c>
      <c r="AB119" s="344">
        <f>'Summary and Assumptions'!$D$151</f>
        <v>5000</v>
      </c>
      <c r="AC119" s="344">
        <f>'Summary and Assumptions'!$D$151</f>
        <v>5000</v>
      </c>
      <c r="AD119" s="344">
        <f>'Summary and Assumptions'!$D$151</f>
        <v>5000</v>
      </c>
      <c r="AE119" s="97">
        <f>'Summary and Assumptions'!$D$151</f>
        <v>5000</v>
      </c>
      <c r="AF119" s="344">
        <f>'Summary and Assumptions'!$D$151</f>
        <v>5000</v>
      </c>
      <c r="AG119" s="344">
        <f>'Summary and Assumptions'!$D$151</f>
        <v>5000</v>
      </c>
      <c r="AH119" s="344">
        <f>'Summary and Assumptions'!$D$151</f>
        <v>5000</v>
      </c>
      <c r="AI119" s="97">
        <f>'Summary and Assumptions'!$D$151</f>
        <v>5000</v>
      </c>
      <c r="AJ119" s="344">
        <f>'Summary and Assumptions'!$D$151</f>
        <v>5000</v>
      </c>
      <c r="AK119" s="344">
        <f>'Summary and Assumptions'!$D$151</f>
        <v>5000</v>
      </c>
      <c r="AL119" s="344">
        <f>'Summary and Assumptions'!$D$151</f>
        <v>5000</v>
      </c>
      <c r="AM119" s="97">
        <f>'Summary and Assumptions'!$D$151</f>
        <v>5000</v>
      </c>
      <c r="AN119" s="344">
        <f>'Summary and Assumptions'!$D$151</f>
        <v>5000</v>
      </c>
      <c r="AO119" s="344">
        <f>'Summary and Assumptions'!$D$151</f>
        <v>5000</v>
      </c>
      <c r="AP119" s="344">
        <f>'Summary and Assumptions'!$D$151</f>
        <v>5000</v>
      </c>
      <c r="AQ119" s="97">
        <f>'Summary and Assumptions'!$D$151</f>
        <v>5000</v>
      </c>
      <c r="AR119" s="344">
        <f>'Summary and Assumptions'!$D$151</f>
        <v>5000</v>
      </c>
      <c r="AS119" s="344">
        <f>'Summary and Assumptions'!$D$151</f>
        <v>5000</v>
      </c>
      <c r="AT119" s="344">
        <f>'Summary and Assumptions'!$D$151</f>
        <v>5000</v>
      </c>
      <c r="AU119" s="288">
        <f>'Summary and Assumptions'!$D$151</f>
        <v>5000</v>
      </c>
      <c r="AV119" s="99"/>
      <c r="AW119" s="99"/>
      <c r="AX119" s="99"/>
      <c r="AY119" s="99"/>
    </row>
    <row r="120" spans="1:51" ht="15.75" customHeight="1" x14ac:dyDescent="0.2">
      <c r="A120" s="83"/>
      <c r="B120" s="287"/>
      <c r="C120" s="73" t="s">
        <v>163</v>
      </c>
      <c r="D120" s="350">
        <v>0</v>
      </c>
      <c r="E120" s="351">
        <v>0</v>
      </c>
      <c r="F120" s="351">
        <v>0</v>
      </c>
      <c r="G120" s="352">
        <v>0</v>
      </c>
      <c r="H120" s="350">
        <v>0</v>
      </c>
      <c r="I120" s="351">
        <v>0</v>
      </c>
      <c r="J120" s="353">
        <v>0</v>
      </c>
      <c r="K120" s="354">
        <v>0</v>
      </c>
      <c r="L120" s="355">
        <v>0</v>
      </c>
      <c r="M120" s="355">
        <v>0</v>
      </c>
      <c r="N120" s="355">
        <v>0</v>
      </c>
      <c r="O120" s="356">
        <v>0</v>
      </c>
      <c r="P120" s="355">
        <v>0</v>
      </c>
      <c r="Q120" s="355">
        <v>0</v>
      </c>
      <c r="R120" s="357">
        <v>0</v>
      </c>
      <c r="S120" s="358">
        <v>0</v>
      </c>
      <c r="T120" s="359">
        <v>0</v>
      </c>
      <c r="U120" s="359">
        <v>0</v>
      </c>
      <c r="V120" s="359">
        <v>0</v>
      </c>
      <c r="W120" s="358">
        <v>0</v>
      </c>
      <c r="X120" s="359">
        <v>0</v>
      </c>
      <c r="Y120" s="359">
        <v>0</v>
      </c>
      <c r="Z120" s="359">
        <v>0</v>
      </c>
      <c r="AA120" s="358">
        <v>0</v>
      </c>
      <c r="AB120" s="359">
        <v>0</v>
      </c>
      <c r="AC120" s="359">
        <v>0</v>
      </c>
      <c r="AD120" s="359">
        <v>0</v>
      </c>
      <c r="AE120" s="358">
        <v>0</v>
      </c>
      <c r="AF120" s="359">
        <v>0</v>
      </c>
      <c r="AG120" s="359">
        <v>0</v>
      </c>
      <c r="AH120" s="359">
        <v>0</v>
      </c>
      <c r="AI120" s="358">
        <v>0</v>
      </c>
      <c r="AJ120" s="359">
        <v>0</v>
      </c>
      <c r="AK120" s="359">
        <v>0</v>
      </c>
      <c r="AL120" s="359">
        <v>0</v>
      </c>
      <c r="AM120" s="358">
        <v>0</v>
      </c>
      <c r="AN120" s="359">
        <v>0</v>
      </c>
      <c r="AO120" s="359">
        <v>0</v>
      </c>
      <c r="AP120" s="359">
        <v>0</v>
      </c>
      <c r="AQ120" s="358">
        <v>0</v>
      </c>
      <c r="AR120" s="359">
        <v>0</v>
      </c>
      <c r="AS120" s="359">
        <v>0</v>
      </c>
      <c r="AT120" s="359">
        <v>0</v>
      </c>
      <c r="AU120" s="358">
        <v>0</v>
      </c>
      <c r="AV120" s="349"/>
      <c r="AW120" s="349"/>
      <c r="AX120" s="349"/>
      <c r="AY120" s="349"/>
    </row>
    <row r="121" spans="1:51" ht="15.75" customHeight="1" x14ac:dyDescent="0.2">
      <c r="A121" s="83"/>
      <c r="B121" s="287"/>
      <c r="C121" s="73" t="s">
        <v>164</v>
      </c>
      <c r="D121" s="360">
        <f>$C$5*D122</f>
        <v>625000</v>
      </c>
      <c r="E121" s="361">
        <f t="shared" ref="D121:AU121" ca="1" si="23">$C$5*E122</f>
        <v>625000</v>
      </c>
      <c r="F121" s="361">
        <f t="shared" ca="1" si="23"/>
        <v>625000</v>
      </c>
      <c r="G121" s="362">
        <f t="shared" ca="1" si="23"/>
        <v>625000</v>
      </c>
      <c r="H121" s="360">
        <f t="shared" ca="1" si="23"/>
        <v>625000</v>
      </c>
      <c r="I121" s="361">
        <f t="shared" ca="1" si="23"/>
        <v>625000</v>
      </c>
      <c r="J121" s="361">
        <f t="shared" ca="1" si="23"/>
        <v>625000</v>
      </c>
      <c r="K121" s="362">
        <f t="shared" ca="1" si="23"/>
        <v>625000</v>
      </c>
      <c r="L121" s="363">
        <f t="shared" ca="1" si="23"/>
        <v>625000</v>
      </c>
      <c r="M121" s="363">
        <f t="shared" ca="1" si="23"/>
        <v>625000</v>
      </c>
      <c r="N121" s="363">
        <f t="shared" ca="1" si="23"/>
        <v>625000</v>
      </c>
      <c r="O121" s="364">
        <f t="shared" ca="1" si="23"/>
        <v>625000</v>
      </c>
      <c r="P121" s="363">
        <f t="shared" ca="1" si="23"/>
        <v>625000</v>
      </c>
      <c r="Q121" s="363">
        <f t="shared" ca="1" si="23"/>
        <v>612500</v>
      </c>
      <c r="R121" s="365">
        <f t="shared" ca="1" si="23"/>
        <v>600000</v>
      </c>
      <c r="S121" s="366">
        <f t="shared" ca="1" si="23"/>
        <v>587500</v>
      </c>
      <c r="T121" s="365">
        <f t="shared" ca="1" si="23"/>
        <v>575000</v>
      </c>
      <c r="U121" s="365">
        <f t="shared" ca="1" si="23"/>
        <v>562500</v>
      </c>
      <c r="V121" s="365">
        <f t="shared" ca="1" si="23"/>
        <v>550000</v>
      </c>
      <c r="W121" s="366">
        <f t="shared" ca="1" si="23"/>
        <v>537500</v>
      </c>
      <c r="X121" s="365">
        <f t="shared" ca="1" si="23"/>
        <v>525000</v>
      </c>
      <c r="Y121" s="365">
        <f t="shared" ca="1" si="23"/>
        <v>512499.99999999994</v>
      </c>
      <c r="Z121" s="365">
        <f t="shared" ca="1" si="23"/>
        <v>499999.99999999994</v>
      </c>
      <c r="AA121" s="366">
        <f t="shared" ca="1" si="23"/>
        <v>487499.99999999988</v>
      </c>
      <c r="AB121" s="365">
        <f t="shared" ca="1" si="23"/>
        <v>474999.99999999988</v>
      </c>
      <c r="AC121" s="365">
        <f t="shared" ca="1" si="23"/>
        <v>462499.99999999988</v>
      </c>
      <c r="AD121" s="365">
        <f t="shared" ca="1" si="23"/>
        <v>449999.99999999988</v>
      </c>
      <c r="AE121" s="366">
        <f t="shared" ca="1" si="23"/>
        <v>437499.99999999988</v>
      </c>
      <c r="AF121" s="365">
        <f t="shared" ca="1" si="23"/>
        <v>424999.99999999988</v>
      </c>
      <c r="AG121" s="365">
        <f t="shared" ca="1" si="23"/>
        <v>412499.99999999983</v>
      </c>
      <c r="AH121" s="365">
        <f t="shared" ca="1" si="23"/>
        <v>399999.99999999983</v>
      </c>
      <c r="AI121" s="366">
        <f t="shared" ca="1" si="23"/>
        <v>387499.99999999983</v>
      </c>
      <c r="AJ121" s="365">
        <f t="shared" ca="1" si="23"/>
        <v>375000</v>
      </c>
      <c r="AK121" s="365">
        <f t="shared" ca="1" si="23"/>
        <v>375000</v>
      </c>
      <c r="AL121" s="365">
        <f t="shared" ca="1" si="23"/>
        <v>375000</v>
      </c>
      <c r="AM121" s="366">
        <f t="shared" ca="1" si="23"/>
        <v>375000</v>
      </c>
      <c r="AN121" s="365">
        <f t="shared" ca="1" si="23"/>
        <v>375000</v>
      </c>
      <c r="AO121" s="365">
        <f t="shared" ca="1" si="23"/>
        <v>375000</v>
      </c>
      <c r="AP121" s="365">
        <f t="shared" ca="1" si="23"/>
        <v>375000</v>
      </c>
      <c r="AQ121" s="366">
        <f t="shared" ca="1" si="23"/>
        <v>375000</v>
      </c>
      <c r="AR121" s="365">
        <f t="shared" ca="1" si="23"/>
        <v>375000</v>
      </c>
      <c r="AS121" s="365">
        <f t="shared" ca="1" si="23"/>
        <v>375000</v>
      </c>
      <c r="AT121" s="365">
        <f t="shared" ca="1" si="23"/>
        <v>375000</v>
      </c>
      <c r="AU121" s="366">
        <f t="shared" ca="1" si="23"/>
        <v>375000</v>
      </c>
      <c r="AV121" s="367"/>
      <c r="AW121" s="367"/>
      <c r="AX121" s="367"/>
      <c r="AY121" s="367"/>
    </row>
    <row r="122" spans="1:51" ht="15.75" customHeight="1" x14ac:dyDescent="0.2">
      <c r="A122" s="368"/>
      <c r="B122" s="369"/>
      <c r="C122" s="370" t="s">
        <v>165</v>
      </c>
      <c r="D122" s="371">
        <f>'Summary and Assumptions'!D142</f>
        <v>6.2500000000000003E-3</v>
      </c>
      <c r="E122" s="372">
        <f ca="1">_xlfn.IFS(E4&lt;='Summary and Assumptions'!$D$12,'Summary and Assumptions'!$D$142,AND(E4&gt;'Summary and Assumptions'!$D$12,(Model!D122-'Summary and Assumptions'!$D$143)&gt;'Summary and Assumptions'!$D$144/4),(Model!D122-'Summary and Assumptions'!$D$143),AND(E4&gt;'Summary and Assumptions'!$D$12,(Model!D122-'Summary and Assumptions'!$D$143)&lt;='Summary and Assumptions'!$D$144/4),'Summary and Assumptions'!$D$144/4)</f>
        <v>6.2500000000000003E-3</v>
      </c>
      <c r="F122" s="372">
        <f ca="1">_xlfn.IFS(F4&lt;='Summary and Assumptions'!$D$12,'Summary and Assumptions'!$D$142,AND(F4&gt;'Summary and Assumptions'!$D$12,(Model!E122-'Summary and Assumptions'!$D$143)&gt;'Summary and Assumptions'!$D$144/4),(Model!E122-'Summary and Assumptions'!$D$143),AND(F4&gt;'Summary and Assumptions'!$D$12,(Model!E122-'Summary and Assumptions'!$D$143)&lt;='Summary and Assumptions'!$D$144/4),'Summary and Assumptions'!$D$144/4)</f>
        <v>6.2500000000000003E-3</v>
      </c>
      <c r="G122" s="504">
        <f ca="1">_xlfn.IFS(G4&lt;='Summary and Assumptions'!$D$12,'Summary and Assumptions'!$D$142,AND(G4&gt;'Summary and Assumptions'!$D$12,(Model!F122-'Summary and Assumptions'!$D$143)&gt;'Summary and Assumptions'!$D$144/4),(Model!F122-'Summary and Assumptions'!$D$143),AND(G4&gt;'Summary and Assumptions'!$D$12,(Model!F122-'Summary and Assumptions'!$D$143)&lt;='Summary and Assumptions'!$D$144/4),'Summary and Assumptions'!$D$144/4)</f>
        <v>6.2500000000000003E-3</v>
      </c>
      <c r="H122" s="372">
        <f ca="1">_xlfn.IFS(H4&lt;='Summary and Assumptions'!$D$12,'Summary and Assumptions'!$D$142,AND(H4&gt;'Summary and Assumptions'!$D$12,(Model!G122-'Summary and Assumptions'!$D$143)&gt;'Summary and Assumptions'!$D$144/4),(Model!G122-'Summary and Assumptions'!$D$143),AND(H4&gt;'Summary and Assumptions'!$D$12,(Model!G122-'Summary and Assumptions'!$D$143)&lt;='Summary and Assumptions'!$D$144/4),'Summary and Assumptions'!$D$144/4)</f>
        <v>6.2500000000000003E-3</v>
      </c>
      <c r="I122" s="372">
        <f ca="1">_xlfn.IFS(I4&lt;='Summary and Assumptions'!$D$12,'Summary and Assumptions'!$D$142,AND(I4&gt;'Summary and Assumptions'!$D$12,(Model!H122-'Summary and Assumptions'!$D$143)&gt;'Summary and Assumptions'!$D$144/4),(Model!H122-'Summary and Assumptions'!$D$143),AND(I4&gt;'Summary and Assumptions'!$D$12,(Model!H122-'Summary and Assumptions'!$D$143)&lt;='Summary and Assumptions'!$D$144/4),'Summary and Assumptions'!$D$144/4)</f>
        <v>6.2500000000000003E-3</v>
      </c>
      <c r="J122" s="372">
        <f ca="1">_xlfn.IFS(J4&lt;='Summary and Assumptions'!$D$12,'Summary and Assumptions'!$D$142,AND(J4&gt;'Summary and Assumptions'!$D$12,(Model!I122-'Summary and Assumptions'!$D$143)&gt;'Summary and Assumptions'!$D$144/4),(Model!I122-'Summary and Assumptions'!$D$143),AND(J4&gt;'Summary and Assumptions'!$D$12,(Model!I122-'Summary and Assumptions'!$D$143)&lt;='Summary and Assumptions'!$D$144/4),'Summary and Assumptions'!$D$144/4)</f>
        <v>6.2500000000000003E-3</v>
      </c>
      <c r="K122" s="504">
        <f ca="1">_xlfn.IFS(K4&lt;='Summary and Assumptions'!$D$12,'Summary and Assumptions'!$D$142,AND(K4&gt;'Summary and Assumptions'!$D$12,(Model!J122-'Summary and Assumptions'!$D$143)&gt;'Summary and Assumptions'!$D$144/4),(Model!J122-'Summary and Assumptions'!$D$143),AND(K4&gt;'Summary and Assumptions'!$D$12,(Model!J122-'Summary and Assumptions'!$D$143)&lt;='Summary and Assumptions'!$D$144/4),'Summary and Assumptions'!$D$144/4)</f>
        <v>6.2500000000000003E-3</v>
      </c>
      <c r="L122" s="372">
        <f ca="1">_xlfn.IFS(L4&lt;='Summary and Assumptions'!$D$12,'Summary and Assumptions'!$D$142,AND(L4&gt;'Summary and Assumptions'!$D$12,(Model!K122-'Summary and Assumptions'!$D$143)&gt;'Summary and Assumptions'!$D$144/4),(Model!K122-'Summary and Assumptions'!$D$143),AND(L4&gt;'Summary and Assumptions'!$D$12,(Model!K122-'Summary and Assumptions'!$D$143)&lt;='Summary and Assumptions'!$D$144/4),'Summary and Assumptions'!$D$144/4)</f>
        <v>6.2500000000000003E-3</v>
      </c>
      <c r="M122" s="372">
        <f ca="1">_xlfn.IFS(M4&lt;='Summary and Assumptions'!$D$12,'Summary and Assumptions'!$D$142,AND(M4&gt;'Summary and Assumptions'!$D$12,(Model!L122-'Summary and Assumptions'!$D$143)&gt;'Summary and Assumptions'!$D$144/4),(Model!L122-'Summary and Assumptions'!$D$143),AND(M4&gt;'Summary and Assumptions'!$D$12,(Model!L122-'Summary and Assumptions'!$D$143)&lt;='Summary and Assumptions'!$D$144/4),'Summary and Assumptions'!$D$144/4)</f>
        <v>6.2500000000000003E-3</v>
      </c>
      <c r="N122" s="372">
        <f ca="1">_xlfn.IFS(N4&lt;='Summary and Assumptions'!$D$12,'Summary and Assumptions'!$D$142,AND(N4&gt;'Summary and Assumptions'!$D$12,(Model!M122-'Summary and Assumptions'!$D$143)&gt;'Summary and Assumptions'!$D$144/4),(Model!M122-'Summary and Assumptions'!$D$143),AND(N4&gt;'Summary and Assumptions'!$D$12,(Model!M122-'Summary and Assumptions'!$D$143)&lt;='Summary and Assumptions'!$D$144/4),'Summary and Assumptions'!$D$144/4)</f>
        <v>6.2500000000000003E-3</v>
      </c>
      <c r="O122" s="504">
        <f ca="1">_xlfn.IFS(O4&lt;='Summary and Assumptions'!$D$12,'Summary and Assumptions'!$D$142,AND(O4&gt;'Summary and Assumptions'!$D$12,(Model!N122-'Summary and Assumptions'!$D$143)&gt;'Summary and Assumptions'!$D$144/4),(Model!N122-'Summary and Assumptions'!$D$143),AND(O4&gt;'Summary and Assumptions'!$D$12,(Model!N122-'Summary and Assumptions'!$D$143)&lt;='Summary and Assumptions'!$D$144/4),'Summary and Assumptions'!$D$144/4)</f>
        <v>6.2500000000000003E-3</v>
      </c>
      <c r="P122" s="372">
        <f ca="1">_xlfn.IFS(P4&lt;='Summary and Assumptions'!$D$12,'Summary and Assumptions'!$D$142,AND(P4&gt;'Summary and Assumptions'!$D$12,(Model!O122-'Summary and Assumptions'!$D$143)&gt;'Summary and Assumptions'!$D$144/4),(Model!O122-'Summary and Assumptions'!$D$143),AND(P4&gt;'Summary and Assumptions'!$D$12,(Model!O122-'Summary and Assumptions'!$D$143)&lt;='Summary and Assumptions'!$D$144/4),'Summary and Assumptions'!$D$144/4)</f>
        <v>6.2500000000000003E-3</v>
      </c>
      <c r="Q122" s="372">
        <f ca="1">_xlfn.IFS(Q4&lt;='Summary and Assumptions'!$D$12,'Summary and Assumptions'!$D$142,AND(Q4&gt;'Summary and Assumptions'!$D$12,(Model!P122-'Summary and Assumptions'!$D$143)&gt;'Summary and Assumptions'!$D$144/4),(Model!P122-'Summary and Assumptions'!$D$143),AND(Q4&gt;'Summary and Assumptions'!$D$12,(Model!P122-'Summary and Assumptions'!$D$143)&lt;='Summary and Assumptions'!$D$144/4),'Summary and Assumptions'!$D$144/4)</f>
        <v>6.1250000000000002E-3</v>
      </c>
      <c r="R122" s="372">
        <f ca="1">_xlfn.IFS(R4&lt;='Summary and Assumptions'!$D$12,'Summary and Assumptions'!$D$142,AND(R4&gt;'Summary and Assumptions'!$D$12,(Model!Q122-'Summary and Assumptions'!$D$143)&gt;'Summary and Assumptions'!$D$144/4),(Model!Q122-'Summary and Assumptions'!$D$143),AND(R4&gt;'Summary and Assumptions'!$D$12,(Model!Q122-'Summary and Assumptions'!$D$143)&lt;='Summary and Assumptions'!$D$144/4),'Summary and Assumptions'!$D$144/4)</f>
        <v>6.0000000000000001E-3</v>
      </c>
      <c r="S122" s="504">
        <f ca="1">_xlfn.IFS(S4&lt;='Summary and Assumptions'!$D$12,'Summary and Assumptions'!$D$142,AND(S4&gt;'Summary and Assumptions'!$D$12,(Model!R122-'Summary and Assumptions'!$D$143)&gt;'Summary and Assumptions'!$D$144/4),(Model!R122-'Summary and Assumptions'!$D$143),AND(S4&gt;'Summary and Assumptions'!$D$12,(Model!R122-'Summary and Assumptions'!$D$143)&lt;='Summary and Assumptions'!$D$144/4),'Summary and Assumptions'!$D$144/4)</f>
        <v>5.875E-3</v>
      </c>
      <c r="T122" s="372">
        <f ca="1">_xlfn.IFS(T4&lt;='Summary and Assumptions'!$D$12,'Summary and Assumptions'!$D$142,AND(T4&gt;'Summary and Assumptions'!$D$12,(Model!S122-'Summary and Assumptions'!$D$143)&gt;'Summary and Assumptions'!$D$144/4),(Model!S122-'Summary and Assumptions'!$D$143),AND(T4&gt;'Summary and Assumptions'!$D$12,(Model!S122-'Summary and Assumptions'!$D$143)&lt;='Summary and Assumptions'!$D$144/4),'Summary and Assumptions'!$D$144/4)</f>
        <v>5.7499999999999999E-3</v>
      </c>
      <c r="U122" s="372">
        <f ca="1">_xlfn.IFS(U4&lt;='Summary and Assumptions'!$D$12,'Summary and Assumptions'!$D$142,AND(U4&gt;'Summary and Assumptions'!$D$12,(Model!T122-'Summary and Assumptions'!$D$143)&gt;'Summary and Assumptions'!$D$144/4),(Model!T122-'Summary and Assumptions'!$D$143),AND(U4&gt;'Summary and Assumptions'!$D$12,(Model!T122-'Summary and Assumptions'!$D$143)&lt;='Summary and Assumptions'!$D$144/4),'Summary and Assumptions'!$D$144/4)</f>
        <v>5.6249999999999998E-3</v>
      </c>
      <c r="V122" s="372">
        <f ca="1">_xlfn.IFS(V4&lt;='Summary and Assumptions'!$D$12,'Summary and Assumptions'!$D$142,AND(V4&gt;'Summary and Assumptions'!$D$12,(Model!U122-'Summary and Assumptions'!$D$143)&gt;'Summary and Assumptions'!$D$144/4),(Model!U122-'Summary and Assumptions'!$D$143),AND(V4&gt;'Summary and Assumptions'!$D$12,(Model!U122-'Summary and Assumptions'!$D$143)&lt;='Summary and Assumptions'!$D$144/4),'Summary and Assumptions'!$D$144/4)</f>
        <v>5.4999999999999997E-3</v>
      </c>
      <c r="W122" s="504">
        <f ca="1">_xlfn.IFS(W4&lt;='Summary and Assumptions'!$D$12,'Summary and Assumptions'!$D$142,AND(W4&gt;'Summary and Assumptions'!$D$12,(Model!V122-'Summary and Assumptions'!$D$143)&gt;'Summary and Assumptions'!$D$144/4),(Model!V122-'Summary and Assumptions'!$D$143),AND(W4&gt;'Summary and Assumptions'!$D$12,(Model!V122-'Summary and Assumptions'!$D$143)&lt;='Summary and Assumptions'!$D$144/4),'Summary and Assumptions'!$D$144/4)</f>
        <v>5.3749999999999996E-3</v>
      </c>
      <c r="X122" s="372">
        <f ca="1">_xlfn.IFS(X4&lt;='Summary and Assumptions'!$D$12,'Summary and Assumptions'!$D$142,AND(X4&gt;'Summary and Assumptions'!$D$12,(Model!W122-'Summary and Assumptions'!$D$143)&gt;'Summary and Assumptions'!$D$144/4),(Model!W122-'Summary and Assumptions'!$D$143),AND(X4&gt;'Summary and Assumptions'!$D$12,(Model!W122-'Summary and Assumptions'!$D$143)&lt;='Summary and Assumptions'!$D$144/4),'Summary and Assumptions'!$D$144/4)</f>
        <v>5.2499999999999995E-3</v>
      </c>
      <c r="Y122" s="372">
        <f ca="1">_xlfn.IFS(Y4&lt;='Summary and Assumptions'!$D$12,'Summary and Assumptions'!$D$142,AND(Y4&gt;'Summary and Assumptions'!$D$12,(Model!X122-'Summary and Assumptions'!$D$143)&gt;'Summary and Assumptions'!$D$144/4),(Model!X122-'Summary and Assumptions'!$D$143),AND(Y4&gt;'Summary and Assumptions'!$D$12,(Model!X122-'Summary and Assumptions'!$D$143)&lt;='Summary and Assumptions'!$D$144/4),'Summary and Assumptions'!$D$144/4)</f>
        <v>5.1249999999999993E-3</v>
      </c>
      <c r="Z122" s="372">
        <f ca="1">_xlfn.IFS(Z4&lt;='Summary and Assumptions'!$D$12,'Summary and Assumptions'!$D$142,AND(Z4&gt;'Summary and Assumptions'!$D$12,(Model!Y122-'Summary and Assumptions'!$D$143)&gt;'Summary and Assumptions'!$D$144/4),(Model!Y122-'Summary and Assumptions'!$D$143),AND(Z4&gt;'Summary and Assumptions'!$D$12,(Model!Y122-'Summary and Assumptions'!$D$143)&lt;='Summary and Assumptions'!$D$144/4),'Summary and Assumptions'!$D$144/4)</f>
        <v>4.9999999999999992E-3</v>
      </c>
      <c r="AA122" s="504">
        <f ca="1">_xlfn.IFS(AA4&lt;='Summary and Assumptions'!$D$12,'Summary and Assumptions'!$D$142,AND(AA4&gt;'Summary and Assumptions'!$D$12,(Model!Z122-'Summary and Assumptions'!$D$143)&gt;'Summary and Assumptions'!$D$144/4),(Model!Z122-'Summary and Assumptions'!$D$143),AND(AA4&gt;'Summary and Assumptions'!$D$12,(Model!Z122-'Summary and Assumptions'!$D$143)&lt;='Summary and Assumptions'!$D$144/4),'Summary and Assumptions'!$D$144/4)</f>
        <v>4.8749999999999991E-3</v>
      </c>
      <c r="AB122" s="372">
        <f ca="1">_xlfn.IFS(AB4&lt;='Summary and Assumptions'!$D$12,'Summary and Assumptions'!$D$142,AND(AB4&gt;'Summary and Assumptions'!$D$12,(Model!AA122-'Summary and Assumptions'!$D$143)&gt;'Summary and Assumptions'!$D$144/4),(Model!AA122-'Summary and Assumptions'!$D$143),AND(AB4&gt;'Summary and Assumptions'!$D$12,(Model!AA122-'Summary and Assumptions'!$D$143)&lt;='Summary and Assumptions'!$D$144/4),'Summary and Assumptions'!$D$144/4)</f>
        <v>4.749999999999999E-3</v>
      </c>
      <c r="AC122" s="372">
        <f ca="1">_xlfn.IFS(AC4&lt;='Summary and Assumptions'!$D$12,'Summary and Assumptions'!$D$142,AND(AC4&gt;'Summary and Assumptions'!$D$12,(Model!AB122-'Summary and Assumptions'!$D$143)&gt;'Summary and Assumptions'!$D$144/4),(Model!AB122-'Summary and Assumptions'!$D$143),AND(AC4&gt;'Summary and Assumptions'!$D$12,(Model!AB122-'Summary and Assumptions'!$D$143)&lt;='Summary and Assumptions'!$D$144/4),'Summary and Assumptions'!$D$144/4)</f>
        <v>4.6249999999999989E-3</v>
      </c>
      <c r="AD122" s="372">
        <f ca="1">_xlfn.IFS(AD4&lt;='Summary and Assumptions'!$D$12,'Summary and Assumptions'!$D$142,AND(AD4&gt;'Summary and Assumptions'!$D$12,(Model!AC122-'Summary and Assumptions'!$D$143)&gt;'Summary and Assumptions'!$D$144/4),(Model!AC122-'Summary and Assumptions'!$D$143),AND(AD4&gt;'Summary and Assumptions'!$D$12,(Model!AC122-'Summary and Assumptions'!$D$143)&lt;='Summary and Assumptions'!$D$144/4),'Summary and Assumptions'!$D$144/4)</f>
        <v>4.4999999999999988E-3</v>
      </c>
      <c r="AE122" s="504">
        <f ca="1">_xlfn.IFS(AE4&lt;='Summary and Assumptions'!$D$12,'Summary and Assumptions'!$D$142,AND(AE4&gt;'Summary and Assumptions'!$D$12,(Model!AD122-'Summary and Assumptions'!$D$143)&gt;'Summary and Assumptions'!$D$144/4),(Model!AD122-'Summary and Assumptions'!$D$143),AND(AE4&gt;'Summary and Assumptions'!$D$12,(Model!AD122-'Summary and Assumptions'!$D$143)&lt;='Summary and Assumptions'!$D$144/4),'Summary and Assumptions'!$D$144/4)</f>
        <v>4.3749999999999987E-3</v>
      </c>
      <c r="AF122" s="372">
        <f ca="1">_xlfn.IFS(AF4&lt;='Summary and Assumptions'!$D$12,'Summary and Assumptions'!$D$142,AND(AF4&gt;'Summary and Assumptions'!$D$12,(Model!AE122-'Summary and Assumptions'!$D$143)&gt;'Summary and Assumptions'!$D$144/4),(Model!AE122-'Summary and Assumptions'!$D$143),AND(AF4&gt;'Summary and Assumptions'!$D$12,(Model!AE122-'Summary and Assumptions'!$D$143)&lt;='Summary and Assumptions'!$D$144/4),'Summary and Assumptions'!$D$144/4)</f>
        <v>4.2499999999999986E-3</v>
      </c>
      <c r="AG122" s="372">
        <f ca="1">_xlfn.IFS(AG4&lt;='Summary and Assumptions'!$D$12,'Summary and Assumptions'!$D$142,AND(AG4&gt;'Summary and Assumptions'!$D$12,(Model!AF122-'Summary and Assumptions'!$D$143)&gt;'Summary and Assumptions'!$D$144/4),(Model!AF122-'Summary and Assumptions'!$D$143),AND(AG4&gt;'Summary and Assumptions'!$D$12,(Model!AF122-'Summary and Assumptions'!$D$143)&lt;='Summary and Assumptions'!$D$144/4),'Summary and Assumptions'!$D$144/4)</f>
        <v>4.1249999999999985E-3</v>
      </c>
      <c r="AH122" s="372">
        <f ca="1">_xlfn.IFS(AH4&lt;='Summary and Assumptions'!$D$12,'Summary and Assumptions'!$D$142,AND(AH4&gt;'Summary and Assumptions'!$D$12,(Model!AG122-'Summary and Assumptions'!$D$143)&gt;'Summary and Assumptions'!$D$144/4),(Model!AG122-'Summary and Assumptions'!$D$143),AND(AH4&gt;'Summary and Assumptions'!$D$12,(Model!AG122-'Summary and Assumptions'!$D$143)&lt;='Summary and Assumptions'!$D$144/4),'Summary and Assumptions'!$D$144/4)</f>
        <v>3.9999999999999983E-3</v>
      </c>
      <c r="AI122" s="504">
        <f ca="1">_xlfn.IFS(AI4&lt;='Summary and Assumptions'!$D$12,'Summary and Assumptions'!$D$142,AND(AI4&gt;'Summary and Assumptions'!$D$12,(Model!AH122-'Summary and Assumptions'!$D$143)&gt;'Summary and Assumptions'!$D$144/4),(Model!AH122-'Summary and Assumptions'!$D$143),AND(AI4&gt;'Summary and Assumptions'!$D$12,(Model!AH122-'Summary and Assumptions'!$D$143)&lt;='Summary and Assumptions'!$D$144/4),'Summary and Assumptions'!$D$144/4)</f>
        <v>3.8749999999999982E-3</v>
      </c>
      <c r="AJ122" s="372">
        <f ca="1">_xlfn.IFS(AJ4&lt;='Summary and Assumptions'!$D$12,'Summary and Assumptions'!$D$142,AND(AJ4&gt;'Summary and Assumptions'!$D$12,(Model!AI122-'Summary and Assumptions'!$D$143)&gt;'Summary and Assumptions'!$D$144/4),(Model!AI122-'Summary and Assumptions'!$D$143),AND(AJ4&gt;'Summary and Assumptions'!$D$12,(Model!AI122-'Summary and Assumptions'!$D$143)&lt;='Summary and Assumptions'!$D$144/4),'Summary and Assumptions'!$D$144/4)</f>
        <v>3.7499999999999999E-3</v>
      </c>
      <c r="AK122" s="372">
        <f ca="1">_xlfn.IFS(AK4&lt;='Summary and Assumptions'!$D$12,'Summary and Assumptions'!$D$142,AND(AK4&gt;'Summary and Assumptions'!$D$12,(Model!AJ122-'Summary and Assumptions'!$D$143)&gt;'Summary and Assumptions'!$D$144/4),(Model!AJ122-'Summary and Assumptions'!$D$143),AND(AK4&gt;'Summary and Assumptions'!$D$12,(Model!AJ122-'Summary and Assumptions'!$D$143)&lt;='Summary and Assumptions'!$D$144/4),'Summary and Assumptions'!$D$144/4)</f>
        <v>3.7499999999999999E-3</v>
      </c>
      <c r="AL122" s="372">
        <f ca="1">_xlfn.IFS(AL4&lt;='Summary and Assumptions'!$D$12,'Summary and Assumptions'!$D$142,AND(AL4&gt;'Summary and Assumptions'!$D$12,(Model!AK122-'Summary and Assumptions'!$D$143)&gt;'Summary and Assumptions'!$D$144/4),(Model!AK122-'Summary and Assumptions'!$D$143),AND(AL4&gt;'Summary and Assumptions'!$D$12,(Model!AK122-'Summary and Assumptions'!$D$143)&lt;='Summary and Assumptions'!$D$144/4),'Summary and Assumptions'!$D$144/4)</f>
        <v>3.7499999999999999E-3</v>
      </c>
      <c r="AM122" s="504">
        <f ca="1">_xlfn.IFS(AM4&lt;='Summary and Assumptions'!$D$12,'Summary and Assumptions'!$D$142,AND(AM4&gt;'Summary and Assumptions'!$D$12,(Model!AL122-'Summary and Assumptions'!$D$143)&gt;'Summary and Assumptions'!$D$144/4),(Model!AL122-'Summary and Assumptions'!$D$143),AND(AM4&gt;'Summary and Assumptions'!$D$12,(Model!AL122-'Summary and Assumptions'!$D$143)&lt;='Summary and Assumptions'!$D$144/4),'Summary and Assumptions'!$D$144/4)</f>
        <v>3.7499999999999999E-3</v>
      </c>
      <c r="AN122" s="372">
        <f ca="1">_xlfn.IFS(AN4&lt;='Summary and Assumptions'!$D$12,'Summary and Assumptions'!$D$142,AND(AN4&gt;'Summary and Assumptions'!$D$12,(Model!AM122-'Summary and Assumptions'!$D$143)&gt;'Summary and Assumptions'!$D$144/4),(Model!AM122-'Summary and Assumptions'!$D$143),AND(AN4&gt;'Summary and Assumptions'!$D$12,(Model!AM122-'Summary and Assumptions'!$D$143)&lt;='Summary and Assumptions'!$D$144/4),'Summary and Assumptions'!$D$144/4)</f>
        <v>3.7499999999999999E-3</v>
      </c>
      <c r="AO122" s="372">
        <f ca="1">_xlfn.IFS(AO4&lt;='Summary and Assumptions'!$D$12,'Summary and Assumptions'!$D$142,AND(AO4&gt;'Summary and Assumptions'!$D$12,(Model!AN122-'Summary and Assumptions'!$D$143)&gt;'Summary and Assumptions'!$D$144/4),(Model!AN122-'Summary and Assumptions'!$D$143),AND(AO4&gt;'Summary and Assumptions'!$D$12,(Model!AN122-'Summary and Assumptions'!$D$143)&lt;='Summary and Assumptions'!$D$144/4),'Summary and Assumptions'!$D$144/4)</f>
        <v>3.7499999999999999E-3</v>
      </c>
      <c r="AP122" s="372">
        <f ca="1">_xlfn.IFS(AP4&lt;='Summary and Assumptions'!$D$12,'Summary and Assumptions'!$D$142,AND(AP4&gt;'Summary and Assumptions'!$D$12,(Model!AO122-'Summary and Assumptions'!$D$143)&gt;'Summary and Assumptions'!$D$144/4),(Model!AO122-'Summary and Assumptions'!$D$143),AND(AP4&gt;'Summary and Assumptions'!$D$12,(Model!AO122-'Summary and Assumptions'!$D$143)&lt;='Summary and Assumptions'!$D$144/4),'Summary and Assumptions'!$D$144/4)</f>
        <v>3.7499999999999999E-3</v>
      </c>
      <c r="AQ122" s="504">
        <f ca="1">_xlfn.IFS(AQ4&lt;='Summary and Assumptions'!$D$12,'Summary and Assumptions'!$D$142,AND(AQ4&gt;'Summary and Assumptions'!$D$12,(Model!AP122-'Summary and Assumptions'!$D$143)&gt;'Summary and Assumptions'!$D$144/4),(Model!AP122-'Summary and Assumptions'!$D$143),AND(AQ4&gt;'Summary and Assumptions'!$D$12,(Model!AP122-'Summary and Assumptions'!$D$143)&lt;='Summary and Assumptions'!$D$144/4),'Summary and Assumptions'!$D$144/4)</f>
        <v>3.7499999999999999E-3</v>
      </c>
      <c r="AR122" s="372">
        <f ca="1">_xlfn.IFS(AR4&lt;='Summary and Assumptions'!$D$12,'Summary and Assumptions'!$D$142,AND(AR4&gt;'Summary and Assumptions'!$D$12,(Model!AQ122-'Summary and Assumptions'!$D$143)&gt;'Summary and Assumptions'!$D$144/4),(Model!AQ122-'Summary and Assumptions'!$D$143),AND(AR4&gt;'Summary and Assumptions'!$D$12,(Model!AQ122-'Summary and Assumptions'!$D$143)&lt;='Summary and Assumptions'!$D$144/4),'Summary and Assumptions'!$D$144/4)</f>
        <v>3.7499999999999999E-3</v>
      </c>
      <c r="AS122" s="372">
        <f ca="1">_xlfn.IFS(AS4&lt;='Summary and Assumptions'!$D$12,'Summary and Assumptions'!$D$142,AND(AS4&gt;'Summary and Assumptions'!$D$12,(Model!AR122-'Summary and Assumptions'!$D$143)&gt;'Summary and Assumptions'!$D$144/4),(Model!AR122-'Summary and Assumptions'!$D$143),AND(AS4&gt;'Summary and Assumptions'!$D$12,(Model!AR122-'Summary and Assumptions'!$D$143)&lt;='Summary and Assumptions'!$D$144/4),'Summary and Assumptions'!$D$144/4)</f>
        <v>3.7499999999999999E-3</v>
      </c>
      <c r="AT122" s="372">
        <f ca="1">_xlfn.IFS(AT4&lt;='Summary and Assumptions'!$D$12,'Summary and Assumptions'!$D$142,AND(AT4&gt;'Summary and Assumptions'!$D$12,(Model!AS122-'Summary and Assumptions'!$D$143)&gt;'Summary and Assumptions'!$D$144/4),(Model!AS122-'Summary and Assumptions'!$D$143),AND(AT4&gt;'Summary and Assumptions'!$D$12,(Model!AS122-'Summary and Assumptions'!$D$143)&lt;='Summary and Assumptions'!$D$144/4),'Summary and Assumptions'!$D$144/4)</f>
        <v>3.7499999999999999E-3</v>
      </c>
      <c r="AU122" s="504">
        <f ca="1">_xlfn.IFS(AU4&lt;='Summary and Assumptions'!$D$12,'Summary and Assumptions'!$D$142,AND(AU4&gt;'Summary and Assumptions'!$D$12,(Model!AT122-'Summary and Assumptions'!$D$143)&gt;'Summary and Assumptions'!$D$144/4),(Model!AT122-'Summary and Assumptions'!$D$143),AND(AU4&gt;'Summary and Assumptions'!$D$12,(Model!AT122-'Summary and Assumptions'!$D$143)&lt;='Summary and Assumptions'!$D$144/4),'Summary and Assumptions'!$D$144/4)</f>
        <v>3.7499999999999999E-3</v>
      </c>
      <c r="AV122" s="374"/>
      <c r="AW122" s="374"/>
      <c r="AX122" s="374"/>
      <c r="AY122" s="375"/>
    </row>
    <row r="123" spans="1:51" ht="15.75" customHeight="1" x14ac:dyDescent="0.2">
      <c r="A123" s="368"/>
      <c r="B123" s="369"/>
      <c r="C123" s="370" t="s">
        <v>166</v>
      </c>
      <c r="D123" s="376">
        <f t="shared" ref="D123:AU123" si="24">(D121*4)/$C$5</f>
        <v>2.5000000000000001E-2</v>
      </c>
      <c r="E123" s="376">
        <f t="shared" ca="1" si="24"/>
        <v>2.5000000000000001E-2</v>
      </c>
      <c r="F123" s="376">
        <f t="shared" ca="1" si="24"/>
        <v>2.5000000000000001E-2</v>
      </c>
      <c r="G123" s="373">
        <f t="shared" ca="1" si="24"/>
        <v>2.5000000000000001E-2</v>
      </c>
      <c r="H123" s="376">
        <f t="shared" ca="1" si="24"/>
        <v>2.5000000000000001E-2</v>
      </c>
      <c r="I123" s="376">
        <f t="shared" ca="1" si="24"/>
        <v>2.5000000000000001E-2</v>
      </c>
      <c r="J123" s="376">
        <f t="shared" ca="1" si="24"/>
        <v>2.5000000000000001E-2</v>
      </c>
      <c r="K123" s="373">
        <f t="shared" ca="1" si="24"/>
        <v>2.5000000000000001E-2</v>
      </c>
      <c r="L123" s="376">
        <f t="shared" ca="1" si="24"/>
        <v>2.5000000000000001E-2</v>
      </c>
      <c r="M123" s="376">
        <f t="shared" ca="1" si="24"/>
        <v>2.5000000000000001E-2</v>
      </c>
      <c r="N123" s="376">
        <f t="shared" ca="1" si="24"/>
        <v>2.5000000000000001E-2</v>
      </c>
      <c r="O123" s="373">
        <f t="shared" ca="1" si="24"/>
        <v>2.5000000000000001E-2</v>
      </c>
      <c r="P123" s="376">
        <f t="shared" ca="1" si="24"/>
        <v>2.5000000000000001E-2</v>
      </c>
      <c r="Q123" s="376">
        <f t="shared" ca="1" si="24"/>
        <v>2.4500000000000001E-2</v>
      </c>
      <c r="R123" s="376">
        <f t="shared" ca="1" si="24"/>
        <v>2.4E-2</v>
      </c>
      <c r="S123" s="373">
        <f t="shared" ca="1" si="24"/>
        <v>2.35E-2</v>
      </c>
      <c r="T123" s="376">
        <f t="shared" ca="1" si="24"/>
        <v>2.3E-2</v>
      </c>
      <c r="U123" s="376">
        <f t="shared" ca="1" si="24"/>
        <v>2.2499999999999999E-2</v>
      </c>
      <c r="V123" s="376">
        <f t="shared" ca="1" si="24"/>
        <v>2.1999999999999999E-2</v>
      </c>
      <c r="W123" s="373">
        <f t="shared" ca="1" si="24"/>
        <v>2.1499999999999998E-2</v>
      </c>
      <c r="X123" s="376">
        <f t="shared" ca="1" si="24"/>
        <v>2.1000000000000001E-2</v>
      </c>
      <c r="Y123" s="376">
        <f t="shared" ca="1" si="24"/>
        <v>2.0499999999999997E-2</v>
      </c>
      <c r="Z123" s="376">
        <f t="shared" ca="1" si="24"/>
        <v>1.9999999999999997E-2</v>
      </c>
      <c r="AA123" s="373">
        <f t="shared" ca="1" si="24"/>
        <v>1.9499999999999997E-2</v>
      </c>
      <c r="AB123" s="376">
        <f t="shared" ca="1" si="24"/>
        <v>1.8999999999999996E-2</v>
      </c>
      <c r="AC123" s="376">
        <f t="shared" ca="1" si="24"/>
        <v>1.8499999999999996E-2</v>
      </c>
      <c r="AD123" s="376">
        <f t="shared" ca="1" si="24"/>
        <v>1.7999999999999995E-2</v>
      </c>
      <c r="AE123" s="373">
        <f t="shared" ca="1" si="24"/>
        <v>1.7499999999999995E-2</v>
      </c>
      <c r="AF123" s="376">
        <f t="shared" ca="1" si="24"/>
        <v>1.6999999999999994E-2</v>
      </c>
      <c r="AG123" s="376">
        <f t="shared" ca="1" si="24"/>
        <v>1.6499999999999994E-2</v>
      </c>
      <c r="AH123" s="376">
        <f t="shared" ca="1" si="24"/>
        <v>1.5999999999999993E-2</v>
      </c>
      <c r="AI123" s="373">
        <f t="shared" ca="1" si="24"/>
        <v>1.5499999999999993E-2</v>
      </c>
      <c r="AJ123" s="376">
        <f t="shared" ca="1" si="24"/>
        <v>1.4999999999999999E-2</v>
      </c>
      <c r="AK123" s="376">
        <f t="shared" ca="1" si="24"/>
        <v>1.4999999999999999E-2</v>
      </c>
      <c r="AL123" s="376">
        <f t="shared" ca="1" si="24"/>
        <v>1.4999999999999999E-2</v>
      </c>
      <c r="AM123" s="373">
        <f t="shared" ca="1" si="24"/>
        <v>1.4999999999999999E-2</v>
      </c>
      <c r="AN123" s="376">
        <f t="shared" ca="1" si="24"/>
        <v>1.4999999999999999E-2</v>
      </c>
      <c r="AO123" s="376">
        <f t="shared" ca="1" si="24"/>
        <v>1.4999999999999999E-2</v>
      </c>
      <c r="AP123" s="376">
        <f t="shared" ca="1" si="24"/>
        <v>1.4999999999999999E-2</v>
      </c>
      <c r="AQ123" s="373">
        <f t="shared" ca="1" si="24"/>
        <v>1.4999999999999999E-2</v>
      </c>
      <c r="AR123" s="376">
        <f t="shared" ca="1" si="24"/>
        <v>1.4999999999999999E-2</v>
      </c>
      <c r="AS123" s="376">
        <f t="shared" ca="1" si="24"/>
        <v>1.4999999999999999E-2</v>
      </c>
      <c r="AT123" s="376">
        <f t="shared" ca="1" si="24"/>
        <v>1.4999999999999999E-2</v>
      </c>
      <c r="AU123" s="373">
        <f t="shared" ca="1" si="24"/>
        <v>1.4999999999999999E-2</v>
      </c>
      <c r="AV123" s="377"/>
      <c r="AW123" s="377"/>
      <c r="AX123" s="377"/>
      <c r="AY123" s="374"/>
    </row>
    <row r="124" spans="1:51" ht="15.75" customHeight="1" x14ac:dyDescent="0.2">
      <c r="A124" s="83"/>
      <c r="B124" s="262" t="s">
        <v>167</v>
      </c>
      <c r="C124" s="275"/>
      <c r="D124" s="378">
        <f t="shared" ref="D124:AU124" si="25">SUM(D115:D121)</f>
        <v>650000</v>
      </c>
      <c r="E124" s="378">
        <f t="shared" ca="1" si="25"/>
        <v>650000</v>
      </c>
      <c r="F124" s="378">
        <f t="shared" ca="1" si="25"/>
        <v>650000</v>
      </c>
      <c r="G124" s="379">
        <f t="shared" ca="1" si="25"/>
        <v>650000</v>
      </c>
      <c r="H124" s="378">
        <f t="shared" ca="1" si="25"/>
        <v>650000</v>
      </c>
      <c r="I124" s="378">
        <f t="shared" ca="1" si="25"/>
        <v>650000</v>
      </c>
      <c r="J124" s="378">
        <f t="shared" ca="1" si="25"/>
        <v>650000</v>
      </c>
      <c r="K124" s="379">
        <f t="shared" ca="1" si="25"/>
        <v>650000</v>
      </c>
      <c r="L124" s="378">
        <f t="shared" ca="1" si="25"/>
        <v>650000</v>
      </c>
      <c r="M124" s="378">
        <f t="shared" ca="1" si="25"/>
        <v>650000</v>
      </c>
      <c r="N124" s="378">
        <f t="shared" ca="1" si="25"/>
        <v>650000</v>
      </c>
      <c r="O124" s="379">
        <f t="shared" ca="1" si="25"/>
        <v>650000</v>
      </c>
      <c r="P124" s="378">
        <f t="shared" ca="1" si="25"/>
        <v>650000</v>
      </c>
      <c r="Q124" s="378">
        <f t="shared" ca="1" si="25"/>
        <v>637500</v>
      </c>
      <c r="R124" s="378">
        <f t="shared" ca="1" si="25"/>
        <v>625000</v>
      </c>
      <c r="S124" s="379">
        <f t="shared" ca="1" si="25"/>
        <v>612500</v>
      </c>
      <c r="T124" s="378">
        <f t="shared" ca="1" si="25"/>
        <v>600000</v>
      </c>
      <c r="U124" s="378">
        <f t="shared" ca="1" si="25"/>
        <v>587500</v>
      </c>
      <c r="V124" s="378">
        <f t="shared" ca="1" si="25"/>
        <v>575000</v>
      </c>
      <c r="W124" s="379">
        <f t="shared" ca="1" si="25"/>
        <v>562500</v>
      </c>
      <c r="X124" s="378">
        <f t="shared" ca="1" si="25"/>
        <v>550000</v>
      </c>
      <c r="Y124" s="378">
        <f t="shared" ca="1" si="25"/>
        <v>537500</v>
      </c>
      <c r="Z124" s="378">
        <f t="shared" ca="1" si="25"/>
        <v>525000</v>
      </c>
      <c r="AA124" s="379">
        <f t="shared" ca="1" si="25"/>
        <v>512499.99999999988</v>
      </c>
      <c r="AB124" s="378">
        <f t="shared" ca="1" si="25"/>
        <v>499999.99999999988</v>
      </c>
      <c r="AC124" s="378">
        <f t="shared" ca="1" si="25"/>
        <v>487499.99999999988</v>
      </c>
      <c r="AD124" s="378">
        <f t="shared" ca="1" si="25"/>
        <v>474999.99999999988</v>
      </c>
      <c r="AE124" s="379">
        <f t="shared" ca="1" si="25"/>
        <v>462499.99999999988</v>
      </c>
      <c r="AF124" s="378">
        <f t="shared" ca="1" si="25"/>
        <v>449999.99999999988</v>
      </c>
      <c r="AG124" s="378">
        <f t="shared" ca="1" si="25"/>
        <v>437499.99999999983</v>
      </c>
      <c r="AH124" s="378">
        <f t="shared" ca="1" si="25"/>
        <v>424999.99999999983</v>
      </c>
      <c r="AI124" s="379">
        <f t="shared" ca="1" si="25"/>
        <v>412499.99999999983</v>
      </c>
      <c r="AJ124" s="378">
        <f t="shared" ca="1" si="25"/>
        <v>400000</v>
      </c>
      <c r="AK124" s="378">
        <f t="shared" ca="1" si="25"/>
        <v>400000</v>
      </c>
      <c r="AL124" s="378">
        <f t="shared" ca="1" si="25"/>
        <v>400000</v>
      </c>
      <c r="AM124" s="379">
        <f t="shared" ca="1" si="25"/>
        <v>400000</v>
      </c>
      <c r="AN124" s="378">
        <f t="shared" ca="1" si="25"/>
        <v>400000</v>
      </c>
      <c r="AO124" s="378">
        <f t="shared" ca="1" si="25"/>
        <v>400000</v>
      </c>
      <c r="AP124" s="378">
        <f t="shared" ca="1" si="25"/>
        <v>400000</v>
      </c>
      <c r="AQ124" s="379">
        <f t="shared" ca="1" si="25"/>
        <v>400000</v>
      </c>
      <c r="AR124" s="378">
        <f t="shared" ca="1" si="25"/>
        <v>400000</v>
      </c>
      <c r="AS124" s="378">
        <f t="shared" ca="1" si="25"/>
        <v>400000</v>
      </c>
      <c r="AT124" s="378">
        <f t="shared" ca="1" si="25"/>
        <v>400000</v>
      </c>
      <c r="AU124" s="379">
        <f t="shared" ca="1" si="25"/>
        <v>400000</v>
      </c>
      <c r="AV124" s="380"/>
      <c r="AW124" s="380"/>
      <c r="AX124" s="380"/>
      <c r="AY124" s="381"/>
    </row>
    <row r="125" spans="1:51" ht="15.75" customHeight="1" x14ac:dyDescent="0.2">
      <c r="A125" s="382"/>
      <c r="B125" s="383" t="s">
        <v>168</v>
      </c>
      <c r="C125" s="384"/>
      <c r="D125" s="385">
        <f t="shared" ref="D125:AU125" si="26">D124/$C$5</f>
        <v>6.4999999999999997E-3</v>
      </c>
      <c r="E125" s="385">
        <f t="shared" ca="1" si="26"/>
        <v>6.4999999999999997E-3</v>
      </c>
      <c r="F125" s="385">
        <f t="shared" ca="1" si="26"/>
        <v>6.4999999999999997E-3</v>
      </c>
      <c r="G125" s="386">
        <f t="shared" ca="1" si="26"/>
        <v>6.4999999999999997E-3</v>
      </c>
      <c r="H125" s="385">
        <f t="shared" ca="1" si="26"/>
        <v>6.4999999999999997E-3</v>
      </c>
      <c r="I125" s="385">
        <f t="shared" ca="1" si="26"/>
        <v>6.4999999999999997E-3</v>
      </c>
      <c r="J125" s="385">
        <f t="shared" ca="1" si="26"/>
        <v>6.4999999999999997E-3</v>
      </c>
      <c r="K125" s="386">
        <f t="shared" ca="1" si="26"/>
        <v>6.4999999999999997E-3</v>
      </c>
      <c r="L125" s="385">
        <f t="shared" ca="1" si="26"/>
        <v>6.4999999999999997E-3</v>
      </c>
      <c r="M125" s="385">
        <f t="shared" ca="1" si="26"/>
        <v>6.4999999999999997E-3</v>
      </c>
      <c r="N125" s="385">
        <f t="shared" ca="1" si="26"/>
        <v>6.4999999999999997E-3</v>
      </c>
      <c r="O125" s="386">
        <f t="shared" ca="1" si="26"/>
        <v>6.4999999999999997E-3</v>
      </c>
      <c r="P125" s="385">
        <f t="shared" ca="1" si="26"/>
        <v>6.4999999999999997E-3</v>
      </c>
      <c r="Q125" s="385">
        <f t="shared" ca="1" si="26"/>
        <v>6.3749999999999996E-3</v>
      </c>
      <c r="R125" s="385">
        <f t="shared" ca="1" si="26"/>
        <v>6.2500000000000003E-3</v>
      </c>
      <c r="S125" s="386">
        <f t="shared" ca="1" si="26"/>
        <v>6.1250000000000002E-3</v>
      </c>
      <c r="T125" s="385">
        <f t="shared" ca="1" si="26"/>
        <v>6.0000000000000001E-3</v>
      </c>
      <c r="U125" s="385">
        <f t="shared" ca="1" si="26"/>
        <v>5.875E-3</v>
      </c>
      <c r="V125" s="385">
        <f t="shared" ca="1" si="26"/>
        <v>5.7499999999999999E-3</v>
      </c>
      <c r="W125" s="386">
        <f t="shared" ca="1" si="26"/>
        <v>5.6249999999999998E-3</v>
      </c>
      <c r="X125" s="385">
        <f t="shared" ca="1" si="26"/>
        <v>5.4999999999999997E-3</v>
      </c>
      <c r="Y125" s="385">
        <f t="shared" ca="1" si="26"/>
        <v>5.3749999999999996E-3</v>
      </c>
      <c r="Z125" s="385">
        <f t="shared" ca="1" si="26"/>
        <v>5.2500000000000003E-3</v>
      </c>
      <c r="AA125" s="386">
        <f t="shared" ca="1" si="26"/>
        <v>5.1249999999999985E-3</v>
      </c>
      <c r="AB125" s="385">
        <f t="shared" ca="1" si="26"/>
        <v>4.9999999999999992E-3</v>
      </c>
      <c r="AC125" s="385">
        <f t="shared" ca="1" si="26"/>
        <v>4.8749999999999991E-3</v>
      </c>
      <c r="AD125" s="385">
        <f t="shared" ca="1" si="26"/>
        <v>4.749999999999999E-3</v>
      </c>
      <c r="AE125" s="386">
        <f t="shared" ca="1" si="26"/>
        <v>4.6249999999999989E-3</v>
      </c>
      <c r="AF125" s="385">
        <f t="shared" ca="1" si="26"/>
        <v>4.4999999999999988E-3</v>
      </c>
      <c r="AG125" s="385">
        <f t="shared" ca="1" si="26"/>
        <v>4.3749999999999987E-3</v>
      </c>
      <c r="AH125" s="385">
        <f t="shared" ca="1" si="26"/>
        <v>4.2499999999999986E-3</v>
      </c>
      <c r="AI125" s="386">
        <f t="shared" ca="1" si="26"/>
        <v>4.1249999999999985E-3</v>
      </c>
      <c r="AJ125" s="385">
        <f t="shared" ca="1" si="26"/>
        <v>4.0000000000000001E-3</v>
      </c>
      <c r="AK125" s="385">
        <f t="shared" ca="1" si="26"/>
        <v>4.0000000000000001E-3</v>
      </c>
      <c r="AL125" s="385">
        <f t="shared" ca="1" si="26"/>
        <v>4.0000000000000001E-3</v>
      </c>
      <c r="AM125" s="386">
        <f t="shared" ca="1" si="26"/>
        <v>4.0000000000000001E-3</v>
      </c>
      <c r="AN125" s="385">
        <f t="shared" ca="1" si="26"/>
        <v>4.0000000000000001E-3</v>
      </c>
      <c r="AO125" s="385">
        <f t="shared" ca="1" si="26"/>
        <v>4.0000000000000001E-3</v>
      </c>
      <c r="AP125" s="385">
        <f t="shared" ca="1" si="26"/>
        <v>4.0000000000000001E-3</v>
      </c>
      <c r="AQ125" s="386">
        <f t="shared" ca="1" si="26"/>
        <v>4.0000000000000001E-3</v>
      </c>
      <c r="AR125" s="385">
        <f t="shared" ca="1" si="26"/>
        <v>4.0000000000000001E-3</v>
      </c>
      <c r="AS125" s="385">
        <f t="shared" ca="1" si="26"/>
        <v>4.0000000000000001E-3</v>
      </c>
      <c r="AT125" s="385">
        <f t="shared" ca="1" si="26"/>
        <v>4.0000000000000001E-3</v>
      </c>
      <c r="AU125" s="386">
        <f t="shared" ca="1" si="26"/>
        <v>4.0000000000000001E-3</v>
      </c>
      <c r="AV125" s="387"/>
      <c r="AW125" s="387"/>
      <c r="AX125" s="387"/>
      <c r="AY125" s="388"/>
    </row>
    <row r="126" spans="1:51" ht="15.75" customHeight="1" x14ac:dyDescent="0.2">
      <c r="A126" s="83"/>
      <c r="B126" s="389" t="s">
        <v>169</v>
      </c>
      <c r="C126" s="93"/>
      <c r="D126" s="390" t="str">
        <f t="shared" ref="D126:F126" si="27">IFERROR(D124/#REF!-1,"NA")</f>
        <v>NA</v>
      </c>
      <c r="E126" s="390" t="str">
        <f t="shared" ca="1" si="27"/>
        <v>NA</v>
      </c>
      <c r="F126" s="390" t="str">
        <f t="shared" ca="1" si="27"/>
        <v>NA</v>
      </c>
      <c r="G126" s="391" t="str">
        <f t="shared" ref="G126:AU126" ca="1" si="28">IFERROR(G124/C124-1,"NA")</f>
        <v>NA</v>
      </c>
      <c r="H126" s="390">
        <f t="shared" ca="1" si="28"/>
        <v>0</v>
      </c>
      <c r="I126" s="390">
        <f t="shared" ca="1" si="28"/>
        <v>0</v>
      </c>
      <c r="J126" s="390">
        <f t="shared" ca="1" si="28"/>
        <v>0</v>
      </c>
      <c r="K126" s="391">
        <f t="shared" ca="1" si="28"/>
        <v>0</v>
      </c>
      <c r="L126" s="390">
        <f t="shared" ca="1" si="28"/>
        <v>0</v>
      </c>
      <c r="M126" s="390">
        <f t="shared" ca="1" si="28"/>
        <v>0</v>
      </c>
      <c r="N126" s="390">
        <f t="shared" ca="1" si="28"/>
        <v>0</v>
      </c>
      <c r="O126" s="391">
        <f t="shared" ca="1" si="28"/>
        <v>0</v>
      </c>
      <c r="P126" s="390">
        <f t="shared" ca="1" si="28"/>
        <v>0</v>
      </c>
      <c r="Q126" s="390">
        <f t="shared" ca="1" si="28"/>
        <v>-1.9230769230769273E-2</v>
      </c>
      <c r="R126" s="390">
        <f t="shared" ca="1" si="28"/>
        <v>-3.8461538461538436E-2</v>
      </c>
      <c r="S126" s="391">
        <f t="shared" ca="1" si="28"/>
        <v>-5.7692307692307709E-2</v>
      </c>
      <c r="T126" s="390">
        <f t="shared" ca="1" si="28"/>
        <v>-7.6923076923076872E-2</v>
      </c>
      <c r="U126" s="390">
        <f t="shared" ca="1" si="28"/>
        <v>-7.8431372549019662E-2</v>
      </c>
      <c r="V126" s="390">
        <f t="shared" ca="1" si="28"/>
        <v>-7.999999999999996E-2</v>
      </c>
      <c r="W126" s="391">
        <f t="shared" ca="1" si="28"/>
        <v>-8.1632653061224469E-2</v>
      </c>
      <c r="X126" s="390">
        <f t="shared" ca="1" si="28"/>
        <v>-8.333333333333337E-2</v>
      </c>
      <c r="Y126" s="390">
        <f t="shared" ca="1" si="28"/>
        <v>-8.5106382978723416E-2</v>
      </c>
      <c r="Z126" s="390">
        <f t="shared" ca="1" si="28"/>
        <v>-8.6956521739130488E-2</v>
      </c>
      <c r="AA126" s="391">
        <f t="shared" ca="1" si="28"/>
        <v>-8.8888888888889128E-2</v>
      </c>
      <c r="AB126" s="390">
        <f t="shared" ca="1" si="28"/>
        <v>-9.0909090909091161E-2</v>
      </c>
      <c r="AC126" s="390">
        <f t="shared" ca="1" si="28"/>
        <v>-9.3023255813953654E-2</v>
      </c>
      <c r="AD126" s="390">
        <f t="shared" ca="1" si="28"/>
        <v>-9.5238095238095455E-2</v>
      </c>
      <c r="AE126" s="391">
        <f t="shared" ca="1" si="28"/>
        <v>-9.7560975609756073E-2</v>
      </c>
      <c r="AF126" s="390">
        <f t="shared" ca="1" si="28"/>
        <v>-9.9999999999999978E-2</v>
      </c>
      <c r="AG126" s="390">
        <f t="shared" ca="1" si="28"/>
        <v>-0.10256410256410275</v>
      </c>
      <c r="AH126" s="390">
        <f t="shared" ca="1" si="28"/>
        <v>-0.10526315789473695</v>
      </c>
      <c r="AI126" s="391">
        <f t="shared" ca="1" si="28"/>
        <v>-0.10810810810810823</v>
      </c>
      <c r="AJ126" s="390">
        <f t="shared" ca="1" si="28"/>
        <v>-0.11111111111111083</v>
      </c>
      <c r="AK126" s="390">
        <f t="shared" ca="1" si="28"/>
        <v>-8.5714285714285299E-2</v>
      </c>
      <c r="AL126" s="390">
        <f t="shared" ca="1" si="28"/>
        <v>-5.8823529411764275E-2</v>
      </c>
      <c r="AM126" s="391">
        <f t="shared" ca="1" si="28"/>
        <v>-3.0303030303029943E-2</v>
      </c>
      <c r="AN126" s="390">
        <f t="shared" ca="1" si="28"/>
        <v>0</v>
      </c>
      <c r="AO126" s="390">
        <f t="shared" ca="1" si="28"/>
        <v>0</v>
      </c>
      <c r="AP126" s="390">
        <f t="shared" ca="1" si="28"/>
        <v>0</v>
      </c>
      <c r="AQ126" s="391">
        <f t="shared" ca="1" si="28"/>
        <v>0</v>
      </c>
      <c r="AR126" s="390">
        <f t="shared" ca="1" si="28"/>
        <v>0</v>
      </c>
      <c r="AS126" s="390">
        <f t="shared" ca="1" si="28"/>
        <v>0</v>
      </c>
      <c r="AT126" s="390">
        <f t="shared" ca="1" si="28"/>
        <v>0</v>
      </c>
      <c r="AU126" s="391">
        <f t="shared" ca="1" si="28"/>
        <v>0</v>
      </c>
      <c r="AV126" s="392"/>
      <c r="AW126" s="392"/>
      <c r="AX126" s="392"/>
      <c r="AY126" s="393"/>
    </row>
    <row r="127" spans="1:51" ht="15.75" customHeight="1" x14ac:dyDescent="0.2">
      <c r="A127" s="83"/>
      <c r="B127" s="287"/>
      <c r="C127" s="93"/>
      <c r="G127" s="394"/>
      <c r="K127" s="394"/>
      <c r="O127" s="394"/>
      <c r="S127" s="394"/>
      <c r="W127" s="394"/>
      <c r="AA127" s="394"/>
      <c r="AE127" s="394"/>
      <c r="AI127" s="394"/>
      <c r="AM127" s="394"/>
      <c r="AQ127" s="394"/>
      <c r="AU127" s="394"/>
      <c r="AV127" s="6"/>
      <c r="AW127" s="6"/>
      <c r="AX127" s="6"/>
      <c r="AY127" s="395"/>
    </row>
    <row r="128" spans="1:51" ht="15.75" customHeight="1" x14ac:dyDescent="0.2">
      <c r="A128" s="83" t="s">
        <v>30</v>
      </c>
      <c r="B128" s="39" t="s">
        <v>74</v>
      </c>
      <c r="C128" s="334"/>
      <c r="G128" s="394"/>
      <c r="K128" s="394"/>
      <c r="O128" s="394"/>
      <c r="S128" s="394"/>
      <c r="W128" s="394"/>
      <c r="AA128" s="394"/>
      <c r="AE128" s="394"/>
      <c r="AI128" s="394"/>
      <c r="AM128" s="394"/>
      <c r="AQ128" s="394"/>
      <c r="AU128" s="394"/>
      <c r="AV128" s="6"/>
      <c r="AW128" s="6"/>
      <c r="AX128" s="6"/>
      <c r="AY128" s="395"/>
    </row>
    <row r="129" spans="1:51" ht="15.75" customHeight="1" x14ac:dyDescent="0.2">
      <c r="A129" s="83"/>
      <c r="B129" s="396" t="s">
        <v>170</v>
      </c>
      <c r="C129" s="93"/>
      <c r="D129" s="397">
        <f>'Summary and Assumptions'!$D$145</f>
        <v>0</v>
      </c>
      <c r="E129" s="397">
        <f>'Summary and Assumptions'!$D$145</f>
        <v>0</v>
      </c>
      <c r="F129" s="397">
        <f>'Summary and Assumptions'!$D$145</f>
        <v>0</v>
      </c>
      <c r="G129" s="288">
        <f>'Summary and Assumptions'!$D$145</f>
        <v>0</v>
      </c>
      <c r="H129" s="397">
        <f>'Summary and Assumptions'!$D$145</f>
        <v>0</v>
      </c>
      <c r="I129" s="397">
        <f>'Summary and Assumptions'!$D$145</f>
        <v>0</v>
      </c>
      <c r="J129" s="397">
        <f>'Summary and Assumptions'!$D$145</f>
        <v>0</v>
      </c>
      <c r="K129" s="288">
        <f>'Summary and Assumptions'!$D$145</f>
        <v>0</v>
      </c>
      <c r="L129" s="397">
        <f>'Summary and Assumptions'!$D$145</f>
        <v>0</v>
      </c>
      <c r="M129" s="397">
        <f>'Summary and Assumptions'!$D$145</f>
        <v>0</v>
      </c>
      <c r="N129" s="397">
        <f>'Summary and Assumptions'!$D$145</f>
        <v>0</v>
      </c>
      <c r="O129" s="288">
        <f>'Summary and Assumptions'!$D$145</f>
        <v>0</v>
      </c>
      <c r="P129" s="397">
        <f>'Summary and Assumptions'!$D$145</f>
        <v>0</v>
      </c>
      <c r="Q129" s="397">
        <f>'Summary and Assumptions'!$D$145</f>
        <v>0</v>
      </c>
      <c r="R129" s="397">
        <f>'Summary and Assumptions'!$D$145</f>
        <v>0</v>
      </c>
      <c r="S129" s="288">
        <f>'Summary and Assumptions'!$D$145</f>
        <v>0</v>
      </c>
      <c r="T129" s="397">
        <f>'Summary and Assumptions'!$D$145</f>
        <v>0</v>
      </c>
      <c r="U129" s="397">
        <f>'Summary and Assumptions'!$D$145</f>
        <v>0</v>
      </c>
      <c r="V129" s="397">
        <f>'Summary and Assumptions'!$D$145</f>
        <v>0</v>
      </c>
      <c r="W129" s="288">
        <f>'Summary and Assumptions'!$D$145</f>
        <v>0</v>
      </c>
      <c r="X129" s="397">
        <f>'Summary and Assumptions'!$D$145</f>
        <v>0</v>
      </c>
      <c r="Y129" s="397">
        <f>'Summary and Assumptions'!$D$145</f>
        <v>0</v>
      </c>
      <c r="Z129" s="397">
        <f>'Summary and Assumptions'!$D$145</f>
        <v>0</v>
      </c>
      <c r="AA129" s="288">
        <f>'Summary and Assumptions'!$D$145</f>
        <v>0</v>
      </c>
      <c r="AB129" s="397">
        <f>'Summary and Assumptions'!$D$145</f>
        <v>0</v>
      </c>
      <c r="AC129" s="397">
        <f>'Summary and Assumptions'!$D$145</f>
        <v>0</v>
      </c>
      <c r="AD129" s="397">
        <f>'Summary and Assumptions'!$D$145</f>
        <v>0</v>
      </c>
      <c r="AE129" s="288">
        <f>'Summary and Assumptions'!$D$145</f>
        <v>0</v>
      </c>
      <c r="AF129" s="397">
        <f>'Summary and Assumptions'!$D$145</f>
        <v>0</v>
      </c>
      <c r="AG129" s="397">
        <f>'Summary and Assumptions'!$D$145</f>
        <v>0</v>
      </c>
      <c r="AH129" s="397">
        <f>'Summary and Assumptions'!$D$145</f>
        <v>0</v>
      </c>
      <c r="AI129" s="288">
        <f>'Summary and Assumptions'!$D$145</f>
        <v>0</v>
      </c>
      <c r="AJ129" s="397">
        <f>'Summary and Assumptions'!$D$145</f>
        <v>0</v>
      </c>
      <c r="AK129" s="397">
        <f>'Summary and Assumptions'!$D$145</f>
        <v>0</v>
      </c>
      <c r="AL129" s="397">
        <f>'Summary and Assumptions'!$D$145</f>
        <v>0</v>
      </c>
      <c r="AM129" s="288">
        <f>'Summary and Assumptions'!$D$145</f>
        <v>0</v>
      </c>
      <c r="AN129" s="397">
        <f>'Summary and Assumptions'!$D$145</f>
        <v>0</v>
      </c>
      <c r="AO129" s="397">
        <f>'Summary and Assumptions'!$D$145</f>
        <v>0</v>
      </c>
      <c r="AP129" s="397">
        <f>'Summary and Assumptions'!$D$145</f>
        <v>0</v>
      </c>
      <c r="AQ129" s="288">
        <f>'Summary and Assumptions'!$D$145</f>
        <v>0</v>
      </c>
      <c r="AR129" s="397">
        <f>'Summary and Assumptions'!$D$145</f>
        <v>0</v>
      </c>
      <c r="AS129" s="397">
        <f>'Summary and Assumptions'!$D$145</f>
        <v>0</v>
      </c>
      <c r="AT129" s="397">
        <f>'Summary and Assumptions'!$D$145</f>
        <v>0</v>
      </c>
      <c r="AU129" s="394"/>
      <c r="AV129" s="99"/>
      <c r="AW129" s="99"/>
      <c r="AX129" s="99"/>
      <c r="AY129" s="395"/>
    </row>
    <row r="130" spans="1:51" ht="15.75" customHeight="1" x14ac:dyDescent="0.2">
      <c r="A130" s="83"/>
      <c r="B130" s="396" t="s">
        <v>171</v>
      </c>
      <c r="C130" s="93"/>
      <c r="D130" s="397">
        <f>'Summary and Assumptions'!$D$146</f>
        <v>0</v>
      </c>
      <c r="E130" s="397">
        <f>'Summary and Assumptions'!$D$146</f>
        <v>0</v>
      </c>
      <c r="F130" s="397">
        <f>'Summary and Assumptions'!$D$146</f>
        <v>0</v>
      </c>
      <c r="G130" s="288">
        <f>'Summary and Assumptions'!$D$146</f>
        <v>0</v>
      </c>
      <c r="H130" s="397">
        <f>'Summary and Assumptions'!$D$146</f>
        <v>0</v>
      </c>
      <c r="I130" s="397">
        <f>'Summary and Assumptions'!$D$146</f>
        <v>0</v>
      </c>
      <c r="J130" s="397">
        <f>'Summary and Assumptions'!$D$146</f>
        <v>0</v>
      </c>
      <c r="K130" s="288">
        <f>'Summary and Assumptions'!$D$146</f>
        <v>0</v>
      </c>
      <c r="L130" s="397">
        <f>'Summary and Assumptions'!$D$146</f>
        <v>0</v>
      </c>
      <c r="M130" s="397">
        <f>'Summary and Assumptions'!$D$146</f>
        <v>0</v>
      </c>
      <c r="N130" s="397">
        <f>'Summary and Assumptions'!$D$146</f>
        <v>0</v>
      </c>
      <c r="O130" s="288">
        <f>'Summary and Assumptions'!$D$146</f>
        <v>0</v>
      </c>
      <c r="P130" s="397">
        <f>'Summary and Assumptions'!$D$146</f>
        <v>0</v>
      </c>
      <c r="Q130" s="397">
        <f>'Summary and Assumptions'!$D$146</f>
        <v>0</v>
      </c>
      <c r="R130" s="397">
        <f>'Summary and Assumptions'!$D$146</f>
        <v>0</v>
      </c>
      <c r="S130" s="288">
        <f>'Summary and Assumptions'!$D$146</f>
        <v>0</v>
      </c>
      <c r="T130" s="397">
        <f>'Summary and Assumptions'!$D$146</f>
        <v>0</v>
      </c>
      <c r="U130" s="397">
        <f>'Summary and Assumptions'!$D$146</f>
        <v>0</v>
      </c>
      <c r="V130" s="397">
        <f>'Summary and Assumptions'!$D$146</f>
        <v>0</v>
      </c>
      <c r="W130" s="288">
        <f>'Summary and Assumptions'!$D$146</f>
        <v>0</v>
      </c>
      <c r="X130" s="397">
        <f>'Summary and Assumptions'!$D$146</f>
        <v>0</v>
      </c>
      <c r="Y130" s="397">
        <f>'Summary and Assumptions'!$D$146</f>
        <v>0</v>
      </c>
      <c r="Z130" s="397">
        <f>'Summary and Assumptions'!$D$146</f>
        <v>0</v>
      </c>
      <c r="AA130" s="288">
        <f>'Summary and Assumptions'!$D$146</f>
        <v>0</v>
      </c>
      <c r="AB130" s="397">
        <f>'Summary and Assumptions'!$D$146</f>
        <v>0</v>
      </c>
      <c r="AC130" s="397">
        <f>'Summary and Assumptions'!$D$146</f>
        <v>0</v>
      </c>
      <c r="AD130" s="397">
        <f>'Summary and Assumptions'!$D$146</f>
        <v>0</v>
      </c>
      <c r="AE130" s="288">
        <f>'Summary and Assumptions'!$D$146</f>
        <v>0</v>
      </c>
      <c r="AF130" s="397">
        <f>'Summary and Assumptions'!$D$146</f>
        <v>0</v>
      </c>
      <c r="AG130" s="397">
        <f>'Summary and Assumptions'!$D$146</f>
        <v>0</v>
      </c>
      <c r="AH130" s="397">
        <f>'Summary and Assumptions'!$D$146</f>
        <v>0</v>
      </c>
      <c r="AI130" s="288">
        <f>'Summary and Assumptions'!$D$146</f>
        <v>0</v>
      </c>
      <c r="AJ130" s="397">
        <f>'Summary and Assumptions'!$D$146</f>
        <v>0</v>
      </c>
      <c r="AK130" s="397">
        <f>'Summary and Assumptions'!$D$146</f>
        <v>0</v>
      </c>
      <c r="AL130" s="397">
        <f>'Summary and Assumptions'!$D$146</f>
        <v>0</v>
      </c>
      <c r="AM130" s="288">
        <f>'Summary and Assumptions'!$D$146</f>
        <v>0</v>
      </c>
      <c r="AN130" s="397">
        <f>'Summary and Assumptions'!$D$146</f>
        <v>0</v>
      </c>
      <c r="AO130" s="397">
        <f>'Summary and Assumptions'!$D$146</f>
        <v>0</v>
      </c>
      <c r="AP130" s="397">
        <f>'Summary and Assumptions'!$D$146</f>
        <v>0</v>
      </c>
      <c r="AQ130" s="288">
        <f>'Summary and Assumptions'!$D$146</f>
        <v>0</v>
      </c>
      <c r="AR130" s="397">
        <f>'Summary and Assumptions'!$D$146</f>
        <v>0</v>
      </c>
      <c r="AS130" s="397">
        <f>'Summary and Assumptions'!$D$146</f>
        <v>0</v>
      </c>
      <c r="AT130" s="397">
        <f>'Summary and Assumptions'!$D$146</f>
        <v>0</v>
      </c>
      <c r="AU130" s="394"/>
      <c r="AV130" s="99"/>
      <c r="AW130" s="99"/>
      <c r="AX130" s="99"/>
      <c r="AY130" s="395"/>
    </row>
    <row r="131" spans="1:51" ht="15.75" customHeight="1" x14ac:dyDescent="0.2">
      <c r="A131" s="83"/>
      <c r="B131" s="262" t="s">
        <v>172</v>
      </c>
      <c r="C131" s="275"/>
      <c r="D131" s="378">
        <f t="shared" ref="D131:AU131" si="29">SUM(D130,D129)</f>
        <v>0</v>
      </c>
      <c r="E131" s="378">
        <f t="shared" si="29"/>
        <v>0</v>
      </c>
      <c r="F131" s="378">
        <f t="shared" si="29"/>
        <v>0</v>
      </c>
      <c r="G131" s="379">
        <f t="shared" si="29"/>
        <v>0</v>
      </c>
      <c r="H131" s="378">
        <f t="shared" si="29"/>
        <v>0</v>
      </c>
      <c r="I131" s="378">
        <f t="shared" si="29"/>
        <v>0</v>
      </c>
      <c r="J131" s="378">
        <f t="shared" si="29"/>
        <v>0</v>
      </c>
      <c r="K131" s="379">
        <f t="shared" si="29"/>
        <v>0</v>
      </c>
      <c r="L131" s="378">
        <f t="shared" si="29"/>
        <v>0</v>
      </c>
      <c r="M131" s="378">
        <f t="shared" si="29"/>
        <v>0</v>
      </c>
      <c r="N131" s="378">
        <f t="shared" si="29"/>
        <v>0</v>
      </c>
      <c r="O131" s="379">
        <f t="shared" si="29"/>
        <v>0</v>
      </c>
      <c r="P131" s="378">
        <f t="shared" si="29"/>
        <v>0</v>
      </c>
      <c r="Q131" s="378">
        <f t="shared" si="29"/>
        <v>0</v>
      </c>
      <c r="R131" s="378">
        <f t="shared" si="29"/>
        <v>0</v>
      </c>
      <c r="S131" s="379">
        <f t="shared" si="29"/>
        <v>0</v>
      </c>
      <c r="T131" s="378">
        <f t="shared" si="29"/>
        <v>0</v>
      </c>
      <c r="U131" s="378">
        <f t="shared" si="29"/>
        <v>0</v>
      </c>
      <c r="V131" s="378">
        <f t="shared" si="29"/>
        <v>0</v>
      </c>
      <c r="W131" s="379">
        <f t="shared" si="29"/>
        <v>0</v>
      </c>
      <c r="X131" s="378">
        <f t="shared" si="29"/>
        <v>0</v>
      </c>
      <c r="Y131" s="378">
        <f t="shared" si="29"/>
        <v>0</v>
      </c>
      <c r="Z131" s="378">
        <f t="shared" si="29"/>
        <v>0</v>
      </c>
      <c r="AA131" s="379">
        <f t="shared" si="29"/>
        <v>0</v>
      </c>
      <c r="AB131" s="378">
        <f t="shared" si="29"/>
        <v>0</v>
      </c>
      <c r="AC131" s="378">
        <f t="shared" si="29"/>
        <v>0</v>
      </c>
      <c r="AD131" s="378">
        <f t="shared" si="29"/>
        <v>0</v>
      </c>
      <c r="AE131" s="379">
        <f t="shared" si="29"/>
        <v>0</v>
      </c>
      <c r="AF131" s="378">
        <f t="shared" si="29"/>
        <v>0</v>
      </c>
      <c r="AG131" s="378">
        <f t="shared" si="29"/>
        <v>0</v>
      </c>
      <c r="AH131" s="378">
        <f t="shared" si="29"/>
        <v>0</v>
      </c>
      <c r="AI131" s="379">
        <f t="shared" si="29"/>
        <v>0</v>
      </c>
      <c r="AJ131" s="378">
        <f t="shared" si="29"/>
        <v>0</v>
      </c>
      <c r="AK131" s="378">
        <f t="shared" si="29"/>
        <v>0</v>
      </c>
      <c r="AL131" s="378">
        <f t="shared" si="29"/>
        <v>0</v>
      </c>
      <c r="AM131" s="379">
        <f t="shared" si="29"/>
        <v>0</v>
      </c>
      <c r="AN131" s="378">
        <f t="shared" si="29"/>
        <v>0</v>
      </c>
      <c r="AO131" s="378">
        <f t="shared" si="29"/>
        <v>0</v>
      </c>
      <c r="AP131" s="378">
        <f t="shared" si="29"/>
        <v>0</v>
      </c>
      <c r="AQ131" s="379">
        <f t="shared" si="29"/>
        <v>0</v>
      </c>
      <c r="AR131" s="378">
        <f t="shared" si="29"/>
        <v>0</v>
      </c>
      <c r="AS131" s="378">
        <f t="shared" si="29"/>
        <v>0</v>
      </c>
      <c r="AT131" s="378">
        <f t="shared" si="29"/>
        <v>0</v>
      </c>
      <c r="AU131" s="379">
        <f t="shared" si="29"/>
        <v>0</v>
      </c>
      <c r="AV131" s="380"/>
      <c r="AW131" s="380"/>
      <c r="AX131" s="380"/>
      <c r="AY131" s="381"/>
    </row>
    <row r="132" spans="1:51" ht="15.75" customHeight="1" x14ac:dyDescent="0.2">
      <c r="A132" s="382"/>
      <c r="B132" s="383" t="s">
        <v>168</v>
      </c>
      <c r="C132" s="384"/>
      <c r="D132" s="385">
        <f t="shared" ref="D132:AU132" si="30">D131/$C$5</f>
        <v>0</v>
      </c>
      <c r="E132" s="385">
        <f t="shared" si="30"/>
        <v>0</v>
      </c>
      <c r="F132" s="385">
        <f t="shared" si="30"/>
        <v>0</v>
      </c>
      <c r="G132" s="386">
        <f t="shared" si="30"/>
        <v>0</v>
      </c>
      <c r="H132" s="385">
        <f t="shared" si="30"/>
        <v>0</v>
      </c>
      <c r="I132" s="385">
        <f t="shared" si="30"/>
        <v>0</v>
      </c>
      <c r="J132" s="385">
        <f t="shared" si="30"/>
        <v>0</v>
      </c>
      <c r="K132" s="386">
        <f t="shared" si="30"/>
        <v>0</v>
      </c>
      <c r="L132" s="385">
        <f t="shared" si="30"/>
        <v>0</v>
      </c>
      <c r="M132" s="385">
        <f t="shared" si="30"/>
        <v>0</v>
      </c>
      <c r="N132" s="385">
        <f t="shared" si="30"/>
        <v>0</v>
      </c>
      <c r="O132" s="386">
        <f t="shared" si="30"/>
        <v>0</v>
      </c>
      <c r="P132" s="385">
        <f t="shared" si="30"/>
        <v>0</v>
      </c>
      <c r="Q132" s="385">
        <f t="shared" si="30"/>
        <v>0</v>
      </c>
      <c r="R132" s="385">
        <f t="shared" si="30"/>
        <v>0</v>
      </c>
      <c r="S132" s="386">
        <f t="shared" si="30"/>
        <v>0</v>
      </c>
      <c r="T132" s="385">
        <f t="shared" si="30"/>
        <v>0</v>
      </c>
      <c r="U132" s="385">
        <f t="shared" si="30"/>
        <v>0</v>
      </c>
      <c r="V132" s="385">
        <f t="shared" si="30"/>
        <v>0</v>
      </c>
      <c r="W132" s="386">
        <f t="shared" si="30"/>
        <v>0</v>
      </c>
      <c r="X132" s="385">
        <f t="shared" si="30"/>
        <v>0</v>
      </c>
      <c r="Y132" s="385">
        <f t="shared" si="30"/>
        <v>0</v>
      </c>
      <c r="Z132" s="385">
        <f t="shared" si="30"/>
        <v>0</v>
      </c>
      <c r="AA132" s="386">
        <f t="shared" si="30"/>
        <v>0</v>
      </c>
      <c r="AB132" s="385">
        <f t="shared" si="30"/>
        <v>0</v>
      </c>
      <c r="AC132" s="385">
        <f t="shared" si="30"/>
        <v>0</v>
      </c>
      <c r="AD132" s="385">
        <f t="shared" si="30"/>
        <v>0</v>
      </c>
      <c r="AE132" s="386">
        <f t="shared" si="30"/>
        <v>0</v>
      </c>
      <c r="AF132" s="385">
        <f t="shared" si="30"/>
        <v>0</v>
      </c>
      <c r="AG132" s="385">
        <f t="shared" si="30"/>
        <v>0</v>
      </c>
      <c r="AH132" s="385">
        <f t="shared" si="30"/>
        <v>0</v>
      </c>
      <c r="AI132" s="386">
        <f t="shared" si="30"/>
        <v>0</v>
      </c>
      <c r="AJ132" s="385">
        <f t="shared" si="30"/>
        <v>0</v>
      </c>
      <c r="AK132" s="385">
        <f t="shared" si="30"/>
        <v>0</v>
      </c>
      <c r="AL132" s="385">
        <f t="shared" si="30"/>
        <v>0</v>
      </c>
      <c r="AM132" s="386">
        <f t="shared" si="30"/>
        <v>0</v>
      </c>
      <c r="AN132" s="385">
        <f t="shared" si="30"/>
        <v>0</v>
      </c>
      <c r="AO132" s="385">
        <f t="shared" si="30"/>
        <v>0</v>
      </c>
      <c r="AP132" s="385">
        <f t="shared" si="30"/>
        <v>0</v>
      </c>
      <c r="AQ132" s="386">
        <f t="shared" si="30"/>
        <v>0</v>
      </c>
      <c r="AR132" s="385">
        <f t="shared" si="30"/>
        <v>0</v>
      </c>
      <c r="AS132" s="385">
        <f t="shared" si="30"/>
        <v>0</v>
      </c>
      <c r="AT132" s="385">
        <f t="shared" si="30"/>
        <v>0</v>
      </c>
      <c r="AU132" s="386">
        <f t="shared" si="30"/>
        <v>0</v>
      </c>
      <c r="AV132" s="387"/>
      <c r="AW132" s="387"/>
      <c r="AX132" s="387"/>
      <c r="AY132" s="388"/>
    </row>
    <row r="133" spans="1:51" ht="15.75" customHeight="1" x14ac:dyDescent="0.2">
      <c r="A133" s="83"/>
      <c r="B133" s="287"/>
      <c r="C133" s="93"/>
      <c r="G133" s="394"/>
      <c r="K133" s="394"/>
      <c r="O133" s="394"/>
      <c r="S133" s="394"/>
      <c r="W133" s="394"/>
      <c r="AA133" s="394"/>
      <c r="AE133" s="394"/>
      <c r="AI133" s="394"/>
      <c r="AM133" s="394"/>
      <c r="AQ133" s="394"/>
      <c r="AU133" s="394"/>
      <c r="AV133" s="6"/>
      <c r="AW133" s="6"/>
      <c r="AX133" s="6"/>
      <c r="AY133" s="395"/>
    </row>
    <row r="134" spans="1:51" ht="15.75" customHeight="1" x14ac:dyDescent="0.2">
      <c r="A134" s="83" t="s">
        <v>30</v>
      </c>
      <c r="B134" s="39" t="s">
        <v>173</v>
      </c>
      <c r="C134" s="93"/>
      <c r="G134" s="394"/>
      <c r="K134" s="394"/>
      <c r="O134" s="394"/>
      <c r="S134" s="394"/>
      <c r="W134" s="394"/>
      <c r="AA134" s="394"/>
      <c r="AE134" s="394"/>
      <c r="AI134" s="394"/>
      <c r="AM134" s="394"/>
      <c r="AQ134" s="394"/>
      <c r="AU134" s="394"/>
      <c r="AV134" s="6"/>
      <c r="AW134" s="6"/>
      <c r="AX134" s="6"/>
      <c r="AY134" s="395"/>
    </row>
    <row r="135" spans="1:51" ht="15.75" customHeight="1" x14ac:dyDescent="0.2">
      <c r="B135" s="3" t="s">
        <v>174</v>
      </c>
      <c r="C135" s="73"/>
      <c r="D135" s="398">
        <f>'Summary and Assumptions'!D11</f>
        <v>100000000</v>
      </c>
      <c r="E135" s="264">
        <f t="shared" ref="E135:AU135" ca="1" si="31">D140</f>
        <v>96850000</v>
      </c>
      <c r="F135" s="264">
        <f t="shared" ca="1" si="31"/>
        <v>92450000</v>
      </c>
      <c r="G135" s="399">
        <f t="shared" ca="1" si="31"/>
        <v>89300000</v>
      </c>
      <c r="H135" s="264">
        <f t="shared" ca="1" si="31"/>
        <v>84900000</v>
      </c>
      <c r="I135" s="264">
        <f t="shared" ca="1" si="31"/>
        <v>81750000</v>
      </c>
      <c r="J135" s="264">
        <f t="shared" ca="1" si="31"/>
        <v>77125000</v>
      </c>
      <c r="K135" s="399">
        <f t="shared" ca="1" si="31"/>
        <v>69575000</v>
      </c>
      <c r="L135" s="264">
        <f t="shared" ca="1" si="31"/>
        <v>64325000</v>
      </c>
      <c r="M135" s="264">
        <f t="shared" ca="1" si="31"/>
        <v>56775000</v>
      </c>
      <c r="N135" s="264">
        <f t="shared" ca="1" si="31"/>
        <v>49225000</v>
      </c>
      <c r="O135" s="399">
        <f t="shared" ca="1" si="31"/>
        <v>43975000</v>
      </c>
      <c r="P135" s="264">
        <f t="shared" ca="1" si="31"/>
        <v>35675000</v>
      </c>
      <c r="Q135" s="264">
        <f t="shared" ca="1" si="31"/>
        <v>28925000</v>
      </c>
      <c r="R135" s="264">
        <f t="shared" ca="1" si="31"/>
        <v>20387500</v>
      </c>
      <c r="S135" s="399">
        <f t="shared" ca="1" si="31"/>
        <v>15112500</v>
      </c>
      <c r="T135" s="264">
        <f t="shared" ca="1" si="31"/>
        <v>10150000</v>
      </c>
      <c r="U135" s="264">
        <f t="shared" ca="1" si="31"/>
        <v>4150000</v>
      </c>
      <c r="V135" s="264">
        <f t="shared" ca="1" si="31"/>
        <v>-37500</v>
      </c>
      <c r="W135" s="399">
        <f t="shared" ca="1" si="31"/>
        <v>-5900000</v>
      </c>
      <c r="X135" s="264">
        <f t="shared" ca="1" si="31"/>
        <v>-8900000</v>
      </c>
      <c r="Y135" s="264">
        <f t="shared" ca="1" si="31"/>
        <v>-11700000</v>
      </c>
      <c r="Z135" s="264">
        <f t="shared" ca="1" si="31"/>
        <v>-14487500</v>
      </c>
      <c r="AA135" s="399">
        <f t="shared" ca="1" si="31"/>
        <v>-16512500</v>
      </c>
      <c r="AB135" s="264">
        <f t="shared" ca="1" si="31"/>
        <v>-19275000</v>
      </c>
      <c r="AC135" s="264">
        <f t="shared" ca="1" si="31"/>
        <v>-21275000</v>
      </c>
      <c r="AD135" s="264">
        <f t="shared" ca="1" si="31"/>
        <v>-22512500</v>
      </c>
      <c r="AE135" s="399">
        <f t="shared" ca="1" si="31"/>
        <v>-22987500</v>
      </c>
      <c r="AF135" s="264">
        <f t="shared" ca="1" si="31"/>
        <v>-23450000</v>
      </c>
      <c r="AG135" s="264">
        <f t="shared" ca="1" si="31"/>
        <v>-23900000</v>
      </c>
      <c r="AH135" s="264">
        <f t="shared" ca="1" si="31"/>
        <v>-24337500</v>
      </c>
      <c r="AI135" s="399">
        <f t="shared" ca="1" si="31"/>
        <v>-24762500</v>
      </c>
      <c r="AJ135" s="264">
        <f t="shared" ca="1" si="31"/>
        <v>-25175000</v>
      </c>
      <c r="AK135" s="264">
        <f t="shared" ca="1" si="31"/>
        <v>-25575000</v>
      </c>
      <c r="AL135" s="264">
        <f t="shared" ca="1" si="31"/>
        <v>-25975000</v>
      </c>
      <c r="AM135" s="399">
        <f t="shared" ca="1" si="31"/>
        <v>-26375000</v>
      </c>
      <c r="AN135" s="264">
        <f t="shared" ca="1" si="31"/>
        <v>-26775000</v>
      </c>
      <c r="AO135" s="264">
        <f t="shared" ca="1" si="31"/>
        <v>-27175000</v>
      </c>
      <c r="AP135" s="264">
        <f t="shared" ca="1" si="31"/>
        <v>-27575000</v>
      </c>
      <c r="AQ135" s="399">
        <f t="shared" ca="1" si="31"/>
        <v>-27975000</v>
      </c>
      <c r="AR135" s="264">
        <f t="shared" ca="1" si="31"/>
        <v>-28375000</v>
      </c>
      <c r="AS135" s="264">
        <f t="shared" ca="1" si="31"/>
        <v>-28775000</v>
      </c>
      <c r="AT135" s="264">
        <f t="shared" ca="1" si="31"/>
        <v>-29175000</v>
      </c>
      <c r="AU135" s="399">
        <f t="shared" ca="1" si="31"/>
        <v>-29575000</v>
      </c>
      <c r="AV135" s="400"/>
      <c r="AW135" s="400"/>
      <c r="AX135" s="400"/>
      <c r="AY135" s="401"/>
    </row>
    <row r="136" spans="1:51" ht="15.75" customHeight="1" x14ac:dyDescent="0.2">
      <c r="B136" s="3"/>
      <c r="C136" s="73" t="s">
        <v>175</v>
      </c>
      <c r="D136" s="402">
        <f t="shared" ref="D136:AU136" ca="1" si="32">-D59</f>
        <v>-2500000</v>
      </c>
      <c r="E136" s="264">
        <f t="shared" ca="1" si="32"/>
        <v>-3750000</v>
      </c>
      <c r="F136" s="264">
        <f t="shared" ca="1" si="32"/>
        <v>-2500000</v>
      </c>
      <c r="G136" s="399">
        <f t="shared" ca="1" si="32"/>
        <v>-3750000</v>
      </c>
      <c r="H136" s="264">
        <f t="shared" ca="1" si="32"/>
        <v>-2500000</v>
      </c>
      <c r="I136" s="264">
        <f t="shared" ca="1" si="32"/>
        <v>-3975000</v>
      </c>
      <c r="J136" s="264">
        <f t="shared" ca="1" si="32"/>
        <v>-6900000</v>
      </c>
      <c r="K136" s="399">
        <f t="shared" ca="1" si="32"/>
        <v>-4600000</v>
      </c>
      <c r="L136" s="264">
        <f t="shared" ca="1" si="32"/>
        <v>-6900000</v>
      </c>
      <c r="M136" s="264">
        <f t="shared" ca="1" si="32"/>
        <v>-6900000</v>
      </c>
      <c r="N136" s="264">
        <f t="shared" ca="1" si="32"/>
        <v>-4600000</v>
      </c>
      <c r="O136" s="399">
        <f t="shared" ca="1" si="32"/>
        <v>-7650000</v>
      </c>
      <c r="P136" s="264">
        <f t="shared" ca="1" si="32"/>
        <v>-6100000</v>
      </c>
      <c r="Q136" s="264">
        <f t="shared" ca="1" si="32"/>
        <v>-7900000</v>
      </c>
      <c r="R136" s="264">
        <f t="shared" ca="1" si="32"/>
        <v>-4650000</v>
      </c>
      <c r="S136" s="399">
        <f t="shared" ca="1" si="32"/>
        <v>-4350000</v>
      </c>
      <c r="T136" s="264">
        <f t="shared" ca="1" si="32"/>
        <v>-5400000</v>
      </c>
      <c r="U136" s="264">
        <f t="shared" ca="1" si="32"/>
        <v>-3600000</v>
      </c>
      <c r="V136" s="264">
        <f t="shared" ca="1" si="32"/>
        <v>-5287500</v>
      </c>
      <c r="W136" s="399">
        <f t="shared" ca="1" si="32"/>
        <v>-2437500</v>
      </c>
      <c r="X136" s="264">
        <f t="shared" ca="1" si="32"/>
        <v>-2250000</v>
      </c>
      <c r="Y136" s="264">
        <f t="shared" ca="1" si="32"/>
        <v>-2250000</v>
      </c>
      <c r="Z136" s="264">
        <f t="shared" ca="1" si="32"/>
        <v>-1500000</v>
      </c>
      <c r="AA136" s="399">
        <f t="shared" ca="1" si="32"/>
        <v>-2250000</v>
      </c>
      <c r="AB136" s="264">
        <f t="shared" ca="1" si="32"/>
        <v>-1500000</v>
      </c>
      <c r="AC136" s="264">
        <f t="shared" ca="1" si="32"/>
        <v>-750000</v>
      </c>
      <c r="AD136" s="264">
        <f t="shared" ca="1" si="32"/>
        <v>0</v>
      </c>
      <c r="AE136" s="399">
        <f t="shared" ca="1" si="32"/>
        <v>0</v>
      </c>
      <c r="AF136" s="264">
        <f t="shared" ca="1" si="32"/>
        <v>0</v>
      </c>
      <c r="AG136" s="264">
        <f t="shared" ca="1" si="32"/>
        <v>0</v>
      </c>
      <c r="AH136" s="264">
        <f t="shared" ca="1" si="32"/>
        <v>0</v>
      </c>
      <c r="AI136" s="399">
        <f t="shared" ca="1" si="32"/>
        <v>0</v>
      </c>
      <c r="AJ136" s="264">
        <f t="shared" ca="1" si="32"/>
        <v>0</v>
      </c>
      <c r="AK136" s="264">
        <f t="shared" ca="1" si="32"/>
        <v>0</v>
      </c>
      <c r="AL136" s="264">
        <f t="shared" ca="1" si="32"/>
        <v>0</v>
      </c>
      <c r="AM136" s="399">
        <f t="shared" ca="1" si="32"/>
        <v>0</v>
      </c>
      <c r="AN136" s="264">
        <f t="shared" ca="1" si="32"/>
        <v>0</v>
      </c>
      <c r="AO136" s="264">
        <f t="shared" ca="1" si="32"/>
        <v>0</v>
      </c>
      <c r="AP136" s="264">
        <f t="shared" ca="1" si="32"/>
        <v>0</v>
      </c>
      <c r="AQ136" s="399">
        <f t="shared" ca="1" si="32"/>
        <v>0</v>
      </c>
      <c r="AR136" s="264">
        <f t="shared" ca="1" si="32"/>
        <v>0</v>
      </c>
      <c r="AS136" s="264">
        <f t="shared" ca="1" si="32"/>
        <v>0</v>
      </c>
      <c r="AT136" s="264">
        <f t="shared" ca="1" si="32"/>
        <v>0</v>
      </c>
      <c r="AU136" s="399">
        <f t="shared" ca="1" si="32"/>
        <v>0</v>
      </c>
      <c r="AV136" s="400"/>
      <c r="AW136" s="400"/>
      <c r="AX136" s="400"/>
      <c r="AY136" s="401"/>
    </row>
    <row r="137" spans="1:51" ht="15.75" customHeight="1" x14ac:dyDescent="0.2">
      <c r="B137" s="3"/>
      <c r="C137" s="73" t="s">
        <v>176</v>
      </c>
      <c r="D137" s="402">
        <f t="shared" ref="D137:AU137" ca="1" si="33">D112</f>
        <v>0</v>
      </c>
      <c r="E137" s="264">
        <f t="shared" ca="1" si="33"/>
        <v>0</v>
      </c>
      <c r="F137" s="264">
        <f t="shared" ca="1" si="33"/>
        <v>0</v>
      </c>
      <c r="G137" s="399">
        <f t="shared" ca="1" si="33"/>
        <v>0</v>
      </c>
      <c r="H137" s="264">
        <f t="shared" ca="1" si="33"/>
        <v>0</v>
      </c>
      <c r="I137" s="264">
        <f t="shared" ca="1" si="33"/>
        <v>0</v>
      </c>
      <c r="J137" s="264">
        <f t="shared" ca="1" si="33"/>
        <v>0</v>
      </c>
      <c r="K137" s="399">
        <f t="shared" ca="1" si="33"/>
        <v>0</v>
      </c>
      <c r="L137" s="264">
        <f t="shared" ca="1" si="33"/>
        <v>0</v>
      </c>
      <c r="M137" s="264">
        <f t="shared" ca="1" si="33"/>
        <v>0</v>
      </c>
      <c r="N137" s="264">
        <f t="shared" ca="1" si="33"/>
        <v>0</v>
      </c>
      <c r="O137" s="399">
        <f t="shared" ca="1" si="33"/>
        <v>0</v>
      </c>
      <c r="P137" s="264">
        <f t="shared" ca="1" si="33"/>
        <v>0</v>
      </c>
      <c r="Q137" s="264">
        <f t="shared" ca="1" si="33"/>
        <v>0</v>
      </c>
      <c r="R137" s="264">
        <f t="shared" ca="1" si="33"/>
        <v>0</v>
      </c>
      <c r="S137" s="399">
        <f t="shared" ca="1" si="33"/>
        <v>0</v>
      </c>
      <c r="T137" s="264">
        <f t="shared" ca="1" si="33"/>
        <v>0</v>
      </c>
      <c r="U137" s="264">
        <f t="shared" ca="1" si="33"/>
        <v>0</v>
      </c>
      <c r="V137" s="264">
        <f t="shared" ca="1" si="33"/>
        <v>0</v>
      </c>
      <c r="W137" s="399">
        <f t="shared" ca="1" si="33"/>
        <v>0</v>
      </c>
      <c r="X137" s="264">
        <f t="shared" ca="1" si="33"/>
        <v>0</v>
      </c>
      <c r="Y137" s="264">
        <f t="shared" ca="1" si="33"/>
        <v>0</v>
      </c>
      <c r="Z137" s="264">
        <f t="shared" ca="1" si="33"/>
        <v>0</v>
      </c>
      <c r="AA137" s="399">
        <f t="shared" ca="1" si="33"/>
        <v>0</v>
      </c>
      <c r="AB137" s="264">
        <f t="shared" ca="1" si="33"/>
        <v>0</v>
      </c>
      <c r="AC137" s="264">
        <f t="shared" ca="1" si="33"/>
        <v>0</v>
      </c>
      <c r="AD137" s="264">
        <f t="shared" ca="1" si="33"/>
        <v>0</v>
      </c>
      <c r="AE137" s="399">
        <f t="shared" ca="1" si="33"/>
        <v>0</v>
      </c>
      <c r="AF137" s="264">
        <f t="shared" ca="1" si="33"/>
        <v>0</v>
      </c>
      <c r="AG137" s="264">
        <f t="shared" ca="1" si="33"/>
        <v>0</v>
      </c>
      <c r="AH137" s="264">
        <f t="shared" ca="1" si="33"/>
        <v>0</v>
      </c>
      <c r="AI137" s="399">
        <f t="shared" ca="1" si="33"/>
        <v>0</v>
      </c>
      <c r="AJ137" s="264">
        <f t="shared" ca="1" si="33"/>
        <v>0</v>
      </c>
      <c r="AK137" s="264">
        <f t="shared" ca="1" si="33"/>
        <v>0</v>
      </c>
      <c r="AL137" s="264">
        <f t="shared" ca="1" si="33"/>
        <v>0</v>
      </c>
      <c r="AM137" s="399">
        <f t="shared" ca="1" si="33"/>
        <v>0</v>
      </c>
      <c r="AN137" s="264">
        <f t="shared" ca="1" si="33"/>
        <v>0</v>
      </c>
      <c r="AO137" s="264">
        <f t="shared" ca="1" si="33"/>
        <v>0</v>
      </c>
      <c r="AP137" s="264">
        <f t="shared" ca="1" si="33"/>
        <v>0</v>
      </c>
      <c r="AQ137" s="399">
        <f t="shared" ca="1" si="33"/>
        <v>0</v>
      </c>
      <c r="AR137" s="264">
        <f t="shared" ca="1" si="33"/>
        <v>0</v>
      </c>
      <c r="AS137" s="264">
        <f t="shared" ca="1" si="33"/>
        <v>0</v>
      </c>
      <c r="AT137" s="264">
        <f t="shared" ca="1" si="33"/>
        <v>0</v>
      </c>
      <c r="AU137" s="399">
        <f t="shared" ca="1" si="33"/>
        <v>0</v>
      </c>
      <c r="AV137" s="400"/>
      <c r="AW137" s="400"/>
      <c r="AX137" s="400"/>
      <c r="AY137" s="401"/>
    </row>
    <row r="138" spans="1:51" ht="15.75" customHeight="1" x14ac:dyDescent="0.2">
      <c r="B138" s="3"/>
      <c r="C138" s="73" t="s">
        <v>74</v>
      </c>
      <c r="D138" s="402">
        <f t="shared" ref="D138:AU138" si="34">-D131</f>
        <v>0</v>
      </c>
      <c r="E138" s="264">
        <f t="shared" si="34"/>
        <v>0</v>
      </c>
      <c r="F138" s="264">
        <f t="shared" si="34"/>
        <v>0</v>
      </c>
      <c r="G138" s="399">
        <f t="shared" si="34"/>
        <v>0</v>
      </c>
      <c r="H138" s="264">
        <f t="shared" si="34"/>
        <v>0</v>
      </c>
      <c r="I138" s="264">
        <f t="shared" si="34"/>
        <v>0</v>
      </c>
      <c r="J138" s="264">
        <f t="shared" si="34"/>
        <v>0</v>
      </c>
      <c r="K138" s="399">
        <f t="shared" si="34"/>
        <v>0</v>
      </c>
      <c r="L138" s="264">
        <f t="shared" si="34"/>
        <v>0</v>
      </c>
      <c r="M138" s="264">
        <f t="shared" si="34"/>
        <v>0</v>
      </c>
      <c r="N138" s="264">
        <f t="shared" si="34"/>
        <v>0</v>
      </c>
      <c r="O138" s="399">
        <f t="shared" si="34"/>
        <v>0</v>
      </c>
      <c r="P138" s="264">
        <f t="shared" si="34"/>
        <v>0</v>
      </c>
      <c r="Q138" s="264">
        <f t="shared" si="34"/>
        <v>0</v>
      </c>
      <c r="R138" s="264">
        <f t="shared" si="34"/>
        <v>0</v>
      </c>
      <c r="S138" s="399">
        <f t="shared" si="34"/>
        <v>0</v>
      </c>
      <c r="T138" s="264">
        <f t="shared" si="34"/>
        <v>0</v>
      </c>
      <c r="U138" s="264">
        <f t="shared" si="34"/>
        <v>0</v>
      </c>
      <c r="V138" s="264">
        <f t="shared" si="34"/>
        <v>0</v>
      </c>
      <c r="W138" s="399">
        <f t="shared" si="34"/>
        <v>0</v>
      </c>
      <c r="X138" s="264">
        <f t="shared" si="34"/>
        <v>0</v>
      </c>
      <c r="Y138" s="264">
        <f t="shared" si="34"/>
        <v>0</v>
      </c>
      <c r="Z138" s="264">
        <f t="shared" si="34"/>
        <v>0</v>
      </c>
      <c r="AA138" s="399">
        <f t="shared" si="34"/>
        <v>0</v>
      </c>
      <c r="AB138" s="264">
        <f t="shared" si="34"/>
        <v>0</v>
      </c>
      <c r="AC138" s="264">
        <f t="shared" si="34"/>
        <v>0</v>
      </c>
      <c r="AD138" s="264">
        <f t="shared" si="34"/>
        <v>0</v>
      </c>
      <c r="AE138" s="399">
        <f t="shared" si="34"/>
        <v>0</v>
      </c>
      <c r="AF138" s="264">
        <f t="shared" si="34"/>
        <v>0</v>
      </c>
      <c r="AG138" s="264">
        <f t="shared" si="34"/>
        <v>0</v>
      </c>
      <c r="AH138" s="264">
        <f t="shared" si="34"/>
        <v>0</v>
      </c>
      <c r="AI138" s="399">
        <f t="shared" si="34"/>
        <v>0</v>
      </c>
      <c r="AJ138" s="264">
        <f t="shared" si="34"/>
        <v>0</v>
      </c>
      <c r="AK138" s="264">
        <f t="shared" si="34"/>
        <v>0</v>
      </c>
      <c r="AL138" s="264">
        <f t="shared" si="34"/>
        <v>0</v>
      </c>
      <c r="AM138" s="399">
        <f t="shared" si="34"/>
        <v>0</v>
      </c>
      <c r="AN138" s="264">
        <f t="shared" si="34"/>
        <v>0</v>
      </c>
      <c r="AO138" s="264">
        <f t="shared" si="34"/>
        <v>0</v>
      </c>
      <c r="AP138" s="264">
        <f t="shared" si="34"/>
        <v>0</v>
      </c>
      <c r="AQ138" s="399">
        <f t="shared" si="34"/>
        <v>0</v>
      </c>
      <c r="AR138" s="264">
        <f t="shared" si="34"/>
        <v>0</v>
      </c>
      <c r="AS138" s="264">
        <f t="shared" si="34"/>
        <v>0</v>
      </c>
      <c r="AT138" s="264">
        <f t="shared" si="34"/>
        <v>0</v>
      </c>
      <c r="AU138" s="399">
        <f t="shared" si="34"/>
        <v>0</v>
      </c>
      <c r="AV138" s="400"/>
      <c r="AW138" s="400"/>
      <c r="AX138" s="400"/>
      <c r="AY138" s="401"/>
    </row>
    <row r="139" spans="1:51" ht="15.75" customHeight="1" x14ac:dyDescent="0.2">
      <c r="B139" s="287"/>
      <c r="C139" s="403" t="s">
        <v>177</v>
      </c>
      <c r="D139" s="264">
        <f t="shared" ref="D139:AU139" si="35">-D124</f>
        <v>-650000</v>
      </c>
      <c r="E139" s="264">
        <f t="shared" ca="1" si="35"/>
        <v>-650000</v>
      </c>
      <c r="F139" s="264">
        <f t="shared" ca="1" si="35"/>
        <v>-650000</v>
      </c>
      <c r="G139" s="404">
        <f t="shared" ca="1" si="35"/>
        <v>-650000</v>
      </c>
      <c r="H139" s="264">
        <f t="shared" ca="1" si="35"/>
        <v>-650000</v>
      </c>
      <c r="I139" s="264">
        <f t="shared" ca="1" si="35"/>
        <v>-650000</v>
      </c>
      <c r="J139" s="264">
        <f t="shared" ca="1" si="35"/>
        <v>-650000</v>
      </c>
      <c r="K139" s="404">
        <f t="shared" ca="1" si="35"/>
        <v>-650000</v>
      </c>
      <c r="L139" s="264">
        <f t="shared" ca="1" si="35"/>
        <v>-650000</v>
      </c>
      <c r="M139" s="264">
        <f t="shared" ca="1" si="35"/>
        <v>-650000</v>
      </c>
      <c r="N139" s="264">
        <f t="shared" ca="1" si="35"/>
        <v>-650000</v>
      </c>
      <c r="O139" s="404">
        <f t="shared" ca="1" si="35"/>
        <v>-650000</v>
      </c>
      <c r="P139" s="264">
        <f t="shared" ca="1" si="35"/>
        <v>-650000</v>
      </c>
      <c r="Q139" s="264">
        <f t="shared" ca="1" si="35"/>
        <v>-637500</v>
      </c>
      <c r="R139" s="264">
        <f t="shared" ca="1" si="35"/>
        <v>-625000</v>
      </c>
      <c r="S139" s="404">
        <f t="shared" ca="1" si="35"/>
        <v>-612500</v>
      </c>
      <c r="T139" s="264">
        <f t="shared" ca="1" si="35"/>
        <v>-600000</v>
      </c>
      <c r="U139" s="264">
        <f t="shared" ca="1" si="35"/>
        <v>-587500</v>
      </c>
      <c r="V139" s="264">
        <f t="shared" ca="1" si="35"/>
        <v>-575000</v>
      </c>
      <c r="W139" s="404">
        <f t="shared" ca="1" si="35"/>
        <v>-562500</v>
      </c>
      <c r="X139" s="264">
        <f t="shared" ca="1" si="35"/>
        <v>-550000</v>
      </c>
      <c r="Y139" s="264">
        <f t="shared" ca="1" si="35"/>
        <v>-537500</v>
      </c>
      <c r="Z139" s="264">
        <f t="shared" ca="1" si="35"/>
        <v>-525000</v>
      </c>
      <c r="AA139" s="404">
        <f t="shared" ca="1" si="35"/>
        <v>-512499.99999999988</v>
      </c>
      <c r="AB139" s="264">
        <f t="shared" ca="1" si="35"/>
        <v>-499999.99999999988</v>
      </c>
      <c r="AC139" s="264">
        <f t="shared" ca="1" si="35"/>
        <v>-487499.99999999988</v>
      </c>
      <c r="AD139" s="264">
        <f t="shared" ca="1" si="35"/>
        <v>-474999.99999999988</v>
      </c>
      <c r="AE139" s="404">
        <f t="shared" ca="1" si="35"/>
        <v>-462499.99999999988</v>
      </c>
      <c r="AF139" s="264">
        <f t="shared" ca="1" si="35"/>
        <v>-449999.99999999988</v>
      </c>
      <c r="AG139" s="264">
        <f t="shared" ca="1" si="35"/>
        <v>-437499.99999999983</v>
      </c>
      <c r="AH139" s="264">
        <f t="shared" ca="1" si="35"/>
        <v>-424999.99999999983</v>
      </c>
      <c r="AI139" s="404">
        <f t="shared" ca="1" si="35"/>
        <v>-412499.99999999983</v>
      </c>
      <c r="AJ139" s="264">
        <f t="shared" ca="1" si="35"/>
        <v>-400000</v>
      </c>
      <c r="AK139" s="264">
        <f t="shared" ca="1" si="35"/>
        <v>-400000</v>
      </c>
      <c r="AL139" s="264">
        <f t="shared" ca="1" si="35"/>
        <v>-400000</v>
      </c>
      <c r="AM139" s="404">
        <f t="shared" ca="1" si="35"/>
        <v>-400000</v>
      </c>
      <c r="AN139" s="264">
        <f t="shared" ca="1" si="35"/>
        <v>-400000</v>
      </c>
      <c r="AO139" s="264">
        <f t="shared" ca="1" si="35"/>
        <v>-400000</v>
      </c>
      <c r="AP139" s="264">
        <f t="shared" ca="1" si="35"/>
        <v>-400000</v>
      </c>
      <c r="AQ139" s="404">
        <f t="shared" ca="1" si="35"/>
        <v>-400000</v>
      </c>
      <c r="AR139" s="264">
        <f t="shared" ca="1" si="35"/>
        <v>-400000</v>
      </c>
      <c r="AS139" s="264">
        <f t="shared" ca="1" si="35"/>
        <v>-400000</v>
      </c>
      <c r="AT139" s="264">
        <f t="shared" ca="1" si="35"/>
        <v>-400000</v>
      </c>
      <c r="AU139" s="404">
        <f t="shared" ca="1" si="35"/>
        <v>-400000</v>
      </c>
      <c r="AV139" s="400"/>
      <c r="AW139" s="400"/>
      <c r="AX139" s="400"/>
      <c r="AY139" s="401"/>
    </row>
    <row r="140" spans="1:51" ht="15.75" customHeight="1" x14ac:dyDescent="0.2">
      <c r="A140" s="39"/>
      <c r="B140" s="405" t="s">
        <v>178</v>
      </c>
      <c r="C140" s="406"/>
      <c r="D140" s="407">
        <f t="shared" ref="D140:AU140" ca="1" si="36">SUM(D135,D136,D137,D138,D139)</f>
        <v>96850000</v>
      </c>
      <c r="E140" s="408">
        <f t="shared" ca="1" si="36"/>
        <v>92450000</v>
      </c>
      <c r="F140" s="408">
        <f t="shared" ca="1" si="36"/>
        <v>89300000</v>
      </c>
      <c r="G140" s="409">
        <f t="shared" ca="1" si="36"/>
        <v>84900000</v>
      </c>
      <c r="H140" s="408">
        <f t="shared" ca="1" si="36"/>
        <v>81750000</v>
      </c>
      <c r="I140" s="408">
        <f t="shared" ca="1" si="36"/>
        <v>77125000</v>
      </c>
      <c r="J140" s="408">
        <f t="shared" ca="1" si="36"/>
        <v>69575000</v>
      </c>
      <c r="K140" s="409">
        <f t="shared" ca="1" si="36"/>
        <v>64325000</v>
      </c>
      <c r="L140" s="408">
        <f t="shared" ca="1" si="36"/>
        <v>56775000</v>
      </c>
      <c r="M140" s="408">
        <f t="shared" ca="1" si="36"/>
        <v>49225000</v>
      </c>
      <c r="N140" s="408">
        <f t="shared" ca="1" si="36"/>
        <v>43975000</v>
      </c>
      <c r="O140" s="409">
        <f t="shared" ca="1" si="36"/>
        <v>35675000</v>
      </c>
      <c r="P140" s="408">
        <f t="shared" ca="1" si="36"/>
        <v>28925000</v>
      </c>
      <c r="Q140" s="408">
        <f t="shared" ca="1" si="36"/>
        <v>20387500</v>
      </c>
      <c r="R140" s="408">
        <f t="shared" ca="1" si="36"/>
        <v>15112500</v>
      </c>
      <c r="S140" s="409">
        <f t="shared" ca="1" si="36"/>
        <v>10150000</v>
      </c>
      <c r="T140" s="408">
        <f t="shared" ca="1" si="36"/>
        <v>4150000</v>
      </c>
      <c r="U140" s="408">
        <f t="shared" ca="1" si="36"/>
        <v>-37500</v>
      </c>
      <c r="V140" s="408">
        <f t="shared" ca="1" si="36"/>
        <v>-5900000</v>
      </c>
      <c r="W140" s="409">
        <f t="shared" ca="1" si="36"/>
        <v>-8900000</v>
      </c>
      <c r="X140" s="408">
        <f t="shared" ca="1" si="36"/>
        <v>-11700000</v>
      </c>
      <c r="Y140" s="408">
        <f t="shared" ca="1" si="36"/>
        <v>-14487500</v>
      </c>
      <c r="Z140" s="408">
        <f t="shared" ca="1" si="36"/>
        <v>-16512500</v>
      </c>
      <c r="AA140" s="409">
        <f t="shared" ca="1" si="36"/>
        <v>-19275000</v>
      </c>
      <c r="AB140" s="408">
        <f t="shared" ca="1" si="36"/>
        <v>-21275000</v>
      </c>
      <c r="AC140" s="408">
        <f t="shared" ca="1" si="36"/>
        <v>-22512500</v>
      </c>
      <c r="AD140" s="408">
        <f t="shared" ca="1" si="36"/>
        <v>-22987500</v>
      </c>
      <c r="AE140" s="409">
        <f t="shared" ca="1" si="36"/>
        <v>-23450000</v>
      </c>
      <c r="AF140" s="408">
        <f t="shared" ca="1" si="36"/>
        <v>-23900000</v>
      </c>
      <c r="AG140" s="408">
        <f t="shared" ca="1" si="36"/>
        <v>-24337500</v>
      </c>
      <c r="AH140" s="408">
        <f t="shared" ca="1" si="36"/>
        <v>-24762500</v>
      </c>
      <c r="AI140" s="409">
        <f t="shared" ca="1" si="36"/>
        <v>-25175000</v>
      </c>
      <c r="AJ140" s="408">
        <f t="shared" ca="1" si="36"/>
        <v>-25575000</v>
      </c>
      <c r="AK140" s="408">
        <f t="shared" ca="1" si="36"/>
        <v>-25975000</v>
      </c>
      <c r="AL140" s="408">
        <f t="shared" ca="1" si="36"/>
        <v>-26375000</v>
      </c>
      <c r="AM140" s="409">
        <f t="shared" ca="1" si="36"/>
        <v>-26775000</v>
      </c>
      <c r="AN140" s="408">
        <f t="shared" ca="1" si="36"/>
        <v>-27175000</v>
      </c>
      <c r="AO140" s="408">
        <f t="shared" ca="1" si="36"/>
        <v>-27575000</v>
      </c>
      <c r="AP140" s="408">
        <f t="shared" ca="1" si="36"/>
        <v>-27975000</v>
      </c>
      <c r="AQ140" s="409">
        <f t="shared" ca="1" si="36"/>
        <v>-28375000</v>
      </c>
      <c r="AR140" s="408">
        <f t="shared" ca="1" si="36"/>
        <v>-28775000</v>
      </c>
      <c r="AS140" s="408">
        <f t="shared" ca="1" si="36"/>
        <v>-29175000</v>
      </c>
      <c r="AT140" s="408">
        <f t="shared" ca="1" si="36"/>
        <v>-29575000</v>
      </c>
      <c r="AU140" s="410">
        <f t="shared" ca="1" si="36"/>
        <v>-29975000</v>
      </c>
      <c r="AV140" s="400"/>
      <c r="AW140" s="400"/>
      <c r="AX140" s="400"/>
      <c r="AY140" s="401"/>
    </row>
    <row r="141" spans="1:51" ht="15.75" customHeight="1" x14ac:dyDescent="0.2">
      <c r="B141" s="287"/>
      <c r="C141" s="403" t="s">
        <v>179</v>
      </c>
      <c r="D141" s="264">
        <f t="shared" ref="D141:AU141" ca="1" si="37">SUM(E$124:$AU124)</f>
        <v>22575000</v>
      </c>
      <c r="E141" s="264">
        <f t="shared" ca="1" si="37"/>
        <v>21925000</v>
      </c>
      <c r="F141" s="264">
        <f t="shared" ca="1" si="37"/>
        <v>21275000</v>
      </c>
      <c r="G141" s="411">
        <f t="shared" ca="1" si="37"/>
        <v>20625000</v>
      </c>
      <c r="H141" s="264">
        <f t="shared" ca="1" si="37"/>
        <v>19975000</v>
      </c>
      <c r="I141" s="264">
        <f t="shared" ca="1" si="37"/>
        <v>19325000</v>
      </c>
      <c r="J141" s="264">
        <f t="shared" ca="1" si="37"/>
        <v>18675000</v>
      </c>
      <c r="K141" s="411">
        <f t="shared" ca="1" si="37"/>
        <v>18025000</v>
      </c>
      <c r="L141" s="264">
        <f t="shared" ca="1" si="37"/>
        <v>17375000</v>
      </c>
      <c r="M141" s="264">
        <f t="shared" ca="1" si="37"/>
        <v>16725000</v>
      </c>
      <c r="N141" s="264">
        <f t="shared" ca="1" si="37"/>
        <v>16075000</v>
      </c>
      <c r="O141" s="411">
        <f t="shared" ca="1" si="37"/>
        <v>15425000</v>
      </c>
      <c r="P141" s="264">
        <f t="shared" ca="1" si="37"/>
        <v>14775000</v>
      </c>
      <c r="Q141" s="264">
        <f t="shared" ca="1" si="37"/>
        <v>14137500</v>
      </c>
      <c r="R141" s="264">
        <f t="shared" ca="1" si="37"/>
        <v>13512500</v>
      </c>
      <c r="S141" s="411">
        <f t="shared" ca="1" si="37"/>
        <v>12900000</v>
      </c>
      <c r="T141" s="264">
        <f t="shared" ca="1" si="37"/>
        <v>12300000</v>
      </c>
      <c r="U141" s="264">
        <f t="shared" ca="1" si="37"/>
        <v>11712500</v>
      </c>
      <c r="V141" s="264">
        <f t="shared" ca="1" si="37"/>
        <v>11137500</v>
      </c>
      <c r="W141" s="411">
        <f t="shared" ca="1" si="37"/>
        <v>10575000</v>
      </c>
      <c r="X141" s="264">
        <f t="shared" ca="1" si="37"/>
        <v>10025000</v>
      </c>
      <c r="Y141" s="264">
        <f t="shared" ca="1" si="37"/>
        <v>9487500</v>
      </c>
      <c r="Z141" s="264">
        <f t="shared" ca="1" si="37"/>
        <v>8962500</v>
      </c>
      <c r="AA141" s="411">
        <f t="shared" ca="1" si="37"/>
        <v>8450000</v>
      </c>
      <c r="AB141" s="264">
        <f t="shared" ca="1" si="37"/>
        <v>7950000</v>
      </c>
      <c r="AC141" s="264">
        <f t="shared" ca="1" si="37"/>
        <v>7462499.9999999991</v>
      </c>
      <c r="AD141" s="264">
        <f t="shared" ca="1" si="37"/>
        <v>6987499.9999999991</v>
      </c>
      <c r="AE141" s="411">
        <f t="shared" ca="1" si="37"/>
        <v>6524999.9999999991</v>
      </c>
      <c r="AF141" s="264">
        <f t="shared" ca="1" si="37"/>
        <v>6075000</v>
      </c>
      <c r="AG141" s="264">
        <f t="shared" ca="1" si="37"/>
        <v>5637500</v>
      </c>
      <c r="AH141" s="264">
        <f t="shared" ca="1" si="37"/>
        <v>5212500</v>
      </c>
      <c r="AI141" s="411">
        <f t="shared" ca="1" si="37"/>
        <v>4800000</v>
      </c>
      <c r="AJ141" s="264">
        <f t="shared" ca="1" si="37"/>
        <v>4400000</v>
      </c>
      <c r="AK141" s="264">
        <f t="shared" ca="1" si="37"/>
        <v>4000000</v>
      </c>
      <c r="AL141" s="264">
        <f t="shared" ca="1" si="37"/>
        <v>3600000</v>
      </c>
      <c r="AM141" s="411">
        <f t="shared" ca="1" si="37"/>
        <v>3200000</v>
      </c>
      <c r="AN141" s="264">
        <f t="shared" ca="1" si="37"/>
        <v>2800000</v>
      </c>
      <c r="AO141" s="264">
        <f t="shared" ca="1" si="37"/>
        <v>2400000</v>
      </c>
      <c r="AP141" s="264">
        <f t="shared" ca="1" si="37"/>
        <v>2000000</v>
      </c>
      <c r="AQ141" s="411">
        <f t="shared" ca="1" si="37"/>
        <v>1600000</v>
      </c>
      <c r="AR141" s="264">
        <f t="shared" ca="1" si="37"/>
        <v>1200000</v>
      </c>
      <c r="AS141" s="264">
        <f t="shared" ca="1" si="37"/>
        <v>800000</v>
      </c>
      <c r="AT141" s="264">
        <f t="shared" ca="1" si="37"/>
        <v>400000</v>
      </c>
      <c r="AU141" s="411">
        <f t="shared" ca="1" si="37"/>
        <v>400000</v>
      </c>
      <c r="AV141" s="400"/>
      <c r="AW141" s="400"/>
      <c r="AX141" s="400"/>
      <c r="AY141" s="401"/>
    </row>
    <row r="142" spans="1:51" ht="15.75" customHeight="1" x14ac:dyDescent="0.2">
      <c r="A142" s="3"/>
      <c r="B142" s="262" t="s">
        <v>180</v>
      </c>
      <c r="C142" s="275"/>
      <c r="D142" s="412">
        <f t="shared" ref="D142:AU142" ca="1" si="38">D140-D141</f>
        <v>74275000</v>
      </c>
      <c r="E142" s="412">
        <f t="shared" ca="1" si="38"/>
        <v>70525000</v>
      </c>
      <c r="F142" s="412">
        <f t="shared" ca="1" si="38"/>
        <v>68025000</v>
      </c>
      <c r="G142" s="413">
        <f t="shared" ca="1" si="38"/>
        <v>64275000</v>
      </c>
      <c r="H142" s="412">
        <f t="shared" ca="1" si="38"/>
        <v>61775000</v>
      </c>
      <c r="I142" s="412">
        <f t="shared" ca="1" si="38"/>
        <v>57800000</v>
      </c>
      <c r="J142" s="412">
        <f t="shared" ca="1" si="38"/>
        <v>50900000</v>
      </c>
      <c r="K142" s="413">
        <f t="shared" ca="1" si="38"/>
        <v>46300000</v>
      </c>
      <c r="L142" s="412">
        <f t="shared" ca="1" si="38"/>
        <v>39400000</v>
      </c>
      <c r="M142" s="412">
        <f t="shared" ca="1" si="38"/>
        <v>32500000</v>
      </c>
      <c r="N142" s="412">
        <f t="shared" ca="1" si="38"/>
        <v>27900000</v>
      </c>
      <c r="O142" s="413">
        <f t="shared" ca="1" si="38"/>
        <v>20250000</v>
      </c>
      <c r="P142" s="412">
        <f t="shared" ca="1" si="38"/>
        <v>14150000</v>
      </c>
      <c r="Q142" s="412">
        <f t="shared" ca="1" si="38"/>
        <v>6250000</v>
      </c>
      <c r="R142" s="412">
        <f t="shared" ca="1" si="38"/>
        <v>1600000</v>
      </c>
      <c r="S142" s="413">
        <f t="shared" ca="1" si="38"/>
        <v>-2750000</v>
      </c>
      <c r="T142" s="412">
        <f t="shared" ca="1" si="38"/>
        <v>-8150000</v>
      </c>
      <c r="U142" s="412">
        <f t="shared" ca="1" si="38"/>
        <v>-11750000</v>
      </c>
      <c r="V142" s="412">
        <f t="shared" ca="1" si="38"/>
        <v>-17037500</v>
      </c>
      <c r="W142" s="413">
        <f t="shared" ca="1" si="38"/>
        <v>-19475000</v>
      </c>
      <c r="X142" s="412">
        <f t="shared" ca="1" si="38"/>
        <v>-21725000</v>
      </c>
      <c r="Y142" s="412">
        <f t="shared" ca="1" si="38"/>
        <v>-23975000</v>
      </c>
      <c r="Z142" s="412">
        <f t="shared" ca="1" si="38"/>
        <v>-25475000</v>
      </c>
      <c r="AA142" s="413">
        <f t="shared" ca="1" si="38"/>
        <v>-27725000</v>
      </c>
      <c r="AB142" s="412">
        <f t="shared" ca="1" si="38"/>
        <v>-29225000</v>
      </c>
      <c r="AC142" s="412">
        <f t="shared" ca="1" si="38"/>
        <v>-29975000</v>
      </c>
      <c r="AD142" s="412">
        <f t="shared" ca="1" si="38"/>
        <v>-29975000</v>
      </c>
      <c r="AE142" s="413">
        <f t="shared" ca="1" si="38"/>
        <v>-29975000</v>
      </c>
      <c r="AF142" s="412">
        <f t="shared" ca="1" si="38"/>
        <v>-29975000</v>
      </c>
      <c r="AG142" s="412">
        <f t="shared" ca="1" si="38"/>
        <v>-29975000</v>
      </c>
      <c r="AH142" s="412">
        <f t="shared" ca="1" si="38"/>
        <v>-29975000</v>
      </c>
      <c r="AI142" s="413">
        <f t="shared" ca="1" si="38"/>
        <v>-29975000</v>
      </c>
      <c r="AJ142" s="412">
        <f t="shared" ca="1" si="38"/>
        <v>-29975000</v>
      </c>
      <c r="AK142" s="412">
        <f t="shared" ca="1" si="38"/>
        <v>-29975000</v>
      </c>
      <c r="AL142" s="412">
        <f t="shared" ca="1" si="38"/>
        <v>-29975000</v>
      </c>
      <c r="AM142" s="413">
        <f t="shared" ca="1" si="38"/>
        <v>-29975000</v>
      </c>
      <c r="AN142" s="412">
        <f t="shared" ca="1" si="38"/>
        <v>-29975000</v>
      </c>
      <c r="AO142" s="412">
        <f t="shared" ca="1" si="38"/>
        <v>-29975000</v>
      </c>
      <c r="AP142" s="412">
        <f t="shared" ca="1" si="38"/>
        <v>-29975000</v>
      </c>
      <c r="AQ142" s="413">
        <f t="shared" ca="1" si="38"/>
        <v>-29975000</v>
      </c>
      <c r="AR142" s="412">
        <f t="shared" ca="1" si="38"/>
        <v>-29975000</v>
      </c>
      <c r="AS142" s="412">
        <f t="shared" ca="1" si="38"/>
        <v>-29975000</v>
      </c>
      <c r="AT142" s="412">
        <f t="shared" ca="1" si="38"/>
        <v>-29975000</v>
      </c>
      <c r="AU142" s="413">
        <f t="shared" ca="1" si="38"/>
        <v>-30375000</v>
      </c>
      <c r="AV142" s="414"/>
      <c r="AW142" s="414"/>
      <c r="AX142" s="414"/>
      <c r="AY142" s="415"/>
    </row>
    <row r="143" spans="1:51" ht="15.75" customHeight="1" x14ac:dyDescent="0.2">
      <c r="B143" s="287"/>
      <c r="C143" s="93"/>
      <c r="G143" s="394"/>
      <c r="K143" s="394"/>
      <c r="O143" s="394"/>
      <c r="S143" s="394"/>
      <c r="W143" s="394"/>
      <c r="AA143" s="394"/>
      <c r="AE143" s="394"/>
      <c r="AI143" s="394"/>
      <c r="AM143" s="394"/>
      <c r="AQ143" s="394"/>
      <c r="AU143" s="394"/>
      <c r="AV143" s="6"/>
      <c r="AW143" s="6"/>
      <c r="AY143" s="416"/>
    </row>
    <row r="144" spans="1:51" ht="15.75" customHeight="1" x14ac:dyDescent="0.2">
      <c r="A144" s="417" t="s">
        <v>30</v>
      </c>
      <c r="B144" s="418" t="s">
        <v>16</v>
      </c>
      <c r="C144" s="419"/>
      <c r="D144" s="183"/>
      <c r="E144" s="183"/>
      <c r="F144" s="420"/>
      <c r="G144" s="421"/>
      <c r="H144" s="183"/>
      <c r="I144" s="183"/>
      <c r="J144" s="422"/>
      <c r="K144" s="421"/>
      <c r="L144" s="183"/>
      <c r="M144" s="183"/>
      <c r="N144" s="420"/>
      <c r="O144" s="421"/>
      <c r="P144" s="183"/>
      <c r="Q144" s="183"/>
      <c r="R144" s="420"/>
      <c r="S144" s="421"/>
      <c r="T144" s="183"/>
      <c r="U144" s="183"/>
      <c r="V144" s="420"/>
      <c r="W144" s="421"/>
      <c r="X144" s="183"/>
      <c r="Y144" s="183"/>
      <c r="Z144" s="423"/>
      <c r="AA144" s="421"/>
      <c r="AB144" s="183"/>
      <c r="AC144" s="183"/>
      <c r="AD144" s="420"/>
      <c r="AE144" s="421"/>
      <c r="AF144" s="183"/>
      <c r="AG144" s="183"/>
      <c r="AH144" s="420"/>
      <c r="AI144" s="421"/>
      <c r="AJ144" s="183"/>
      <c r="AK144" s="183"/>
      <c r="AL144" s="420"/>
      <c r="AM144" s="421"/>
      <c r="AN144" s="183"/>
      <c r="AO144" s="183"/>
      <c r="AP144" s="420"/>
      <c r="AQ144" s="421"/>
      <c r="AR144" s="183"/>
      <c r="AS144" s="183"/>
      <c r="AT144" s="420"/>
      <c r="AU144" s="421"/>
      <c r="AV144" s="183"/>
      <c r="AW144" s="183"/>
      <c r="AX144" s="420"/>
      <c r="AY144" s="424"/>
    </row>
    <row r="145" spans="1:51" ht="15.75" customHeight="1" x14ac:dyDescent="0.2">
      <c r="A145" s="425"/>
      <c r="B145" s="426" t="s">
        <v>181</v>
      </c>
      <c r="C145" s="419"/>
      <c r="D145" s="332">
        <f ca="1">-D136</f>
        <v>2500000</v>
      </c>
      <c r="E145" s="332">
        <f t="shared" ref="E145:AU145" ca="1" si="39">D145+-E136</f>
        <v>6250000</v>
      </c>
      <c r="F145" s="332">
        <f t="shared" ca="1" si="39"/>
        <v>8750000</v>
      </c>
      <c r="G145" s="427">
        <f t="shared" ca="1" si="39"/>
        <v>12500000</v>
      </c>
      <c r="H145" s="428">
        <f t="shared" ca="1" si="39"/>
        <v>15000000</v>
      </c>
      <c r="I145" s="428">
        <f t="shared" ca="1" si="39"/>
        <v>18975000</v>
      </c>
      <c r="J145" s="428">
        <f t="shared" ca="1" si="39"/>
        <v>25875000</v>
      </c>
      <c r="K145" s="427">
        <f t="shared" ca="1" si="39"/>
        <v>30475000</v>
      </c>
      <c r="L145" s="428">
        <f t="shared" ca="1" si="39"/>
        <v>37375000</v>
      </c>
      <c r="M145" s="428">
        <f t="shared" ca="1" si="39"/>
        <v>44275000</v>
      </c>
      <c r="N145" s="428">
        <f t="shared" ca="1" si="39"/>
        <v>48875000</v>
      </c>
      <c r="O145" s="427">
        <f t="shared" ca="1" si="39"/>
        <v>56525000</v>
      </c>
      <c r="P145" s="428">
        <f t="shared" ca="1" si="39"/>
        <v>62625000</v>
      </c>
      <c r="Q145" s="428">
        <f t="shared" ca="1" si="39"/>
        <v>70525000</v>
      </c>
      <c r="R145" s="428">
        <f t="shared" ca="1" si="39"/>
        <v>75175000</v>
      </c>
      <c r="S145" s="427">
        <f t="shared" ca="1" si="39"/>
        <v>79525000</v>
      </c>
      <c r="T145" s="428">
        <f t="shared" ca="1" si="39"/>
        <v>84925000</v>
      </c>
      <c r="U145" s="428">
        <f t="shared" ca="1" si="39"/>
        <v>88525000</v>
      </c>
      <c r="V145" s="428">
        <f t="shared" ca="1" si="39"/>
        <v>93812500</v>
      </c>
      <c r="W145" s="427">
        <f t="shared" ca="1" si="39"/>
        <v>96250000</v>
      </c>
      <c r="X145" s="428">
        <f t="shared" ca="1" si="39"/>
        <v>98500000</v>
      </c>
      <c r="Y145" s="428">
        <f t="shared" ca="1" si="39"/>
        <v>100750000</v>
      </c>
      <c r="Z145" s="428">
        <f t="shared" ca="1" si="39"/>
        <v>102250000</v>
      </c>
      <c r="AA145" s="427">
        <f t="shared" ca="1" si="39"/>
        <v>104500000</v>
      </c>
      <c r="AB145" s="428">
        <f t="shared" ca="1" si="39"/>
        <v>106000000</v>
      </c>
      <c r="AC145" s="428">
        <f t="shared" ca="1" si="39"/>
        <v>106750000</v>
      </c>
      <c r="AD145" s="428">
        <f t="shared" ca="1" si="39"/>
        <v>106750000</v>
      </c>
      <c r="AE145" s="427">
        <f t="shared" ca="1" si="39"/>
        <v>106750000</v>
      </c>
      <c r="AF145" s="428">
        <f t="shared" ca="1" si="39"/>
        <v>106750000</v>
      </c>
      <c r="AG145" s="428">
        <f t="shared" ca="1" si="39"/>
        <v>106750000</v>
      </c>
      <c r="AH145" s="428">
        <f t="shared" ca="1" si="39"/>
        <v>106750000</v>
      </c>
      <c r="AI145" s="427">
        <f t="shared" ca="1" si="39"/>
        <v>106750000</v>
      </c>
      <c r="AJ145" s="428">
        <f t="shared" ca="1" si="39"/>
        <v>106750000</v>
      </c>
      <c r="AK145" s="428">
        <f t="shared" ca="1" si="39"/>
        <v>106750000</v>
      </c>
      <c r="AL145" s="428">
        <f t="shared" ca="1" si="39"/>
        <v>106750000</v>
      </c>
      <c r="AM145" s="427">
        <f t="shared" ca="1" si="39"/>
        <v>106750000</v>
      </c>
      <c r="AN145" s="428">
        <f t="shared" ca="1" si="39"/>
        <v>106750000</v>
      </c>
      <c r="AO145" s="428">
        <f t="shared" ca="1" si="39"/>
        <v>106750000</v>
      </c>
      <c r="AP145" s="428">
        <f t="shared" ca="1" si="39"/>
        <v>106750000</v>
      </c>
      <c r="AQ145" s="427">
        <f t="shared" ca="1" si="39"/>
        <v>106750000</v>
      </c>
      <c r="AR145" s="428">
        <f t="shared" ca="1" si="39"/>
        <v>106750000</v>
      </c>
      <c r="AS145" s="428">
        <f t="shared" ca="1" si="39"/>
        <v>106750000</v>
      </c>
      <c r="AT145" s="428">
        <f t="shared" ca="1" si="39"/>
        <v>106750000</v>
      </c>
      <c r="AU145" s="427">
        <f t="shared" ca="1" si="39"/>
        <v>106750000</v>
      </c>
      <c r="AV145" s="429"/>
      <c r="AW145" s="429"/>
      <c r="AX145" s="423"/>
      <c r="AY145" s="430"/>
    </row>
    <row r="146" spans="1:51" ht="15.75" customHeight="1" x14ac:dyDescent="0.2">
      <c r="A146" s="425"/>
      <c r="B146" s="431" t="s">
        <v>182</v>
      </c>
      <c r="C146" s="419"/>
      <c r="D146" s="432">
        <f t="shared" ref="D146:AU146" ca="1" si="40">IFERROR(D145/$C$5,"NA")</f>
        <v>2.5000000000000001E-2</v>
      </c>
      <c r="E146" s="432">
        <f t="shared" ca="1" si="40"/>
        <v>6.25E-2</v>
      </c>
      <c r="F146" s="433">
        <f t="shared" ca="1" si="40"/>
        <v>8.7499999999999994E-2</v>
      </c>
      <c r="G146" s="434">
        <f t="shared" ca="1" si="40"/>
        <v>0.125</v>
      </c>
      <c r="H146" s="435">
        <f t="shared" ca="1" si="40"/>
        <v>0.15</v>
      </c>
      <c r="I146" s="435">
        <f t="shared" ca="1" si="40"/>
        <v>0.18975</v>
      </c>
      <c r="J146" s="435">
        <f t="shared" ca="1" si="40"/>
        <v>0.25874999999999998</v>
      </c>
      <c r="K146" s="434">
        <f t="shared" ca="1" si="40"/>
        <v>0.30475000000000002</v>
      </c>
      <c r="L146" s="435">
        <f t="shared" ca="1" si="40"/>
        <v>0.37375000000000003</v>
      </c>
      <c r="M146" s="435">
        <f t="shared" ca="1" si="40"/>
        <v>0.44274999999999998</v>
      </c>
      <c r="N146" s="435">
        <f t="shared" ca="1" si="40"/>
        <v>0.48875000000000002</v>
      </c>
      <c r="O146" s="434">
        <f t="shared" ca="1" si="40"/>
        <v>0.56525000000000003</v>
      </c>
      <c r="P146" s="435">
        <f t="shared" ca="1" si="40"/>
        <v>0.62624999999999997</v>
      </c>
      <c r="Q146" s="435">
        <f t="shared" ca="1" si="40"/>
        <v>0.70525000000000004</v>
      </c>
      <c r="R146" s="435">
        <f t="shared" ca="1" si="40"/>
        <v>0.75175000000000003</v>
      </c>
      <c r="S146" s="434">
        <f t="shared" ca="1" si="40"/>
        <v>0.79525000000000001</v>
      </c>
      <c r="T146" s="435">
        <f t="shared" ca="1" si="40"/>
        <v>0.84924999999999995</v>
      </c>
      <c r="U146" s="435">
        <f t="shared" ca="1" si="40"/>
        <v>0.88524999999999998</v>
      </c>
      <c r="V146" s="435">
        <f t="shared" ca="1" si="40"/>
        <v>0.93812499999999999</v>
      </c>
      <c r="W146" s="434">
        <f t="shared" ca="1" si="40"/>
        <v>0.96250000000000002</v>
      </c>
      <c r="X146" s="435">
        <f t="shared" ca="1" si="40"/>
        <v>0.98499999999999999</v>
      </c>
      <c r="Y146" s="435">
        <f t="shared" ca="1" si="40"/>
        <v>1.0075000000000001</v>
      </c>
      <c r="Z146" s="435">
        <f t="shared" ca="1" si="40"/>
        <v>1.0225</v>
      </c>
      <c r="AA146" s="434">
        <f t="shared" ca="1" si="40"/>
        <v>1.0449999999999999</v>
      </c>
      <c r="AB146" s="435">
        <f t="shared" ca="1" si="40"/>
        <v>1.06</v>
      </c>
      <c r="AC146" s="435">
        <f t="shared" ca="1" si="40"/>
        <v>1.0674999999999999</v>
      </c>
      <c r="AD146" s="435">
        <f t="shared" ca="1" si="40"/>
        <v>1.0674999999999999</v>
      </c>
      <c r="AE146" s="434">
        <f t="shared" ca="1" si="40"/>
        <v>1.0674999999999999</v>
      </c>
      <c r="AF146" s="435">
        <f t="shared" ca="1" si="40"/>
        <v>1.0674999999999999</v>
      </c>
      <c r="AG146" s="435">
        <f t="shared" ca="1" si="40"/>
        <v>1.0674999999999999</v>
      </c>
      <c r="AH146" s="435">
        <f t="shared" ca="1" si="40"/>
        <v>1.0674999999999999</v>
      </c>
      <c r="AI146" s="434">
        <f t="shared" ca="1" si="40"/>
        <v>1.0674999999999999</v>
      </c>
      <c r="AJ146" s="435">
        <f t="shared" ca="1" si="40"/>
        <v>1.0674999999999999</v>
      </c>
      <c r="AK146" s="435">
        <f t="shared" ca="1" si="40"/>
        <v>1.0674999999999999</v>
      </c>
      <c r="AL146" s="435">
        <f t="shared" ca="1" si="40"/>
        <v>1.0674999999999999</v>
      </c>
      <c r="AM146" s="434">
        <f t="shared" ca="1" si="40"/>
        <v>1.0674999999999999</v>
      </c>
      <c r="AN146" s="435">
        <f t="shared" ca="1" si="40"/>
        <v>1.0674999999999999</v>
      </c>
      <c r="AO146" s="435">
        <f t="shared" ca="1" si="40"/>
        <v>1.0674999999999999</v>
      </c>
      <c r="AP146" s="435">
        <f t="shared" ca="1" si="40"/>
        <v>1.0674999999999999</v>
      </c>
      <c r="AQ146" s="434">
        <f t="shared" ca="1" si="40"/>
        <v>1.0674999999999999</v>
      </c>
      <c r="AR146" s="435">
        <f t="shared" ca="1" si="40"/>
        <v>1.0674999999999999</v>
      </c>
      <c r="AS146" s="435">
        <f t="shared" ca="1" si="40"/>
        <v>1.0674999999999999</v>
      </c>
      <c r="AT146" s="435">
        <f t="shared" ca="1" si="40"/>
        <v>1.0674999999999999</v>
      </c>
      <c r="AU146" s="434">
        <f t="shared" ca="1" si="40"/>
        <v>1.0674999999999999</v>
      </c>
      <c r="AV146" s="429"/>
      <c r="AW146" s="429"/>
      <c r="AX146" s="423"/>
      <c r="AY146" s="430"/>
    </row>
    <row r="147" spans="1:51" ht="15.75" customHeight="1" x14ac:dyDescent="0.2">
      <c r="A147" s="425"/>
      <c r="B147" s="426" t="s">
        <v>183</v>
      </c>
      <c r="C147" s="419"/>
      <c r="D147" s="432"/>
      <c r="E147" s="432"/>
      <c r="F147" s="433"/>
      <c r="G147" s="434">
        <f t="shared" ref="G147:AU147" ca="1" si="41">IFERROR(SUM(D137:G137)/G145,"NA")</f>
        <v>0</v>
      </c>
      <c r="H147" s="435">
        <f t="shared" ca="1" si="41"/>
        <v>0</v>
      </c>
      <c r="I147" s="435">
        <f t="shared" ca="1" si="41"/>
        <v>0</v>
      </c>
      <c r="J147" s="435">
        <f t="shared" ca="1" si="41"/>
        <v>0</v>
      </c>
      <c r="K147" s="434">
        <f t="shared" ca="1" si="41"/>
        <v>0</v>
      </c>
      <c r="L147" s="435">
        <f t="shared" ca="1" si="41"/>
        <v>0</v>
      </c>
      <c r="M147" s="435">
        <f t="shared" ca="1" si="41"/>
        <v>0</v>
      </c>
      <c r="N147" s="435">
        <f t="shared" ca="1" si="41"/>
        <v>0</v>
      </c>
      <c r="O147" s="434">
        <f t="shared" ca="1" si="41"/>
        <v>0</v>
      </c>
      <c r="P147" s="435">
        <f t="shared" ca="1" si="41"/>
        <v>0</v>
      </c>
      <c r="Q147" s="435">
        <f t="shared" ca="1" si="41"/>
        <v>0</v>
      </c>
      <c r="R147" s="435">
        <f t="shared" ca="1" si="41"/>
        <v>0</v>
      </c>
      <c r="S147" s="434">
        <f t="shared" ca="1" si="41"/>
        <v>0</v>
      </c>
      <c r="T147" s="435">
        <f t="shared" ca="1" si="41"/>
        <v>0</v>
      </c>
      <c r="U147" s="435">
        <f t="shared" ca="1" si="41"/>
        <v>0</v>
      </c>
      <c r="V147" s="435">
        <f t="shared" ca="1" si="41"/>
        <v>0</v>
      </c>
      <c r="W147" s="434">
        <f t="shared" ca="1" si="41"/>
        <v>0</v>
      </c>
      <c r="X147" s="435">
        <f t="shared" ca="1" si="41"/>
        <v>0</v>
      </c>
      <c r="Y147" s="435">
        <f t="shared" ca="1" si="41"/>
        <v>0</v>
      </c>
      <c r="Z147" s="435">
        <f t="shared" ca="1" si="41"/>
        <v>0</v>
      </c>
      <c r="AA147" s="434">
        <f t="shared" ca="1" si="41"/>
        <v>0</v>
      </c>
      <c r="AB147" s="435">
        <f t="shared" ca="1" si="41"/>
        <v>0</v>
      </c>
      <c r="AC147" s="435">
        <f t="shared" ca="1" si="41"/>
        <v>0</v>
      </c>
      <c r="AD147" s="435">
        <f t="shared" ca="1" si="41"/>
        <v>0</v>
      </c>
      <c r="AE147" s="434">
        <f t="shared" ca="1" si="41"/>
        <v>0</v>
      </c>
      <c r="AF147" s="435">
        <f t="shared" ca="1" si="41"/>
        <v>0</v>
      </c>
      <c r="AG147" s="435">
        <f t="shared" ca="1" si="41"/>
        <v>0</v>
      </c>
      <c r="AH147" s="435">
        <f t="shared" ca="1" si="41"/>
        <v>0</v>
      </c>
      <c r="AI147" s="434">
        <f t="shared" ca="1" si="41"/>
        <v>0</v>
      </c>
      <c r="AJ147" s="435">
        <f t="shared" ca="1" si="41"/>
        <v>0</v>
      </c>
      <c r="AK147" s="435">
        <f t="shared" ca="1" si="41"/>
        <v>0</v>
      </c>
      <c r="AL147" s="435">
        <f t="shared" ca="1" si="41"/>
        <v>0</v>
      </c>
      <c r="AM147" s="434">
        <f t="shared" ca="1" si="41"/>
        <v>0</v>
      </c>
      <c r="AN147" s="435">
        <f t="shared" ca="1" si="41"/>
        <v>0</v>
      </c>
      <c r="AO147" s="435">
        <f t="shared" ca="1" si="41"/>
        <v>0</v>
      </c>
      <c r="AP147" s="435">
        <f t="shared" ca="1" si="41"/>
        <v>0</v>
      </c>
      <c r="AQ147" s="434">
        <f t="shared" ca="1" si="41"/>
        <v>0</v>
      </c>
      <c r="AR147" s="435">
        <f t="shared" ca="1" si="41"/>
        <v>0</v>
      </c>
      <c r="AS147" s="435">
        <f t="shared" ca="1" si="41"/>
        <v>0</v>
      </c>
      <c r="AT147" s="435">
        <f t="shared" ca="1" si="41"/>
        <v>0</v>
      </c>
      <c r="AU147" s="434">
        <f t="shared" ca="1" si="41"/>
        <v>0</v>
      </c>
      <c r="AV147" s="429"/>
      <c r="AW147" s="429"/>
      <c r="AX147" s="423"/>
      <c r="AY147" s="430"/>
    </row>
    <row r="148" spans="1:51" ht="15.75" customHeight="1" x14ac:dyDescent="0.2">
      <c r="A148" s="425"/>
      <c r="B148" s="426" t="s">
        <v>184</v>
      </c>
      <c r="C148" s="419"/>
      <c r="D148" s="436">
        <f t="shared" ref="D148:AU148" ca="1" si="42">IFERROR(D137/D145,"NA")</f>
        <v>0</v>
      </c>
      <c r="E148" s="436">
        <f t="shared" ca="1" si="42"/>
        <v>0</v>
      </c>
      <c r="F148" s="436">
        <f t="shared" ca="1" si="42"/>
        <v>0</v>
      </c>
      <c r="G148" s="437">
        <f t="shared" ca="1" si="42"/>
        <v>0</v>
      </c>
      <c r="H148" s="436">
        <f t="shared" ca="1" si="42"/>
        <v>0</v>
      </c>
      <c r="I148" s="436">
        <f t="shared" ca="1" si="42"/>
        <v>0</v>
      </c>
      <c r="J148" s="436">
        <f t="shared" ca="1" si="42"/>
        <v>0</v>
      </c>
      <c r="K148" s="437">
        <f t="shared" ca="1" si="42"/>
        <v>0</v>
      </c>
      <c r="L148" s="436">
        <f t="shared" ca="1" si="42"/>
        <v>0</v>
      </c>
      <c r="M148" s="436">
        <f t="shared" ca="1" si="42"/>
        <v>0</v>
      </c>
      <c r="N148" s="436">
        <f t="shared" ca="1" si="42"/>
        <v>0</v>
      </c>
      <c r="O148" s="437">
        <f t="shared" ca="1" si="42"/>
        <v>0</v>
      </c>
      <c r="P148" s="436">
        <f t="shared" ca="1" si="42"/>
        <v>0</v>
      </c>
      <c r="Q148" s="436">
        <f t="shared" ca="1" si="42"/>
        <v>0</v>
      </c>
      <c r="R148" s="436">
        <f t="shared" ca="1" si="42"/>
        <v>0</v>
      </c>
      <c r="S148" s="437">
        <f t="shared" ca="1" si="42"/>
        <v>0</v>
      </c>
      <c r="T148" s="436">
        <f t="shared" ca="1" si="42"/>
        <v>0</v>
      </c>
      <c r="U148" s="436">
        <f t="shared" ca="1" si="42"/>
        <v>0</v>
      </c>
      <c r="V148" s="436">
        <f t="shared" ca="1" si="42"/>
        <v>0</v>
      </c>
      <c r="W148" s="437">
        <f t="shared" ca="1" si="42"/>
        <v>0</v>
      </c>
      <c r="X148" s="436">
        <f t="shared" ca="1" si="42"/>
        <v>0</v>
      </c>
      <c r="Y148" s="436">
        <f t="shared" ca="1" si="42"/>
        <v>0</v>
      </c>
      <c r="Z148" s="436">
        <f t="shared" ca="1" si="42"/>
        <v>0</v>
      </c>
      <c r="AA148" s="437">
        <f t="shared" ca="1" si="42"/>
        <v>0</v>
      </c>
      <c r="AB148" s="436">
        <f t="shared" ca="1" si="42"/>
        <v>0</v>
      </c>
      <c r="AC148" s="436">
        <f t="shared" ca="1" si="42"/>
        <v>0</v>
      </c>
      <c r="AD148" s="436">
        <f t="shared" ca="1" si="42"/>
        <v>0</v>
      </c>
      <c r="AE148" s="437">
        <f t="shared" ca="1" si="42"/>
        <v>0</v>
      </c>
      <c r="AF148" s="436">
        <f t="shared" ca="1" si="42"/>
        <v>0</v>
      </c>
      <c r="AG148" s="436">
        <f t="shared" ca="1" si="42"/>
        <v>0</v>
      </c>
      <c r="AH148" s="436">
        <f t="shared" ca="1" si="42"/>
        <v>0</v>
      </c>
      <c r="AI148" s="437">
        <f t="shared" ca="1" si="42"/>
        <v>0</v>
      </c>
      <c r="AJ148" s="436">
        <f t="shared" ca="1" si="42"/>
        <v>0</v>
      </c>
      <c r="AK148" s="436">
        <f t="shared" ca="1" si="42"/>
        <v>0</v>
      </c>
      <c r="AL148" s="436">
        <f t="shared" ca="1" si="42"/>
        <v>0</v>
      </c>
      <c r="AM148" s="437">
        <f t="shared" ca="1" si="42"/>
        <v>0</v>
      </c>
      <c r="AN148" s="436">
        <f t="shared" ca="1" si="42"/>
        <v>0</v>
      </c>
      <c r="AO148" s="436">
        <f t="shared" ca="1" si="42"/>
        <v>0</v>
      </c>
      <c r="AP148" s="436">
        <f t="shared" ca="1" si="42"/>
        <v>0</v>
      </c>
      <c r="AQ148" s="437">
        <f t="shared" ca="1" si="42"/>
        <v>0</v>
      </c>
      <c r="AR148" s="436">
        <f t="shared" ca="1" si="42"/>
        <v>0</v>
      </c>
      <c r="AS148" s="436">
        <f t="shared" ca="1" si="42"/>
        <v>0</v>
      </c>
      <c r="AT148" s="436">
        <f t="shared" ca="1" si="42"/>
        <v>0</v>
      </c>
      <c r="AU148" s="437">
        <f t="shared" ca="1" si="42"/>
        <v>0</v>
      </c>
      <c r="AV148" s="429"/>
      <c r="AW148" s="429"/>
      <c r="AX148" s="423"/>
      <c r="AY148" s="430"/>
    </row>
    <row r="149" spans="1:51" ht="15.75" customHeight="1" x14ac:dyDescent="0.2">
      <c r="A149" s="425"/>
      <c r="B149" s="426" t="s">
        <v>185</v>
      </c>
      <c r="C149" s="419"/>
      <c r="D149" s="435">
        <f t="shared" ref="D149:AU149" ca="1" si="43">IFERROR(SUM($D137:D137)/D145,"NA")</f>
        <v>0</v>
      </c>
      <c r="E149" s="435">
        <f t="shared" ca="1" si="43"/>
        <v>0</v>
      </c>
      <c r="F149" s="435">
        <f t="shared" ca="1" si="43"/>
        <v>0</v>
      </c>
      <c r="G149" s="434">
        <f t="shared" ca="1" si="43"/>
        <v>0</v>
      </c>
      <c r="H149" s="435">
        <f t="shared" ca="1" si="43"/>
        <v>0</v>
      </c>
      <c r="I149" s="435">
        <f t="shared" ca="1" si="43"/>
        <v>0</v>
      </c>
      <c r="J149" s="435">
        <f t="shared" ca="1" si="43"/>
        <v>0</v>
      </c>
      <c r="K149" s="434">
        <f t="shared" ca="1" si="43"/>
        <v>0</v>
      </c>
      <c r="L149" s="435">
        <f t="shared" ca="1" si="43"/>
        <v>0</v>
      </c>
      <c r="M149" s="435">
        <f t="shared" ca="1" si="43"/>
        <v>0</v>
      </c>
      <c r="N149" s="435">
        <f t="shared" ca="1" si="43"/>
        <v>0</v>
      </c>
      <c r="O149" s="434">
        <f t="shared" ca="1" si="43"/>
        <v>0</v>
      </c>
      <c r="P149" s="435">
        <f t="shared" ca="1" si="43"/>
        <v>0</v>
      </c>
      <c r="Q149" s="435">
        <f t="shared" ca="1" si="43"/>
        <v>0</v>
      </c>
      <c r="R149" s="435">
        <f t="shared" ca="1" si="43"/>
        <v>0</v>
      </c>
      <c r="S149" s="434">
        <f t="shared" ca="1" si="43"/>
        <v>0</v>
      </c>
      <c r="T149" s="435">
        <f t="shared" ca="1" si="43"/>
        <v>0</v>
      </c>
      <c r="U149" s="435">
        <f t="shared" ca="1" si="43"/>
        <v>0</v>
      </c>
      <c r="V149" s="435">
        <f t="shared" ca="1" si="43"/>
        <v>0</v>
      </c>
      <c r="W149" s="434">
        <f t="shared" ca="1" si="43"/>
        <v>0</v>
      </c>
      <c r="X149" s="435">
        <f t="shared" ca="1" si="43"/>
        <v>0</v>
      </c>
      <c r="Y149" s="435">
        <f t="shared" ca="1" si="43"/>
        <v>0</v>
      </c>
      <c r="Z149" s="435">
        <f t="shared" ca="1" si="43"/>
        <v>0</v>
      </c>
      <c r="AA149" s="434">
        <f t="shared" ca="1" si="43"/>
        <v>0</v>
      </c>
      <c r="AB149" s="435">
        <f t="shared" ca="1" si="43"/>
        <v>0</v>
      </c>
      <c r="AC149" s="435">
        <f t="shared" ca="1" si="43"/>
        <v>0</v>
      </c>
      <c r="AD149" s="435">
        <f t="shared" ca="1" si="43"/>
        <v>0</v>
      </c>
      <c r="AE149" s="434">
        <f t="shared" ca="1" si="43"/>
        <v>0</v>
      </c>
      <c r="AF149" s="435">
        <f t="shared" ca="1" si="43"/>
        <v>0</v>
      </c>
      <c r="AG149" s="435">
        <f t="shared" ca="1" si="43"/>
        <v>0</v>
      </c>
      <c r="AH149" s="435">
        <f t="shared" ca="1" si="43"/>
        <v>0</v>
      </c>
      <c r="AI149" s="434">
        <f t="shared" ca="1" si="43"/>
        <v>0</v>
      </c>
      <c r="AJ149" s="435">
        <f t="shared" ca="1" si="43"/>
        <v>0</v>
      </c>
      <c r="AK149" s="435">
        <f t="shared" ca="1" si="43"/>
        <v>0</v>
      </c>
      <c r="AL149" s="435">
        <f t="shared" ca="1" si="43"/>
        <v>0</v>
      </c>
      <c r="AM149" s="434">
        <f t="shared" ca="1" si="43"/>
        <v>0</v>
      </c>
      <c r="AN149" s="435">
        <f t="shared" ca="1" si="43"/>
        <v>0</v>
      </c>
      <c r="AO149" s="435">
        <f t="shared" ca="1" si="43"/>
        <v>0</v>
      </c>
      <c r="AP149" s="435">
        <f t="shared" ca="1" si="43"/>
        <v>0</v>
      </c>
      <c r="AQ149" s="434">
        <f t="shared" ca="1" si="43"/>
        <v>0</v>
      </c>
      <c r="AR149" s="435">
        <f t="shared" ca="1" si="43"/>
        <v>0</v>
      </c>
      <c r="AS149" s="435">
        <f t="shared" ca="1" si="43"/>
        <v>0</v>
      </c>
      <c r="AT149" s="435">
        <f t="shared" ca="1" si="43"/>
        <v>0</v>
      </c>
      <c r="AU149" s="434">
        <f t="shared" ca="1" si="43"/>
        <v>0</v>
      </c>
      <c r="AV149" s="429"/>
      <c r="AW149" s="429"/>
      <c r="AX149" s="423"/>
      <c r="AY149" s="430"/>
    </row>
    <row r="150" spans="1:51" ht="15.75" customHeight="1" x14ac:dyDescent="0.2">
      <c r="A150" s="83"/>
      <c r="B150" s="39"/>
      <c r="C150" s="93"/>
      <c r="G150" s="394"/>
      <c r="J150" s="264"/>
      <c r="K150" s="394"/>
      <c r="O150" s="394"/>
      <c r="S150" s="394"/>
      <c r="W150" s="394"/>
      <c r="AA150" s="394"/>
      <c r="AE150" s="394"/>
      <c r="AI150" s="394"/>
      <c r="AM150" s="394"/>
      <c r="AQ150" s="394"/>
      <c r="AU150" s="394"/>
      <c r="AV150" s="6"/>
      <c r="AW150" s="6"/>
      <c r="AY150" s="416"/>
    </row>
    <row r="151" spans="1:51" ht="15.75" customHeight="1" x14ac:dyDescent="0.2">
      <c r="A151" s="3"/>
      <c r="B151" s="396"/>
      <c r="C151" s="438"/>
      <c r="D151" s="439"/>
      <c r="E151" s="439"/>
      <c r="F151" s="439"/>
      <c r="G151" s="440"/>
      <c r="H151" s="439"/>
      <c r="I151" s="439"/>
      <c r="J151" s="439"/>
      <c r="K151" s="440"/>
      <c r="L151" s="439"/>
      <c r="M151" s="439"/>
      <c r="N151" s="439"/>
      <c r="O151" s="440"/>
      <c r="P151" s="439"/>
      <c r="Q151" s="439"/>
      <c r="R151" s="439"/>
      <c r="S151" s="440"/>
      <c r="T151" s="439"/>
      <c r="U151" s="439"/>
      <c r="V151" s="439"/>
      <c r="W151" s="440"/>
      <c r="X151" s="439"/>
      <c r="Y151" s="439"/>
      <c r="Z151" s="439"/>
      <c r="AA151" s="440"/>
      <c r="AB151" s="439"/>
      <c r="AC151" s="439"/>
      <c r="AD151" s="439"/>
      <c r="AE151" s="440"/>
      <c r="AF151" s="439"/>
      <c r="AG151" s="439"/>
      <c r="AH151" s="439"/>
      <c r="AI151" s="440"/>
      <c r="AJ151" s="439"/>
      <c r="AK151" s="439"/>
      <c r="AL151" s="439"/>
      <c r="AM151" s="440"/>
      <c r="AN151" s="439"/>
      <c r="AO151" s="439"/>
      <c r="AP151" s="439"/>
      <c r="AQ151" s="440"/>
      <c r="AR151" s="439"/>
      <c r="AS151" s="439"/>
      <c r="AT151" s="439"/>
      <c r="AU151" s="440"/>
      <c r="AV151" s="441"/>
      <c r="AW151" s="441"/>
      <c r="AX151" s="441"/>
      <c r="AY151" s="442"/>
    </row>
    <row r="152" spans="1:51" ht="15.75" customHeight="1" x14ac:dyDescent="0.25">
      <c r="A152" s="72" t="s">
        <v>186</v>
      </c>
      <c r="C152" s="73"/>
      <c r="D152" s="74"/>
      <c r="E152" s="74"/>
      <c r="F152" s="74"/>
      <c r="G152" s="75"/>
      <c r="H152" s="74"/>
      <c r="I152" s="74"/>
      <c r="J152" s="74"/>
      <c r="K152" s="75"/>
      <c r="L152" s="74"/>
      <c r="M152" s="74"/>
      <c r="N152" s="74"/>
      <c r="O152" s="75"/>
      <c r="P152" s="74"/>
      <c r="Q152" s="74"/>
      <c r="R152" s="74"/>
      <c r="S152" s="75"/>
      <c r="T152" s="74"/>
      <c r="U152" s="74"/>
      <c r="V152" s="74"/>
      <c r="W152" s="75"/>
      <c r="X152" s="74"/>
      <c r="Y152" s="74"/>
      <c r="Z152" s="74"/>
      <c r="AA152" s="75"/>
      <c r="AB152" s="74"/>
      <c r="AC152" s="74"/>
      <c r="AD152" s="74"/>
      <c r="AE152" s="75"/>
      <c r="AF152" s="74"/>
      <c r="AG152" s="74"/>
      <c r="AH152" s="74"/>
      <c r="AI152" s="75"/>
      <c r="AJ152" s="74"/>
      <c r="AK152" s="74"/>
      <c r="AL152" s="74"/>
      <c r="AM152" s="75"/>
      <c r="AN152" s="74"/>
      <c r="AO152" s="74"/>
      <c r="AP152" s="74"/>
      <c r="AQ152" s="75"/>
      <c r="AR152" s="74"/>
      <c r="AS152" s="74"/>
      <c r="AT152" s="74"/>
      <c r="AU152" s="75"/>
      <c r="AV152" s="76"/>
      <c r="AW152" s="76"/>
      <c r="AX152" s="76"/>
      <c r="AY152" s="77"/>
    </row>
    <row r="153" spans="1:51" ht="3" customHeight="1" x14ac:dyDescent="0.2">
      <c r="A153" s="78"/>
      <c r="B153" s="78"/>
      <c r="C153" s="79"/>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82"/>
      <c r="AW153" s="82"/>
      <c r="AX153" s="82"/>
      <c r="AY153" s="82"/>
    </row>
    <row r="154" spans="1:51" ht="15.75" customHeight="1" x14ac:dyDescent="0.2">
      <c r="A154" s="3"/>
      <c r="B154" s="396"/>
      <c r="C154" s="438"/>
      <c r="D154" s="439"/>
      <c r="E154" s="439"/>
      <c r="F154" s="439"/>
      <c r="G154" s="440"/>
      <c r="H154" s="439"/>
      <c r="I154" s="439"/>
      <c r="J154" s="439"/>
      <c r="K154" s="440"/>
      <c r="L154" s="439"/>
      <c r="M154" s="439"/>
      <c r="N154" s="439"/>
      <c r="O154" s="440"/>
      <c r="P154" s="439"/>
      <c r="Q154" s="439"/>
      <c r="R154" s="439"/>
      <c r="S154" s="440"/>
      <c r="T154" s="439"/>
      <c r="U154" s="439"/>
      <c r="V154" s="439"/>
      <c r="W154" s="440"/>
      <c r="X154" s="439"/>
      <c r="Y154" s="439"/>
      <c r="Z154" s="439"/>
      <c r="AA154" s="440"/>
      <c r="AB154" s="439"/>
      <c r="AC154" s="439"/>
      <c r="AD154" s="439"/>
      <c r="AE154" s="440"/>
      <c r="AF154" s="439"/>
      <c r="AG154" s="439"/>
      <c r="AH154" s="439"/>
      <c r="AI154" s="440"/>
      <c r="AJ154" s="439"/>
      <c r="AK154" s="439"/>
      <c r="AL154" s="439"/>
      <c r="AM154" s="440"/>
      <c r="AN154" s="439"/>
      <c r="AO154" s="439"/>
      <c r="AP154" s="439"/>
      <c r="AQ154" s="440"/>
      <c r="AR154" s="439"/>
      <c r="AS154" s="439"/>
      <c r="AT154" s="439"/>
      <c r="AU154" s="440"/>
      <c r="AV154" s="441"/>
      <c r="AW154" s="441"/>
      <c r="AX154" s="441"/>
      <c r="AY154" s="442"/>
    </row>
    <row r="155" spans="1:51" ht="15.75" customHeight="1" x14ac:dyDescent="0.2">
      <c r="A155" s="83" t="s">
        <v>30</v>
      </c>
      <c r="B155" s="39" t="s">
        <v>187</v>
      </c>
      <c r="C155" s="438"/>
      <c r="D155" s="439"/>
      <c r="E155" s="439"/>
      <c r="F155" s="439"/>
      <c r="G155" s="440"/>
      <c r="H155" s="439"/>
      <c r="I155" s="439"/>
      <c r="J155" s="439"/>
      <c r="K155" s="440"/>
      <c r="L155" s="439"/>
      <c r="M155" s="439"/>
      <c r="N155" s="439"/>
      <c r="O155" s="440"/>
      <c r="P155" s="439"/>
      <c r="Q155" s="439"/>
      <c r="R155" s="439"/>
      <c r="S155" s="440"/>
      <c r="T155" s="439"/>
      <c r="U155" s="439"/>
      <c r="V155" s="439"/>
      <c r="W155" s="440"/>
      <c r="X155" s="439"/>
      <c r="Y155" s="439"/>
      <c r="Z155" s="439"/>
      <c r="AA155" s="440"/>
      <c r="AB155" s="439"/>
      <c r="AC155" s="439"/>
      <c r="AD155" s="439"/>
      <c r="AE155" s="440"/>
      <c r="AF155" s="439"/>
      <c r="AG155" s="439"/>
      <c r="AH155" s="439"/>
      <c r="AI155" s="440"/>
      <c r="AJ155" s="439"/>
      <c r="AK155" s="439"/>
      <c r="AL155" s="439"/>
      <c r="AM155" s="440"/>
      <c r="AN155" s="439"/>
      <c r="AO155" s="439"/>
      <c r="AP155" s="439"/>
      <c r="AQ155" s="440"/>
      <c r="AR155" s="439"/>
      <c r="AS155" s="439"/>
      <c r="AT155" s="439"/>
      <c r="AU155" s="440"/>
      <c r="AV155" s="441"/>
      <c r="AW155" s="441"/>
      <c r="AX155" s="441"/>
      <c r="AY155" s="442"/>
    </row>
    <row r="156" spans="1:51" ht="15.75" customHeight="1" x14ac:dyDescent="0.2">
      <c r="A156" s="83"/>
      <c r="B156" s="443" t="s">
        <v>16</v>
      </c>
      <c r="C156" s="438"/>
      <c r="D156" s="439"/>
      <c r="E156" s="439"/>
      <c r="F156" s="439"/>
      <c r="G156" s="440"/>
      <c r="H156" s="439"/>
      <c r="I156" s="439"/>
      <c r="J156" s="439"/>
      <c r="K156" s="440"/>
      <c r="L156" s="439"/>
      <c r="M156" s="439"/>
      <c r="N156" s="439"/>
      <c r="O156" s="440"/>
      <c r="P156" s="439"/>
      <c r="Q156" s="439"/>
      <c r="R156" s="439"/>
      <c r="S156" s="440"/>
      <c r="T156" s="439"/>
      <c r="U156" s="439"/>
      <c r="V156" s="439"/>
      <c r="W156" s="440"/>
      <c r="X156" s="439"/>
      <c r="Y156" s="439"/>
      <c r="Z156" s="439"/>
      <c r="AA156" s="440"/>
      <c r="AB156" s="439"/>
      <c r="AC156" s="439"/>
      <c r="AD156" s="439"/>
      <c r="AE156" s="440"/>
      <c r="AF156" s="439"/>
      <c r="AG156" s="439"/>
      <c r="AH156" s="439"/>
      <c r="AI156" s="440"/>
      <c r="AJ156" s="439"/>
      <c r="AK156" s="439"/>
      <c r="AL156" s="439"/>
      <c r="AM156" s="440"/>
      <c r="AN156" s="439"/>
      <c r="AO156" s="439"/>
      <c r="AP156" s="439"/>
      <c r="AQ156" s="440"/>
      <c r="AR156" s="439"/>
      <c r="AS156" s="439"/>
      <c r="AT156" s="439"/>
      <c r="AU156" s="440"/>
      <c r="AV156" s="441"/>
      <c r="AW156" s="441"/>
      <c r="AX156" s="441"/>
      <c r="AY156" s="442"/>
    </row>
    <row r="157" spans="1:51" ht="15.75" customHeight="1" x14ac:dyDescent="0.2">
      <c r="A157" s="3"/>
      <c r="B157" s="396" t="s">
        <v>188</v>
      </c>
      <c r="C157" s="438"/>
      <c r="D157" s="332">
        <f t="shared" ref="D157:AU157" si="44">DATEDIF(($C$3),D$4,"Y")</f>
        <v>0</v>
      </c>
      <c r="E157" s="332">
        <f t="shared" si="44"/>
        <v>0</v>
      </c>
      <c r="F157" s="444">
        <f t="shared" si="44"/>
        <v>0</v>
      </c>
      <c r="G157" s="445">
        <f t="shared" si="44"/>
        <v>0</v>
      </c>
      <c r="H157" s="332">
        <f t="shared" si="44"/>
        <v>1</v>
      </c>
      <c r="I157" s="332">
        <f t="shared" si="44"/>
        <v>1</v>
      </c>
      <c r="J157" s="444">
        <f t="shared" si="44"/>
        <v>1</v>
      </c>
      <c r="K157" s="445">
        <f t="shared" si="44"/>
        <v>1</v>
      </c>
      <c r="L157" s="332">
        <f t="shared" si="44"/>
        <v>2</v>
      </c>
      <c r="M157" s="332">
        <f t="shared" si="44"/>
        <v>2</v>
      </c>
      <c r="N157" s="444">
        <f t="shared" si="44"/>
        <v>2</v>
      </c>
      <c r="O157" s="445">
        <f t="shared" si="44"/>
        <v>2</v>
      </c>
      <c r="P157" s="332">
        <f t="shared" si="44"/>
        <v>3</v>
      </c>
      <c r="Q157" s="332">
        <f t="shared" si="44"/>
        <v>3</v>
      </c>
      <c r="R157" s="444">
        <f t="shared" si="44"/>
        <v>3</v>
      </c>
      <c r="S157" s="445">
        <f t="shared" si="44"/>
        <v>3</v>
      </c>
      <c r="T157" s="332">
        <f t="shared" si="44"/>
        <v>4</v>
      </c>
      <c r="U157" s="332">
        <f t="shared" si="44"/>
        <v>4</v>
      </c>
      <c r="V157" s="444">
        <f t="shared" si="44"/>
        <v>4</v>
      </c>
      <c r="W157" s="445">
        <f t="shared" si="44"/>
        <v>4</v>
      </c>
      <c r="X157" s="332">
        <f t="shared" si="44"/>
        <v>5</v>
      </c>
      <c r="Y157" s="332">
        <f t="shared" si="44"/>
        <v>5</v>
      </c>
      <c r="Z157" s="444">
        <f t="shared" si="44"/>
        <v>5</v>
      </c>
      <c r="AA157" s="445">
        <f t="shared" si="44"/>
        <v>5</v>
      </c>
      <c r="AB157" s="332">
        <f t="shared" si="44"/>
        <v>6</v>
      </c>
      <c r="AC157" s="332">
        <f t="shared" si="44"/>
        <v>6</v>
      </c>
      <c r="AD157" s="444">
        <f t="shared" si="44"/>
        <v>6</v>
      </c>
      <c r="AE157" s="445">
        <f t="shared" si="44"/>
        <v>6</v>
      </c>
      <c r="AF157" s="332">
        <f t="shared" si="44"/>
        <v>7</v>
      </c>
      <c r="AG157" s="332">
        <f t="shared" si="44"/>
        <v>7</v>
      </c>
      <c r="AH157" s="444">
        <f t="shared" si="44"/>
        <v>7</v>
      </c>
      <c r="AI157" s="445">
        <f t="shared" si="44"/>
        <v>7</v>
      </c>
      <c r="AJ157" s="332">
        <f t="shared" si="44"/>
        <v>8</v>
      </c>
      <c r="AK157" s="332">
        <f t="shared" si="44"/>
        <v>8</v>
      </c>
      <c r="AL157" s="444">
        <f t="shared" si="44"/>
        <v>8</v>
      </c>
      <c r="AM157" s="445">
        <f t="shared" si="44"/>
        <v>8</v>
      </c>
      <c r="AN157" s="332">
        <f t="shared" si="44"/>
        <v>9</v>
      </c>
      <c r="AO157" s="332">
        <f t="shared" si="44"/>
        <v>9</v>
      </c>
      <c r="AP157" s="444">
        <f t="shared" si="44"/>
        <v>9</v>
      </c>
      <c r="AQ157" s="445">
        <f t="shared" si="44"/>
        <v>9</v>
      </c>
      <c r="AR157" s="332">
        <f t="shared" si="44"/>
        <v>10</v>
      </c>
      <c r="AS157" s="332">
        <f t="shared" si="44"/>
        <v>10</v>
      </c>
      <c r="AT157" s="444">
        <f t="shared" si="44"/>
        <v>10</v>
      </c>
      <c r="AU157" s="445">
        <f t="shared" si="44"/>
        <v>10</v>
      </c>
      <c r="AV157" s="441"/>
      <c r="AW157" s="441"/>
      <c r="AX157" s="441"/>
      <c r="AY157" s="442"/>
    </row>
    <row r="158" spans="1:51" ht="15.75" customHeight="1" x14ac:dyDescent="0.2">
      <c r="A158" s="3"/>
      <c r="B158" s="396" t="s">
        <v>189</v>
      </c>
      <c r="C158" s="438"/>
      <c r="D158" s="330">
        <f t="shared" ref="D158:AU158" ca="1" si="45">D59</f>
        <v>2500000</v>
      </c>
      <c r="E158" s="330">
        <f t="shared" ca="1" si="45"/>
        <v>3750000</v>
      </c>
      <c r="F158" s="330">
        <f t="shared" ca="1" si="45"/>
        <v>2500000</v>
      </c>
      <c r="G158" s="446">
        <f t="shared" ca="1" si="45"/>
        <v>3750000</v>
      </c>
      <c r="H158" s="330">
        <f t="shared" ca="1" si="45"/>
        <v>2500000</v>
      </c>
      <c r="I158" s="330">
        <f t="shared" ca="1" si="45"/>
        <v>3975000</v>
      </c>
      <c r="J158" s="330">
        <f t="shared" ca="1" si="45"/>
        <v>6900000</v>
      </c>
      <c r="K158" s="446">
        <f t="shared" ca="1" si="45"/>
        <v>4600000</v>
      </c>
      <c r="L158" s="330">
        <f t="shared" ca="1" si="45"/>
        <v>6900000</v>
      </c>
      <c r="M158" s="330">
        <f t="shared" ca="1" si="45"/>
        <v>6900000</v>
      </c>
      <c r="N158" s="330">
        <f t="shared" ca="1" si="45"/>
        <v>4600000</v>
      </c>
      <c r="O158" s="446">
        <f t="shared" ca="1" si="45"/>
        <v>7650000</v>
      </c>
      <c r="P158" s="330">
        <f t="shared" ca="1" si="45"/>
        <v>6100000</v>
      </c>
      <c r="Q158" s="330">
        <f t="shared" ca="1" si="45"/>
        <v>7900000</v>
      </c>
      <c r="R158" s="330">
        <f t="shared" ca="1" si="45"/>
        <v>4650000</v>
      </c>
      <c r="S158" s="446">
        <f t="shared" ca="1" si="45"/>
        <v>4350000</v>
      </c>
      <c r="T158" s="330">
        <f t="shared" ca="1" si="45"/>
        <v>5400000</v>
      </c>
      <c r="U158" s="330">
        <f t="shared" ca="1" si="45"/>
        <v>3600000</v>
      </c>
      <c r="V158" s="330">
        <f t="shared" ca="1" si="45"/>
        <v>5287500</v>
      </c>
      <c r="W158" s="446">
        <f t="shared" ca="1" si="45"/>
        <v>2437500</v>
      </c>
      <c r="X158" s="330">
        <f t="shared" ca="1" si="45"/>
        <v>2250000</v>
      </c>
      <c r="Y158" s="330">
        <f t="shared" ca="1" si="45"/>
        <v>2250000</v>
      </c>
      <c r="Z158" s="330">
        <f t="shared" ca="1" si="45"/>
        <v>1500000</v>
      </c>
      <c r="AA158" s="446">
        <f t="shared" ca="1" si="45"/>
        <v>2250000</v>
      </c>
      <c r="AB158" s="330">
        <f t="shared" ca="1" si="45"/>
        <v>1500000</v>
      </c>
      <c r="AC158" s="330">
        <f t="shared" ca="1" si="45"/>
        <v>750000</v>
      </c>
      <c r="AD158" s="330">
        <f t="shared" ca="1" si="45"/>
        <v>0</v>
      </c>
      <c r="AE158" s="446">
        <f t="shared" ca="1" si="45"/>
        <v>0</v>
      </c>
      <c r="AF158" s="330">
        <f t="shared" ca="1" si="45"/>
        <v>0</v>
      </c>
      <c r="AG158" s="330">
        <f t="shared" ca="1" si="45"/>
        <v>0</v>
      </c>
      <c r="AH158" s="330">
        <f t="shared" ca="1" si="45"/>
        <v>0</v>
      </c>
      <c r="AI158" s="446">
        <f t="shared" ca="1" si="45"/>
        <v>0</v>
      </c>
      <c r="AJ158" s="330">
        <f t="shared" ca="1" si="45"/>
        <v>0</v>
      </c>
      <c r="AK158" s="330">
        <f t="shared" ca="1" si="45"/>
        <v>0</v>
      </c>
      <c r="AL158" s="330">
        <f t="shared" ca="1" si="45"/>
        <v>0</v>
      </c>
      <c r="AM158" s="446">
        <f t="shared" ca="1" si="45"/>
        <v>0</v>
      </c>
      <c r="AN158" s="330">
        <f t="shared" ca="1" si="45"/>
        <v>0</v>
      </c>
      <c r="AO158" s="330">
        <f t="shared" ca="1" si="45"/>
        <v>0</v>
      </c>
      <c r="AP158" s="330">
        <f t="shared" ca="1" si="45"/>
        <v>0</v>
      </c>
      <c r="AQ158" s="446">
        <f t="shared" ca="1" si="45"/>
        <v>0</v>
      </c>
      <c r="AR158" s="330">
        <f t="shared" ca="1" si="45"/>
        <v>0</v>
      </c>
      <c r="AS158" s="330">
        <f t="shared" ca="1" si="45"/>
        <v>0</v>
      </c>
      <c r="AT158" s="330">
        <f t="shared" ca="1" si="45"/>
        <v>0</v>
      </c>
      <c r="AU158" s="446">
        <f t="shared" ca="1" si="45"/>
        <v>0</v>
      </c>
      <c r="AV158" s="447"/>
      <c r="AW158" s="447"/>
      <c r="AX158" s="447"/>
      <c r="AY158" s="448"/>
    </row>
    <row r="159" spans="1:51" ht="15.75" customHeight="1" x14ac:dyDescent="0.2">
      <c r="A159" s="3"/>
      <c r="B159" s="396" t="s">
        <v>190</v>
      </c>
      <c r="C159" s="438"/>
      <c r="D159" s="330">
        <f ca="1">SUM(D158)</f>
        <v>2500000</v>
      </c>
      <c r="E159" s="330">
        <f t="shared" ref="E159:AU159" ca="1" si="46">SUM($D158:E158)</f>
        <v>6250000</v>
      </c>
      <c r="F159" s="330">
        <f t="shared" ca="1" si="46"/>
        <v>8750000</v>
      </c>
      <c r="G159" s="446">
        <f t="shared" ca="1" si="46"/>
        <v>12500000</v>
      </c>
      <c r="H159" s="330">
        <f t="shared" ca="1" si="46"/>
        <v>15000000</v>
      </c>
      <c r="I159" s="330">
        <f t="shared" ca="1" si="46"/>
        <v>18975000</v>
      </c>
      <c r="J159" s="330">
        <f t="shared" ca="1" si="46"/>
        <v>25875000</v>
      </c>
      <c r="K159" s="446">
        <f t="shared" ca="1" si="46"/>
        <v>30475000</v>
      </c>
      <c r="L159" s="330">
        <f t="shared" ca="1" si="46"/>
        <v>37375000</v>
      </c>
      <c r="M159" s="330">
        <f t="shared" ca="1" si="46"/>
        <v>44275000</v>
      </c>
      <c r="N159" s="330">
        <f t="shared" ca="1" si="46"/>
        <v>48875000</v>
      </c>
      <c r="O159" s="446">
        <f t="shared" ca="1" si="46"/>
        <v>56525000</v>
      </c>
      <c r="P159" s="330">
        <f t="shared" ca="1" si="46"/>
        <v>62625000</v>
      </c>
      <c r="Q159" s="330">
        <f t="shared" ca="1" si="46"/>
        <v>70525000</v>
      </c>
      <c r="R159" s="330">
        <f t="shared" ca="1" si="46"/>
        <v>75175000</v>
      </c>
      <c r="S159" s="446">
        <f t="shared" ca="1" si="46"/>
        <v>79525000</v>
      </c>
      <c r="T159" s="330">
        <f t="shared" ca="1" si="46"/>
        <v>84925000</v>
      </c>
      <c r="U159" s="330">
        <f t="shared" ca="1" si="46"/>
        <v>88525000</v>
      </c>
      <c r="V159" s="330">
        <f t="shared" ca="1" si="46"/>
        <v>93812500</v>
      </c>
      <c r="W159" s="446">
        <f t="shared" ca="1" si="46"/>
        <v>96250000</v>
      </c>
      <c r="X159" s="330">
        <f t="shared" ca="1" si="46"/>
        <v>98500000</v>
      </c>
      <c r="Y159" s="330">
        <f t="shared" ca="1" si="46"/>
        <v>100750000</v>
      </c>
      <c r="Z159" s="330">
        <f t="shared" ca="1" si="46"/>
        <v>102250000</v>
      </c>
      <c r="AA159" s="446">
        <f t="shared" ca="1" si="46"/>
        <v>104500000</v>
      </c>
      <c r="AB159" s="330">
        <f t="shared" ca="1" si="46"/>
        <v>106000000</v>
      </c>
      <c r="AC159" s="330">
        <f t="shared" ca="1" si="46"/>
        <v>106750000</v>
      </c>
      <c r="AD159" s="330">
        <f t="shared" ca="1" si="46"/>
        <v>106750000</v>
      </c>
      <c r="AE159" s="446">
        <f t="shared" ca="1" si="46"/>
        <v>106750000</v>
      </c>
      <c r="AF159" s="330">
        <f t="shared" ca="1" si="46"/>
        <v>106750000</v>
      </c>
      <c r="AG159" s="330">
        <f t="shared" ca="1" si="46"/>
        <v>106750000</v>
      </c>
      <c r="AH159" s="330">
        <f t="shared" ca="1" si="46"/>
        <v>106750000</v>
      </c>
      <c r="AI159" s="446">
        <f t="shared" ca="1" si="46"/>
        <v>106750000</v>
      </c>
      <c r="AJ159" s="330">
        <f t="shared" ca="1" si="46"/>
        <v>106750000</v>
      </c>
      <c r="AK159" s="330">
        <f t="shared" ca="1" si="46"/>
        <v>106750000</v>
      </c>
      <c r="AL159" s="330">
        <f t="shared" ca="1" si="46"/>
        <v>106750000</v>
      </c>
      <c r="AM159" s="446">
        <f t="shared" ca="1" si="46"/>
        <v>106750000</v>
      </c>
      <c r="AN159" s="330">
        <f t="shared" ca="1" si="46"/>
        <v>106750000</v>
      </c>
      <c r="AO159" s="330">
        <f t="shared" ca="1" si="46"/>
        <v>106750000</v>
      </c>
      <c r="AP159" s="330">
        <f t="shared" ca="1" si="46"/>
        <v>106750000</v>
      </c>
      <c r="AQ159" s="446">
        <f t="shared" ca="1" si="46"/>
        <v>106750000</v>
      </c>
      <c r="AR159" s="330">
        <f t="shared" ca="1" si="46"/>
        <v>106750000</v>
      </c>
      <c r="AS159" s="330">
        <f t="shared" ca="1" si="46"/>
        <v>106750000</v>
      </c>
      <c r="AT159" s="330">
        <f t="shared" ca="1" si="46"/>
        <v>106750000</v>
      </c>
      <c r="AU159" s="446">
        <f t="shared" ca="1" si="46"/>
        <v>106750000</v>
      </c>
      <c r="AV159" s="447"/>
      <c r="AW159" s="447"/>
      <c r="AX159" s="447"/>
      <c r="AY159" s="448"/>
    </row>
    <row r="160" spans="1:51" ht="15.75" customHeight="1" x14ac:dyDescent="0.2">
      <c r="A160" s="425"/>
      <c r="B160" s="449" t="s">
        <v>191</v>
      </c>
      <c r="C160" s="419"/>
      <c r="D160" s="450">
        <f t="shared" ref="D160:AU160" ca="1" si="47">D159/$C$5</f>
        <v>2.5000000000000001E-2</v>
      </c>
      <c r="E160" s="450">
        <f t="shared" ca="1" si="47"/>
        <v>6.25E-2</v>
      </c>
      <c r="F160" s="451">
        <f t="shared" ca="1" si="47"/>
        <v>8.7499999999999994E-2</v>
      </c>
      <c r="G160" s="452">
        <f t="shared" ca="1" si="47"/>
        <v>0.125</v>
      </c>
      <c r="H160" s="450">
        <f t="shared" ca="1" si="47"/>
        <v>0.15</v>
      </c>
      <c r="I160" s="450">
        <f t="shared" ca="1" si="47"/>
        <v>0.18975</v>
      </c>
      <c r="J160" s="451">
        <f t="shared" ca="1" si="47"/>
        <v>0.25874999999999998</v>
      </c>
      <c r="K160" s="452">
        <f t="shared" ca="1" si="47"/>
        <v>0.30475000000000002</v>
      </c>
      <c r="L160" s="450">
        <f t="shared" ca="1" si="47"/>
        <v>0.37375000000000003</v>
      </c>
      <c r="M160" s="450">
        <f t="shared" ca="1" si="47"/>
        <v>0.44274999999999998</v>
      </c>
      <c r="N160" s="451">
        <f t="shared" ca="1" si="47"/>
        <v>0.48875000000000002</v>
      </c>
      <c r="O160" s="452">
        <f t="shared" ca="1" si="47"/>
        <v>0.56525000000000003</v>
      </c>
      <c r="P160" s="450">
        <f t="shared" ca="1" si="47"/>
        <v>0.62624999999999997</v>
      </c>
      <c r="Q160" s="450">
        <f t="shared" ca="1" si="47"/>
        <v>0.70525000000000004</v>
      </c>
      <c r="R160" s="451">
        <f t="shared" ca="1" si="47"/>
        <v>0.75175000000000003</v>
      </c>
      <c r="S160" s="452">
        <f t="shared" ca="1" si="47"/>
        <v>0.79525000000000001</v>
      </c>
      <c r="T160" s="450">
        <f t="shared" ca="1" si="47"/>
        <v>0.84924999999999995</v>
      </c>
      <c r="U160" s="450">
        <f t="shared" ca="1" si="47"/>
        <v>0.88524999999999998</v>
      </c>
      <c r="V160" s="451">
        <f t="shared" ca="1" si="47"/>
        <v>0.93812499999999999</v>
      </c>
      <c r="W160" s="452">
        <f t="shared" ca="1" si="47"/>
        <v>0.96250000000000002</v>
      </c>
      <c r="X160" s="450">
        <f t="shared" ca="1" si="47"/>
        <v>0.98499999999999999</v>
      </c>
      <c r="Y160" s="450">
        <f t="shared" ca="1" si="47"/>
        <v>1.0075000000000001</v>
      </c>
      <c r="Z160" s="451">
        <f t="shared" ca="1" si="47"/>
        <v>1.0225</v>
      </c>
      <c r="AA160" s="452">
        <f t="shared" ca="1" si="47"/>
        <v>1.0449999999999999</v>
      </c>
      <c r="AB160" s="450">
        <f t="shared" ca="1" si="47"/>
        <v>1.06</v>
      </c>
      <c r="AC160" s="450">
        <f t="shared" ca="1" si="47"/>
        <v>1.0674999999999999</v>
      </c>
      <c r="AD160" s="451">
        <f t="shared" ca="1" si="47"/>
        <v>1.0674999999999999</v>
      </c>
      <c r="AE160" s="452">
        <f t="shared" ca="1" si="47"/>
        <v>1.0674999999999999</v>
      </c>
      <c r="AF160" s="450">
        <f t="shared" ca="1" si="47"/>
        <v>1.0674999999999999</v>
      </c>
      <c r="AG160" s="450">
        <f t="shared" ca="1" si="47"/>
        <v>1.0674999999999999</v>
      </c>
      <c r="AH160" s="451">
        <f t="shared" ca="1" si="47"/>
        <v>1.0674999999999999</v>
      </c>
      <c r="AI160" s="452">
        <f t="shared" ca="1" si="47"/>
        <v>1.0674999999999999</v>
      </c>
      <c r="AJ160" s="450">
        <f t="shared" ca="1" si="47"/>
        <v>1.0674999999999999</v>
      </c>
      <c r="AK160" s="450">
        <f t="shared" ca="1" si="47"/>
        <v>1.0674999999999999</v>
      </c>
      <c r="AL160" s="451">
        <f t="shared" ca="1" si="47"/>
        <v>1.0674999999999999</v>
      </c>
      <c r="AM160" s="452">
        <f t="shared" ca="1" si="47"/>
        <v>1.0674999999999999</v>
      </c>
      <c r="AN160" s="450">
        <f t="shared" ca="1" si="47"/>
        <v>1.0674999999999999</v>
      </c>
      <c r="AO160" s="450">
        <f t="shared" ca="1" si="47"/>
        <v>1.0674999999999999</v>
      </c>
      <c r="AP160" s="451">
        <f t="shared" ca="1" si="47"/>
        <v>1.0674999999999999</v>
      </c>
      <c r="AQ160" s="452">
        <f t="shared" ca="1" si="47"/>
        <v>1.0674999999999999</v>
      </c>
      <c r="AR160" s="450">
        <f t="shared" ca="1" si="47"/>
        <v>1.0674999999999999</v>
      </c>
      <c r="AS160" s="450">
        <f t="shared" ca="1" si="47"/>
        <v>1.0674999999999999</v>
      </c>
      <c r="AT160" s="451">
        <f t="shared" ca="1" si="47"/>
        <v>1.0674999999999999</v>
      </c>
      <c r="AU160" s="452">
        <f t="shared" ca="1" si="47"/>
        <v>1.0674999999999999</v>
      </c>
      <c r="AV160" s="453"/>
      <c r="AW160" s="453"/>
      <c r="AX160" s="454"/>
      <c r="AY160" s="455"/>
    </row>
    <row r="161" spans="1:51" ht="15.75" customHeight="1" x14ac:dyDescent="0.2">
      <c r="A161" s="3"/>
      <c r="B161" s="396"/>
      <c r="C161" s="438"/>
      <c r="D161" s="330"/>
      <c r="E161" s="330"/>
      <c r="F161" s="330"/>
      <c r="G161" s="446"/>
      <c r="H161" s="330"/>
      <c r="I161" s="330"/>
      <c r="J161" s="330"/>
      <c r="K161" s="446"/>
      <c r="L161" s="330"/>
      <c r="M161" s="330"/>
      <c r="N161" s="330"/>
      <c r="O161" s="446"/>
      <c r="P161" s="330"/>
      <c r="Q161" s="330"/>
      <c r="R161" s="330"/>
      <c r="S161" s="446"/>
      <c r="T161" s="330"/>
      <c r="U161" s="330"/>
      <c r="V161" s="330"/>
      <c r="W161" s="446"/>
      <c r="X161" s="330"/>
      <c r="Y161" s="330"/>
      <c r="Z161" s="330"/>
      <c r="AA161" s="446"/>
      <c r="AB161" s="330"/>
      <c r="AC161" s="330"/>
      <c r="AD161" s="330"/>
      <c r="AE161" s="446"/>
      <c r="AF161" s="330"/>
      <c r="AG161" s="330"/>
      <c r="AH161" s="330"/>
      <c r="AI161" s="446"/>
      <c r="AJ161" s="330"/>
      <c r="AK161" s="330"/>
      <c r="AL161" s="330"/>
      <c r="AM161" s="446"/>
      <c r="AN161" s="330"/>
      <c r="AO161" s="330"/>
      <c r="AP161" s="330"/>
      <c r="AQ161" s="446"/>
      <c r="AR161" s="330"/>
      <c r="AS161" s="330"/>
      <c r="AT161" s="330"/>
      <c r="AU161" s="446"/>
      <c r="AV161" s="447"/>
      <c r="AW161" s="447"/>
      <c r="AX161" s="447"/>
      <c r="AY161" s="448"/>
    </row>
    <row r="162" spans="1:51" ht="15.75" customHeight="1" x14ac:dyDescent="0.2">
      <c r="A162" s="3"/>
      <c r="B162" s="456" t="s">
        <v>192</v>
      </c>
      <c r="C162" s="73"/>
      <c r="D162" s="330">
        <f t="shared" ref="D162:AU162" ca="1" si="48">D159*D163</f>
        <v>0</v>
      </c>
      <c r="E162" s="330">
        <f t="shared" ca="1" si="48"/>
        <v>0</v>
      </c>
      <c r="F162" s="330">
        <f t="shared" ca="1" si="48"/>
        <v>0</v>
      </c>
      <c r="G162" s="446">
        <f t="shared" ca="1" si="48"/>
        <v>0</v>
      </c>
      <c r="H162" s="330">
        <f t="shared" ca="1" si="48"/>
        <v>0</v>
      </c>
      <c r="I162" s="330">
        <f t="shared" ca="1" si="48"/>
        <v>0</v>
      </c>
      <c r="J162" s="330">
        <f t="shared" ca="1" si="48"/>
        <v>0</v>
      </c>
      <c r="K162" s="446">
        <f t="shared" ca="1" si="48"/>
        <v>0</v>
      </c>
      <c r="L162" s="330">
        <f t="shared" ca="1" si="48"/>
        <v>0</v>
      </c>
      <c r="M162" s="330">
        <f t="shared" ca="1" si="48"/>
        <v>0</v>
      </c>
      <c r="N162" s="330">
        <f t="shared" ca="1" si="48"/>
        <v>0</v>
      </c>
      <c r="O162" s="446">
        <f t="shared" ca="1" si="48"/>
        <v>0</v>
      </c>
      <c r="P162" s="330">
        <f t="shared" ca="1" si="48"/>
        <v>0</v>
      </c>
      <c r="Q162" s="330">
        <f t="shared" ca="1" si="48"/>
        <v>0</v>
      </c>
      <c r="R162" s="330">
        <f t="shared" ca="1" si="48"/>
        <v>0</v>
      </c>
      <c r="S162" s="446">
        <f t="shared" ca="1" si="48"/>
        <v>0</v>
      </c>
      <c r="T162" s="330">
        <f t="shared" ca="1" si="48"/>
        <v>0</v>
      </c>
      <c r="U162" s="330">
        <f t="shared" ca="1" si="48"/>
        <v>0</v>
      </c>
      <c r="V162" s="330">
        <f t="shared" ca="1" si="48"/>
        <v>0</v>
      </c>
      <c r="W162" s="446">
        <f t="shared" ca="1" si="48"/>
        <v>0</v>
      </c>
      <c r="X162" s="330">
        <f t="shared" ca="1" si="48"/>
        <v>0</v>
      </c>
      <c r="Y162" s="330">
        <f t="shared" ca="1" si="48"/>
        <v>0</v>
      </c>
      <c r="Z162" s="330">
        <f t="shared" ca="1" si="48"/>
        <v>0</v>
      </c>
      <c r="AA162" s="446">
        <f t="shared" ca="1" si="48"/>
        <v>0</v>
      </c>
      <c r="AB162" s="330">
        <f t="shared" ca="1" si="48"/>
        <v>0</v>
      </c>
      <c r="AC162" s="330">
        <f t="shared" ca="1" si="48"/>
        <v>0</v>
      </c>
      <c r="AD162" s="330">
        <f t="shared" ca="1" si="48"/>
        <v>0</v>
      </c>
      <c r="AE162" s="446">
        <f t="shared" ca="1" si="48"/>
        <v>0</v>
      </c>
      <c r="AF162" s="330">
        <f t="shared" ca="1" si="48"/>
        <v>1334375</v>
      </c>
      <c r="AG162" s="330">
        <f t="shared" ca="1" si="48"/>
        <v>1334375</v>
      </c>
      <c r="AH162" s="330">
        <f t="shared" ca="1" si="48"/>
        <v>1334375</v>
      </c>
      <c r="AI162" s="446">
        <f t="shared" ca="1" si="48"/>
        <v>1334375</v>
      </c>
      <c r="AJ162" s="330">
        <f t="shared" ca="1" si="48"/>
        <v>3202500</v>
      </c>
      <c r="AK162" s="330">
        <f t="shared" ca="1" si="48"/>
        <v>3202500</v>
      </c>
      <c r="AL162" s="330">
        <f t="shared" ca="1" si="48"/>
        <v>3202500</v>
      </c>
      <c r="AM162" s="446">
        <f t="shared" ca="1" si="48"/>
        <v>3202500</v>
      </c>
      <c r="AN162" s="330">
        <f t="shared" ca="1" si="48"/>
        <v>5337500</v>
      </c>
      <c r="AO162" s="330">
        <f t="shared" ca="1" si="48"/>
        <v>5337500</v>
      </c>
      <c r="AP162" s="330">
        <f t="shared" ca="1" si="48"/>
        <v>5337500</v>
      </c>
      <c r="AQ162" s="446">
        <f t="shared" ca="1" si="48"/>
        <v>5337500</v>
      </c>
      <c r="AR162" s="330">
        <f t="shared" ca="1" si="48"/>
        <v>6671875</v>
      </c>
      <c r="AS162" s="330">
        <f t="shared" ca="1" si="48"/>
        <v>6671875</v>
      </c>
      <c r="AT162" s="330">
        <f t="shared" ca="1" si="48"/>
        <v>6671875</v>
      </c>
      <c r="AU162" s="446">
        <f t="shared" ca="1" si="48"/>
        <v>6671875</v>
      </c>
      <c r="AV162" s="447"/>
      <c r="AW162" s="447"/>
      <c r="AX162" s="447"/>
      <c r="AY162" s="448"/>
    </row>
    <row r="163" spans="1:51" ht="15.75" customHeight="1" x14ac:dyDescent="0.2">
      <c r="A163" s="457"/>
      <c r="B163" s="458" t="s">
        <v>193</v>
      </c>
      <c r="C163" s="459"/>
      <c r="D163" s="460">
        <f t="shared" ref="D163:AU163" si="49">D164/4</f>
        <v>0</v>
      </c>
      <c r="E163" s="460">
        <f t="shared" si="49"/>
        <v>0</v>
      </c>
      <c r="F163" s="460">
        <f t="shared" si="49"/>
        <v>0</v>
      </c>
      <c r="G163" s="461">
        <f t="shared" si="49"/>
        <v>0</v>
      </c>
      <c r="H163" s="460">
        <f t="shared" si="49"/>
        <v>0</v>
      </c>
      <c r="I163" s="460">
        <f t="shared" si="49"/>
        <v>0</v>
      </c>
      <c r="J163" s="460">
        <f t="shared" si="49"/>
        <v>0</v>
      </c>
      <c r="K163" s="461">
        <f t="shared" si="49"/>
        <v>0</v>
      </c>
      <c r="L163" s="460">
        <f t="shared" si="49"/>
        <v>0</v>
      </c>
      <c r="M163" s="460">
        <f t="shared" si="49"/>
        <v>0</v>
      </c>
      <c r="N163" s="460">
        <f t="shared" si="49"/>
        <v>0</v>
      </c>
      <c r="O163" s="461">
        <f t="shared" si="49"/>
        <v>0</v>
      </c>
      <c r="P163" s="460">
        <f t="shared" si="49"/>
        <v>0</v>
      </c>
      <c r="Q163" s="460">
        <f t="shared" si="49"/>
        <v>0</v>
      </c>
      <c r="R163" s="460">
        <f t="shared" si="49"/>
        <v>0</v>
      </c>
      <c r="S163" s="461">
        <f t="shared" si="49"/>
        <v>0</v>
      </c>
      <c r="T163" s="460">
        <f t="shared" si="49"/>
        <v>0</v>
      </c>
      <c r="U163" s="460">
        <f t="shared" si="49"/>
        <v>0</v>
      </c>
      <c r="V163" s="460">
        <f t="shared" si="49"/>
        <v>0</v>
      </c>
      <c r="W163" s="461">
        <f t="shared" si="49"/>
        <v>0</v>
      </c>
      <c r="X163" s="460">
        <f t="shared" si="49"/>
        <v>0</v>
      </c>
      <c r="Y163" s="460">
        <f t="shared" si="49"/>
        <v>0</v>
      </c>
      <c r="Z163" s="460">
        <f t="shared" si="49"/>
        <v>0</v>
      </c>
      <c r="AA163" s="461">
        <f t="shared" si="49"/>
        <v>0</v>
      </c>
      <c r="AB163" s="460">
        <f t="shared" si="49"/>
        <v>0</v>
      </c>
      <c r="AC163" s="460">
        <f t="shared" si="49"/>
        <v>0</v>
      </c>
      <c r="AD163" s="460">
        <f t="shared" si="49"/>
        <v>0</v>
      </c>
      <c r="AE163" s="461">
        <f t="shared" si="49"/>
        <v>0</v>
      </c>
      <c r="AF163" s="460">
        <f t="shared" si="49"/>
        <v>1.2500000000000001E-2</v>
      </c>
      <c r="AG163" s="460">
        <f t="shared" si="49"/>
        <v>1.2500000000000001E-2</v>
      </c>
      <c r="AH163" s="460">
        <f t="shared" si="49"/>
        <v>1.2500000000000001E-2</v>
      </c>
      <c r="AI163" s="461">
        <f t="shared" si="49"/>
        <v>1.2500000000000001E-2</v>
      </c>
      <c r="AJ163" s="460">
        <f t="shared" si="49"/>
        <v>0.03</v>
      </c>
      <c r="AK163" s="460">
        <f t="shared" si="49"/>
        <v>0.03</v>
      </c>
      <c r="AL163" s="460">
        <f t="shared" si="49"/>
        <v>0.03</v>
      </c>
      <c r="AM163" s="461">
        <f t="shared" si="49"/>
        <v>0.03</v>
      </c>
      <c r="AN163" s="460">
        <f t="shared" si="49"/>
        <v>0.05</v>
      </c>
      <c r="AO163" s="460">
        <f t="shared" si="49"/>
        <v>0.05</v>
      </c>
      <c r="AP163" s="460">
        <f t="shared" si="49"/>
        <v>0.05</v>
      </c>
      <c r="AQ163" s="461">
        <f t="shared" si="49"/>
        <v>0.05</v>
      </c>
      <c r="AR163" s="460">
        <f t="shared" si="49"/>
        <v>6.25E-2</v>
      </c>
      <c r="AS163" s="460">
        <f t="shared" si="49"/>
        <v>6.25E-2</v>
      </c>
      <c r="AT163" s="460">
        <f t="shared" si="49"/>
        <v>6.25E-2</v>
      </c>
      <c r="AU163" s="461">
        <f t="shared" si="49"/>
        <v>6.25E-2</v>
      </c>
      <c r="AV163" s="462"/>
      <c r="AW163" s="462"/>
      <c r="AX163" s="462"/>
      <c r="AY163" s="463"/>
    </row>
    <row r="164" spans="1:51" ht="15.75" customHeight="1" x14ac:dyDescent="0.2">
      <c r="A164" s="457"/>
      <c r="B164" s="458" t="s">
        <v>194</v>
      </c>
      <c r="C164" s="459"/>
      <c r="D164" s="464">
        <f>_xlfn.IFS(AND(D157&gt;='Summary and Assumptions'!$G$124,D157&lt;='Summary and Assumptions'!$H$124),'Summary and Assumptions'!$D$124,AND(D157&gt;='Summary and Assumptions'!$G$125,D157&lt;='Summary and Assumptions'!$H$125),'Summary and Assumptions'!$D$125,AND(D157&gt;='Summary and Assumptions'!$G$126,D157&lt;='Summary and Assumptions'!$H$126),'Summary and Assumptions'!$D$126,AND(D157&gt;='Summary and Assumptions'!$G$127,D157&lt;='Summary and Assumptions'!$H$127),'Summary and Assumptions'!$D$127,AND(D157&gt;='Summary and Assumptions'!$G$128,D157&lt;='Summary and Assumptions'!$H$128),'Summary and Assumptions'!$D$128,AND(D157&gt;='Summary and Assumptions'!$G$129,D157&lt;='Summary and Assumptions'!$H$129),'Summary and Assumptions'!$D$129,AND(D157&gt;='Summary and Assumptions'!$G$130,D157&lt;='Summary and Assumptions'!$H$130),'Summary and Assumptions'!$D$130,AND(D157&gt;='Summary and Assumptions'!$G$131,D157&lt;='Summary and Assumptions'!$H$131),'Summary and Assumptions'!$D$131,AND(D157&gt;='Summary and Assumptions'!$G$132,D157&lt;='Summary and Assumptions'!$H$132),'Summary and Assumptions'!$D$132,AND(D157&gt;='Summary and Assumptions'!$G$133,D157&lt;='Summary and Assumptions'!$H$133),'Summary and Assumptions'!$D$133,AND(D157&gt;='Summary and Assumptions'!$G$134,D157&lt;='Summary and Assumptions'!$H$134),'Summary and Assumptions'!$D$134,D157&gt;='Summary and Assumptions'!$G$135,'Summary and Assumptions'!$D$135)</f>
        <v>0</v>
      </c>
      <c r="E164" s="464">
        <f>_xlfn.IFS(AND(E157&gt;='Summary and Assumptions'!$G$124,E157&lt;='Summary and Assumptions'!$H$124),'Summary and Assumptions'!$D$124,AND(E157&gt;='Summary and Assumptions'!$G$125,E157&lt;='Summary and Assumptions'!$H$125),'Summary and Assumptions'!$D$125,AND(E157&gt;='Summary and Assumptions'!$G$126,E157&lt;='Summary and Assumptions'!$H$126),'Summary and Assumptions'!$D$126,AND(E157&gt;='Summary and Assumptions'!$G$127,E157&lt;='Summary and Assumptions'!$H$127),'Summary and Assumptions'!$D$127,AND(E157&gt;='Summary and Assumptions'!$G$128,E157&lt;='Summary and Assumptions'!$H$128),'Summary and Assumptions'!$D$128,AND(E157&gt;='Summary and Assumptions'!$G$129,E157&lt;='Summary and Assumptions'!$H$129),'Summary and Assumptions'!$D$129,AND(E157&gt;='Summary and Assumptions'!$G$130,E157&lt;='Summary and Assumptions'!$H$130),'Summary and Assumptions'!$D$130,AND(E157&gt;='Summary and Assumptions'!$G$131,E157&lt;='Summary and Assumptions'!$H$131),'Summary and Assumptions'!$D$131,AND(E157&gt;='Summary and Assumptions'!$G$132,E157&lt;='Summary and Assumptions'!$H$132),'Summary and Assumptions'!$D$132,AND(E157&gt;='Summary and Assumptions'!$G$133,E157&lt;='Summary and Assumptions'!$H$133),'Summary and Assumptions'!$D$133,AND(E157&gt;='Summary and Assumptions'!$G$134,E157&lt;='Summary and Assumptions'!$H$134),'Summary and Assumptions'!$D$134,E157&gt;='Summary and Assumptions'!$G$135,'Summary and Assumptions'!$D$135)</f>
        <v>0</v>
      </c>
      <c r="F164" s="464">
        <f>_xlfn.IFS(AND(F157&gt;='Summary and Assumptions'!$G$124,F157&lt;='Summary and Assumptions'!$H$124),'Summary and Assumptions'!$D$124,AND(F157&gt;='Summary and Assumptions'!$G$125,F157&lt;='Summary and Assumptions'!$H$125),'Summary and Assumptions'!$D$125,AND(F157&gt;='Summary and Assumptions'!$G$126,F157&lt;='Summary and Assumptions'!$H$126),'Summary and Assumptions'!$D$126,AND(F157&gt;='Summary and Assumptions'!$G$127,F157&lt;='Summary and Assumptions'!$H$127),'Summary and Assumptions'!$D$127,AND(F157&gt;='Summary and Assumptions'!$G$128,F157&lt;='Summary and Assumptions'!$H$128),'Summary and Assumptions'!$D$128,AND(F157&gt;='Summary and Assumptions'!$G$129,F157&lt;='Summary and Assumptions'!$H$129),'Summary and Assumptions'!$D$129,AND(F157&gt;='Summary and Assumptions'!$G$130,F157&lt;='Summary and Assumptions'!$H$130),'Summary and Assumptions'!$D$130,AND(F157&gt;='Summary and Assumptions'!$G$131,F157&lt;='Summary and Assumptions'!$H$131),'Summary and Assumptions'!$D$131,AND(F157&gt;='Summary and Assumptions'!$G$132,F157&lt;='Summary and Assumptions'!$H$132),'Summary and Assumptions'!$D$132,AND(F157&gt;='Summary and Assumptions'!$G$133,F157&lt;='Summary and Assumptions'!$H$133),'Summary and Assumptions'!$D$133,AND(F157&gt;='Summary and Assumptions'!$G$134,F157&lt;='Summary and Assumptions'!$H$134),'Summary and Assumptions'!$D$134,F157&gt;='Summary and Assumptions'!$G$135,'Summary and Assumptions'!$D$135)</f>
        <v>0</v>
      </c>
      <c r="G164" s="465">
        <f>_xlfn.IFS(AND(G157&gt;='Summary and Assumptions'!$G$124,G157&lt;='Summary and Assumptions'!$H$124),'Summary and Assumptions'!$D$124,AND(G157&gt;='Summary and Assumptions'!$G$125,G157&lt;='Summary and Assumptions'!$H$125),'Summary and Assumptions'!$D$125,AND(G157&gt;='Summary and Assumptions'!$G$126,G157&lt;='Summary and Assumptions'!$H$126),'Summary and Assumptions'!$D$126,AND(G157&gt;='Summary and Assumptions'!$G$127,G157&lt;='Summary and Assumptions'!$H$127),'Summary and Assumptions'!$D$127,AND(G157&gt;='Summary and Assumptions'!$G$128,G157&lt;='Summary and Assumptions'!$H$128),'Summary and Assumptions'!$D$128,AND(G157&gt;='Summary and Assumptions'!$G$129,G157&lt;='Summary and Assumptions'!$H$129),'Summary and Assumptions'!$D$129,AND(G157&gt;='Summary and Assumptions'!$G$130,G157&lt;='Summary and Assumptions'!$H$130),'Summary and Assumptions'!$D$130,AND(G157&gt;='Summary and Assumptions'!$G$131,G157&lt;='Summary and Assumptions'!$H$131),'Summary and Assumptions'!$D$131,AND(G157&gt;='Summary and Assumptions'!$G$132,G157&lt;='Summary and Assumptions'!$H$132),'Summary and Assumptions'!$D$132,AND(G157&gt;='Summary and Assumptions'!$G$133,G157&lt;='Summary and Assumptions'!$H$133),'Summary and Assumptions'!$D$133,AND(G157&gt;='Summary and Assumptions'!$G$134,G157&lt;='Summary and Assumptions'!$H$134),'Summary and Assumptions'!$D$134,G157&gt;='Summary and Assumptions'!$G$135,'Summary and Assumptions'!$D$135)</f>
        <v>0</v>
      </c>
      <c r="H164" s="464">
        <f>_xlfn.IFS(AND(H157&gt;='Summary and Assumptions'!$G$124,H157&lt;='Summary and Assumptions'!$H$124),'Summary and Assumptions'!$D$124,AND(H157&gt;='Summary and Assumptions'!$G$125,H157&lt;='Summary and Assumptions'!$H$125),'Summary and Assumptions'!$D$125,AND(H157&gt;='Summary and Assumptions'!$G$126,H157&lt;='Summary and Assumptions'!$H$126),'Summary and Assumptions'!$D$126,AND(H157&gt;='Summary and Assumptions'!$G$127,H157&lt;='Summary and Assumptions'!$H$127),'Summary and Assumptions'!$D$127,AND(H157&gt;='Summary and Assumptions'!$G$128,H157&lt;='Summary and Assumptions'!$H$128),'Summary and Assumptions'!$D$128,AND(H157&gt;='Summary and Assumptions'!$G$129,H157&lt;='Summary and Assumptions'!$H$129),'Summary and Assumptions'!$D$129,AND(H157&gt;='Summary and Assumptions'!$G$130,H157&lt;='Summary and Assumptions'!$H$130),'Summary and Assumptions'!$D$130,AND(H157&gt;='Summary and Assumptions'!$G$131,H157&lt;='Summary and Assumptions'!$H$131),'Summary and Assumptions'!$D$131,AND(H157&gt;='Summary and Assumptions'!$G$132,H157&lt;='Summary and Assumptions'!$H$132),'Summary and Assumptions'!$D$132,AND(H157&gt;='Summary and Assumptions'!$G$133,H157&lt;='Summary and Assumptions'!$H$133),'Summary and Assumptions'!$D$133,AND(H157&gt;='Summary and Assumptions'!$G$134,H157&lt;='Summary and Assumptions'!$H$134),'Summary and Assumptions'!$D$134,H157&gt;='Summary and Assumptions'!$G$135,'Summary and Assumptions'!$D$135)</f>
        <v>0</v>
      </c>
      <c r="I164" s="464">
        <f>_xlfn.IFS(AND(I157&gt;='Summary and Assumptions'!$G$124,I157&lt;='Summary and Assumptions'!$H$124),'Summary and Assumptions'!$D$124,AND(I157&gt;='Summary and Assumptions'!$G$125,I157&lt;='Summary and Assumptions'!$H$125),'Summary and Assumptions'!$D$125,AND(I157&gt;='Summary and Assumptions'!$G$126,I157&lt;='Summary and Assumptions'!$H$126),'Summary and Assumptions'!$D$126,AND(I157&gt;='Summary and Assumptions'!$G$127,I157&lt;='Summary and Assumptions'!$H$127),'Summary and Assumptions'!$D$127,AND(I157&gt;='Summary and Assumptions'!$G$128,I157&lt;='Summary and Assumptions'!$H$128),'Summary and Assumptions'!$D$128,AND(I157&gt;='Summary and Assumptions'!$G$129,I157&lt;='Summary and Assumptions'!$H$129),'Summary and Assumptions'!$D$129,AND(I157&gt;='Summary and Assumptions'!$G$130,I157&lt;='Summary and Assumptions'!$H$130),'Summary and Assumptions'!$D$130,AND(I157&gt;='Summary and Assumptions'!$G$131,I157&lt;='Summary and Assumptions'!$H$131),'Summary and Assumptions'!$D$131,AND(I157&gt;='Summary and Assumptions'!$G$132,I157&lt;='Summary and Assumptions'!$H$132),'Summary and Assumptions'!$D$132,AND(I157&gt;='Summary and Assumptions'!$G$133,I157&lt;='Summary and Assumptions'!$H$133),'Summary and Assumptions'!$D$133,AND(I157&gt;='Summary and Assumptions'!$G$134,I157&lt;='Summary and Assumptions'!$H$134),'Summary and Assumptions'!$D$134,I157&gt;='Summary and Assumptions'!$G$135,'Summary and Assumptions'!$D$135)</f>
        <v>0</v>
      </c>
      <c r="J164" s="464">
        <f>_xlfn.IFS(AND(J157&gt;='Summary and Assumptions'!$G$124,J157&lt;='Summary and Assumptions'!$H$124),'Summary and Assumptions'!$D$124,AND(J157&gt;='Summary and Assumptions'!$G$125,J157&lt;='Summary and Assumptions'!$H$125),'Summary and Assumptions'!$D$125,AND(J157&gt;='Summary and Assumptions'!$G$126,J157&lt;='Summary and Assumptions'!$H$126),'Summary and Assumptions'!$D$126,AND(J157&gt;='Summary and Assumptions'!$G$127,J157&lt;='Summary and Assumptions'!$H$127),'Summary and Assumptions'!$D$127,AND(J157&gt;='Summary and Assumptions'!$G$128,J157&lt;='Summary and Assumptions'!$H$128),'Summary and Assumptions'!$D$128,AND(J157&gt;='Summary and Assumptions'!$G$129,J157&lt;='Summary and Assumptions'!$H$129),'Summary and Assumptions'!$D$129,AND(J157&gt;='Summary and Assumptions'!$G$130,J157&lt;='Summary and Assumptions'!$H$130),'Summary and Assumptions'!$D$130,AND(J157&gt;='Summary and Assumptions'!$G$131,J157&lt;='Summary and Assumptions'!$H$131),'Summary and Assumptions'!$D$131,AND(J157&gt;='Summary and Assumptions'!$G$132,J157&lt;='Summary and Assumptions'!$H$132),'Summary and Assumptions'!$D$132,AND(J157&gt;='Summary and Assumptions'!$G$133,J157&lt;='Summary and Assumptions'!$H$133),'Summary and Assumptions'!$D$133,AND(J157&gt;='Summary and Assumptions'!$G$134,J157&lt;='Summary and Assumptions'!$H$134),'Summary and Assumptions'!$D$134,J157&gt;='Summary and Assumptions'!$G$135,'Summary and Assumptions'!$D$135)</f>
        <v>0</v>
      </c>
      <c r="K164" s="465">
        <f>_xlfn.IFS(AND(K157&gt;='Summary and Assumptions'!$G$124,K157&lt;='Summary and Assumptions'!$H$124),'Summary and Assumptions'!$D$124,AND(K157&gt;='Summary and Assumptions'!$G$125,K157&lt;='Summary and Assumptions'!$H$125),'Summary and Assumptions'!$D$125,AND(K157&gt;='Summary and Assumptions'!$G$126,K157&lt;='Summary and Assumptions'!$H$126),'Summary and Assumptions'!$D$126,AND(K157&gt;='Summary and Assumptions'!$G$127,K157&lt;='Summary and Assumptions'!$H$127),'Summary and Assumptions'!$D$127,AND(K157&gt;='Summary and Assumptions'!$G$128,K157&lt;='Summary and Assumptions'!$H$128),'Summary and Assumptions'!$D$128,AND(K157&gt;='Summary and Assumptions'!$G$129,K157&lt;='Summary and Assumptions'!$H$129),'Summary and Assumptions'!$D$129,AND(K157&gt;='Summary and Assumptions'!$G$130,K157&lt;='Summary and Assumptions'!$H$130),'Summary and Assumptions'!$D$130,AND(K157&gt;='Summary and Assumptions'!$G$131,K157&lt;='Summary and Assumptions'!$H$131),'Summary and Assumptions'!$D$131,AND(K157&gt;='Summary and Assumptions'!$G$132,K157&lt;='Summary and Assumptions'!$H$132),'Summary and Assumptions'!$D$132,AND(K157&gt;='Summary and Assumptions'!$G$133,K157&lt;='Summary and Assumptions'!$H$133),'Summary and Assumptions'!$D$133,AND(K157&gt;='Summary and Assumptions'!$G$134,K157&lt;='Summary and Assumptions'!$H$134),'Summary and Assumptions'!$D$134,K157&gt;='Summary and Assumptions'!$G$135,'Summary and Assumptions'!$D$135)</f>
        <v>0</v>
      </c>
      <c r="L164" s="464">
        <f>_xlfn.IFS(AND(L157&gt;='Summary and Assumptions'!$G$124,L157&lt;='Summary and Assumptions'!$H$124),'Summary and Assumptions'!$D$124,AND(L157&gt;='Summary and Assumptions'!$G$125,L157&lt;='Summary and Assumptions'!$H$125),'Summary and Assumptions'!$D$125,AND(L157&gt;='Summary and Assumptions'!$G$126,L157&lt;='Summary and Assumptions'!$H$126),'Summary and Assumptions'!$D$126,AND(L157&gt;='Summary and Assumptions'!$G$127,L157&lt;='Summary and Assumptions'!$H$127),'Summary and Assumptions'!$D$127,AND(L157&gt;='Summary and Assumptions'!$G$128,L157&lt;='Summary and Assumptions'!$H$128),'Summary and Assumptions'!$D$128,AND(L157&gt;='Summary and Assumptions'!$G$129,L157&lt;='Summary and Assumptions'!$H$129),'Summary and Assumptions'!$D$129,AND(L157&gt;='Summary and Assumptions'!$G$130,L157&lt;='Summary and Assumptions'!$H$130),'Summary and Assumptions'!$D$130,AND(L157&gt;='Summary and Assumptions'!$G$131,L157&lt;='Summary and Assumptions'!$H$131),'Summary and Assumptions'!$D$131,AND(L157&gt;='Summary and Assumptions'!$G$132,L157&lt;='Summary and Assumptions'!$H$132),'Summary and Assumptions'!$D$132,AND(L157&gt;='Summary and Assumptions'!$G$133,L157&lt;='Summary and Assumptions'!$H$133),'Summary and Assumptions'!$D$133,AND(L157&gt;='Summary and Assumptions'!$G$134,L157&lt;='Summary and Assumptions'!$H$134),'Summary and Assumptions'!$D$134,L157&gt;='Summary and Assumptions'!$G$135,'Summary and Assumptions'!$D$135)</f>
        <v>0</v>
      </c>
      <c r="M164" s="464">
        <f>_xlfn.IFS(AND(M157&gt;='Summary and Assumptions'!$G$124,M157&lt;='Summary and Assumptions'!$H$124),'Summary and Assumptions'!$D$124,AND(M157&gt;='Summary and Assumptions'!$G$125,M157&lt;='Summary and Assumptions'!$H$125),'Summary and Assumptions'!$D$125,AND(M157&gt;='Summary and Assumptions'!$G$126,M157&lt;='Summary and Assumptions'!$H$126),'Summary and Assumptions'!$D$126,AND(M157&gt;='Summary and Assumptions'!$G$127,M157&lt;='Summary and Assumptions'!$H$127),'Summary and Assumptions'!$D$127,AND(M157&gt;='Summary and Assumptions'!$G$128,M157&lt;='Summary and Assumptions'!$H$128),'Summary and Assumptions'!$D$128,AND(M157&gt;='Summary and Assumptions'!$G$129,M157&lt;='Summary and Assumptions'!$H$129),'Summary and Assumptions'!$D$129,AND(M157&gt;='Summary and Assumptions'!$G$130,M157&lt;='Summary and Assumptions'!$H$130),'Summary and Assumptions'!$D$130,AND(M157&gt;='Summary and Assumptions'!$G$131,M157&lt;='Summary and Assumptions'!$H$131),'Summary and Assumptions'!$D$131,AND(M157&gt;='Summary and Assumptions'!$G$132,M157&lt;='Summary and Assumptions'!$H$132),'Summary and Assumptions'!$D$132,AND(M157&gt;='Summary and Assumptions'!$G$133,M157&lt;='Summary and Assumptions'!$H$133),'Summary and Assumptions'!$D$133,AND(M157&gt;='Summary and Assumptions'!$G$134,M157&lt;='Summary and Assumptions'!$H$134),'Summary and Assumptions'!$D$134,M157&gt;='Summary and Assumptions'!$G$135,'Summary and Assumptions'!$D$135)</f>
        <v>0</v>
      </c>
      <c r="N164" s="464">
        <f>_xlfn.IFS(AND(N157&gt;='Summary and Assumptions'!$G$124,N157&lt;='Summary and Assumptions'!$H$124),'Summary and Assumptions'!$D$124,AND(N157&gt;='Summary and Assumptions'!$G$125,N157&lt;='Summary and Assumptions'!$H$125),'Summary and Assumptions'!$D$125,AND(N157&gt;='Summary and Assumptions'!$G$126,N157&lt;='Summary and Assumptions'!$H$126),'Summary and Assumptions'!$D$126,AND(N157&gt;='Summary and Assumptions'!$G$127,N157&lt;='Summary and Assumptions'!$H$127),'Summary and Assumptions'!$D$127,AND(N157&gt;='Summary and Assumptions'!$G$128,N157&lt;='Summary and Assumptions'!$H$128),'Summary and Assumptions'!$D$128,AND(N157&gt;='Summary and Assumptions'!$G$129,N157&lt;='Summary and Assumptions'!$H$129),'Summary and Assumptions'!$D$129,AND(N157&gt;='Summary and Assumptions'!$G$130,N157&lt;='Summary and Assumptions'!$H$130),'Summary and Assumptions'!$D$130,AND(N157&gt;='Summary and Assumptions'!$G$131,N157&lt;='Summary and Assumptions'!$H$131),'Summary and Assumptions'!$D$131,AND(N157&gt;='Summary and Assumptions'!$G$132,N157&lt;='Summary and Assumptions'!$H$132),'Summary and Assumptions'!$D$132,AND(N157&gt;='Summary and Assumptions'!$G$133,N157&lt;='Summary and Assumptions'!$H$133),'Summary and Assumptions'!$D$133,AND(N157&gt;='Summary and Assumptions'!$G$134,N157&lt;='Summary and Assumptions'!$H$134),'Summary and Assumptions'!$D$134,N157&gt;='Summary and Assumptions'!$G$135,'Summary and Assumptions'!$D$135)</f>
        <v>0</v>
      </c>
      <c r="O164" s="465">
        <f>_xlfn.IFS(AND(O157&gt;='Summary and Assumptions'!$G$124,O157&lt;='Summary and Assumptions'!$H$124),'Summary and Assumptions'!$D$124,AND(O157&gt;='Summary and Assumptions'!$G$125,O157&lt;='Summary and Assumptions'!$H$125),'Summary and Assumptions'!$D$125,AND(O157&gt;='Summary and Assumptions'!$G$126,O157&lt;='Summary and Assumptions'!$H$126),'Summary and Assumptions'!$D$126,AND(O157&gt;='Summary and Assumptions'!$G$127,O157&lt;='Summary and Assumptions'!$H$127),'Summary and Assumptions'!$D$127,AND(O157&gt;='Summary and Assumptions'!$G$128,O157&lt;='Summary and Assumptions'!$H$128),'Summary and Assumptions'!$D$128,AND(O157&gt;='Summary and Assumptions'!$G$129,O157&lt;='Summary and Assumptions'!$H$129),'Summary and Assumptions'!$D$129,AND(O157&gt;='Summary and Assumptions'!$G$130,O157&lt;='Summary and Assumptions'!$H$130),'Summary and Assumptions'!$D$130,AND(O157&gt;='Summary and Assumptions'!$G$131,O157&lt;='Summary and Assumptions'!$H$131),'Summary and Assumptions'!$D$131,AND(O157&gt;='Summary and Assumptions'!$G$132,O157&lt;='Summary and Assumptions'!$H$132),'Summary and Assumptions'!$D$132,AND(O157&gt;='Summary and Assumptions'!$G$133,O157&lt;='Summary and Assumptions'!$H$133),'Summary and Assumptions'!$D$133,AND(O157&gt;='Summary and Assumptions'!$G$134,O157&lt;='Summary and Assumptions'!$H$134),'Summary and Assumptions'!$D$134,O157&gt;='Summary and Assumptions'!$G$135,'Summary and Assumptions'!$D$135)</f>
        <v>0</v>
      </c>
      <c r="P164" s="464">
        <f>_xlfn.IFS(AND(P157&gt;='Summary and Assumptions'!$G$124,P157&lt;='Summary and Assumptions'!$H$124),'Summary and Assumptions'!$D$124,AND(P157&gt;='Summary and Assumptions'!$G$125,P157&lt;='Summary and Assumptions'!$H$125),'Summary and Assumptions'!$D$125,AND(P157&gt;='Summary and Assumptions'!$G$126,P157&lt;='Summary and Assumptions'!$H$126),'Summary and Assumptions'!$D$126,AND(P157&gt;='Summary and Assumptions'!$G$127,P157&lt;='Summary and Assumptions'!$H$127),'Summary and Assumptions'!$D$127,AND(P157&gt;='Summary and Assumptions'!$G$128,P157&lt;='Summary and Assumptions'!$H$128),'Summary and Assumptions'!$D$128,AND(P157&gt;='Summary and Assumptions'!$G$129,P157&lt;='Summary and Assumptions'!$H$129),'Summary and Assumptions'!$D$129,AND(P157&gt;='Summary and Assumptions'!$G$130,P157&lt;='Summary and Assumptions'!$H$130),'Summary and Assumptions'!$D$130,AND(P157&gt;='Summary and Assumptions'!$G$131,P157&lt;='Summary and Assumptions'!$H$131),'Summary and Assumptions'!$D$131,AND(P157&gt;='Summary and Assumptions'!$G$132,P157&lt;='Summary and Assumptions'!$H$132),'Summary and Assumptions'!$D$132,AND(P157&gt;='Summary and Assumptions'!$G$133,P157&lt;='Summary and Assumptions'!$H$133),'Summary and Assumptions'!$D$133,AND(P157&gt;='Summary and Assumptions'!$G$134,P157&lt;='Summary and Assumptions'!$H$134),'Summary and Assumptions'!$D$134,P157&gt;='Summary and Assumptions'!$G$135,'Summary and Assumptions'!$D$135)</f>
        <v>0</v>
      </c>
      <c r="Q164" s="464">
        <f>_xlfn.IFS(AND(Q157&gt;='Summary and Assumptions'!$G$124,Q157&lt;='Summary and Assumptions'!$H$124),'Summary and Assumptions'!$D$124,AND(Q157&gt;='Summary and Assumptions'!$G$125,Q157&lt;='Summary and Assumptions'!$H$125),'Summary and Assumptions'!$D$125,AND(Q157&gt;='Summary and Assumptions'!$G$126,Q157&lt;='Summary and Assumptions'!$H$126),'Summary and Assumptions'!$D$126,AND(Q157&gt;='Summary and Assumptions'!$G$127,Q157&lt;='Summary and Assumptions'!$H$127),'Summary and Assumptions'!$D$127,AND(Q157&gt;='Summary and Assumptions'!$G$128,Q157&lt;='Summary and Assumptions'!$H$128),'Summary and Assumptions'!$D$128,AND(Q157&gt;='Summary and Assumptions'!$G$129,Q157&lt;='Summary and Assumptions'!$H$129),'Summary and Assumptions'!$D$129,AND(Q157&gt;='Summary and Assumptions'!$G$130,Q157&lt;='Summary and Assumptions'!$H$130),'Summary and Assumptions'!$D$130,AND(Q157&gt;='Summary and Assumptions'!$G$131,Q157&lt;='Summary and Assumptions'!$H$131),'Summary and Assumptions'!$D$131,AND(Q157&gt;='Summary and Assumptions'!$G$132,Q157&lt;='Summary and Assumptions'!$H$132),'Summary and Assumptions'!$D$132,AND(Q157&gt;='Summary and Assumptions'!$G$133,Q157&lt;='Summary and Assumptions'!$H$133),'Summary and Assumptions'!$D$133,AND(Q157&gt;='Summary and Assumptions'!$G$134,Q157&lt;='Summary and Assumptions'!$H$134),'Summary and Assumptions'!$D$134,Q157&gt;='Summary and Assumptions'!$G$135,'Summary and Assumptions'!$D$135)</f>
        <v>0</v>
      </c>
      <c r="R164" s="464">
        <f>_xlfn.IFS(AND(R157&gt;='Summary and Assumptions'!$G$124,R157&lt;='Summary and Assumptions'!$H$124),'Summary and Assumptions'!$D$124,AND(R157&gt;='Summary and Assumptions'!$G$125,R157&lt;='Summary and Assumptions'!$H$125),'Summary and Assumptions'!$D$125,AND(R157&gt;='Summary and Assumptions'!$G$126,R157&lt;='Summary and Assumptions'!$H$126),'Summary and Assumptions'!$D$126,AND(R157&gt;='Summary and Assumptions'!$G$127,R157&lt;='Summary and Assumptions'!$H$127),'Summary and Assumptions'!$D$127,AND(R157&gt;='Summary and Assumptions'!$G$128,R157&lt;='Summary and Assumptions'!$H$128),'Summary and Assumptions'!$D$128,AND(R157&gt;='Summary and Assumptions'!$G$129,R157&lt;='Summary and Assumptions'!$H$129),'Summary and Assumptions'!$D$129,AND(R157&gt;='Summary and Assumptions'!$G$130,R157&lt;='Summary and Assumptions'!$H$130),'Summary and Assumptions'!$D$130,AND(R157&gt;='Summary and Assumptions'!$G$131,R157&lt;='Summary and Assumptions'!$H$131),'Summary and Assumptions'!$D$131,AND(R157&gt;='Summary and Assumptions'!$G$132,R157&lt;='Summary and Assumptions'!$H$132),'Summary and Assumptions'!$D$132,AND(R157&gt;='Summary and Assumptions'!$G$133,R157&lt;='Summary and Assumptions'!$H$133),'Summary and Assumptions'!$D$133,AND(R157&gt;='Summary and Assumptions'!$G$134,R157&lt;='Summary and Assumptions'!$H$134),'Summary and Assumptions'!$D$134,R157&gt;='Summary and Assumptions'!$G$135,'Summary and Assumptions'!$D$135)</f>
        <v>0</v>
      </c>
      <c r="S164" s="465">
        <f>_xlfn.IFS(AND(S157&gt;='Summary and Assumptions'!$G$124,S157&lt;='Summary and Assumptions'!$H$124),'Summary and Assumptions'!$D$124,AND(S157&gt;='Summary and Assumptions'!$G$125,S157&lt;='Summary and Assumptions'!$H$125),'Summary and Assumptions'!$D$125,AND(S157&gt;='Summary and Assumptions'!$G$126,S157&lt;='Summary and Assumptions'!$H$126),'Summary and Assumptions'!$D$126,AND(S157&gt;='Summary and Assumptions'!$G$127,S157&lt;='Summary and Assumptions'!$H$127),'Summary and Assumptions'!$D$127,AND(S157&gt;='Summary and Assumptions'!$G$128,S157&lt;='Summary and Assumptions'!$H$128),'Summary and Assumptions'!$D$128,AND(S157&gt;='Summary and Assumptions'!$G$129,S157&lt;='Summary and Assumptions'!$H$129),'Summary and Assumptions'!$D$129,AND(S157&gt;='Summary and Assumptions'!$G$130,S157&lt;='Summary and Assumptions'!$H$130),'Summary and Assumptions'!$D$130,AND(S157&gt;='Summary and Assumptions'!$G$131,S157&lt;='Summary and Assumptions'!$H$131),'Summary and Assumptions'!$D$131,AND(S157&gt;='Summary and Assumptions'!$G$132,S157&lt;='Summary and Assumptions'!$H$132),'Summary and Assumptions'!$D$132,AND(S157&gt;='Summary and Assumptions'!$G$133,S157&lt;='Summary and Assumptions'!$H$133),'Summary and Assumptions'!$D$133,AND(S157&gt;='Summary and Assumptions'!$G$134,S157&lt;='Summary and Assumptions'!$H$134),'Summary and Assumptions'!$D$134,S157&gt;='Summary and Assumptions'!$G$135,'Summary and Assumptions'!$D$135)</f>
        <v>0</v>
      </c>
      <c r="T164" s="464">
        <f>_xlfn.IFS(AND(T157&gt;='Summary and Assumptions'!$G$124,T157&lt;='Summary and Assumptions'!$H$124),'Summary and Assumptions'!$D$124,AND(T157&gt;='Summary and Assumptions'!$G$125,T157&lt;='Summary and Assumptions'!$H$125),'Summary and Assumptions'!$D$125,AND(T157&gt;='Summary and Assumptions'!$G$126,T157&lt;='Summary and Assumptions'!$H$126),'Summary and Assumptions'!$D$126,AND(T157&gt;='Summary and Assumptions'!$G$127,T157&lt;='Summary and Assumptions'!$H$127),'Summary and Assumptions'!$D$127,AND(T157&gt;='Summary and Assumptions'!$G$128,T157&lt;='Summary and Assumptions'!$H$128),'Summary and Assumptions'!$D$128,AND(T157&gt;='Summary and Assumptions'!$G$129,T157&lt;='Summary and Assumptions'!$H$129),'Summary and Assumptions'!$D$129,AND(T157&gt;='Summary and Assumptions'!$G$130,T157&lt;='Summary and Assumptions'!$H$130),'Summary and Assumptions'!$D$130,AND(T157&gt;='Summary and Assumptions'!$G$131,T157&lt;='Summary and Assumptions'!$H$131),'Summary and Assumptions'!$D$131,AND(T157&gt;='Summary and Assumptions'!$G$132,T157&lt;='Summary and Assumptions'!$H$132),'Summary and Assumptions'!$D$132,AND(T157&gt;='Summary and Assumptions'!$G$133,T157&lt;='Summary and Assumptions'!$H$133),'Summary and Assumptions'!$D$133,AND(T157&gt;='Summary and Assumptions'!$G$134,T157&lt;='Summary and Assumptions'!$H$134),'Summary and Assumptions'!$D$134,T157&gt;='Summary and Assumptions'!$G$135,'Summary and Assumptions'!$D$135)</f>
        <v>0</v>
      </c>
      <c r="U164" s="464">
        <f>_xlfn.IFS(AND(U157&gt;='Summary and Assumptions'!$G$124,U157&lt;='Summary and Assumptions'!$H$124),'Summary and Assumptions'!$D$124,AND(U157&gt;='Summary and Assumptions'!$G$125,U157&lt;='Summary and Assumptions'!$H$125),'Summary and Assumptions'!$D$125,AND(U157&gt;='Summary and Assumptions'!$G$126,U157&lt;='Summary and Assumptions'!$H$126),'Summary and Assumptions'!$D$126,AND(U157&gt;='Summary and Assumptions'!$G$127,U157&lt;='Summary and Assumptions'!$H$127),'Summary and Assumptions'!$D$127,AND(U157&gt;='Summary and Assumptions'!$G$128,U157&lt;='Summary and Assumptions'!$H$128),'Summary and Assumptions'!$D$128,AND(U157&gt;='Summary and Assumptions'!$G$129,U157&lt;='Summary and Assumptions'!$H$129),'Summary and Assumptions'!$D$129,AND(U157&gt;='Summary and Assumptions'!$G$130,U157&lt;='Summary and Assumptions'!$H$130),'Summary and Assumptions'!$D$130,AND(U157&gt;='Summary and Assumptions'!$G$131,U157&lt;='Summary and Assumptions'!$H$131),'Summary and Assumptions'!$D$131,AND(U157&gt;='Summary and Assumptions'!$G$132,U157&lt;='Summary and Assumptions'!$H$132),'Summary and Assumptions'!$D$132,AND(U157&gt;='Summary and Assumptions'!$G$133,U157&lt;='Summary and Assumptions'!$H$133),'Summary and Assumptions'!$D$133,AND(U157&gt;='Summary and Assumptions'!$G$134,U157&lt;='Summary and Assumptions'!$H$134),'Summary and Assumptions'!$D$134,U157&gt;='Summary and Assumptions'!$G$135,'Summary and Assumptions'!$D$135)</f>
        <v>0</v>
      </c>
      <c r="V164" s="464">
        <f>_xlfn.IFS(AND(V157&gt;='Summary and Assumptions'!$G$124,V157&lt;='Summary and Assumptions'!$H$124),'Summary and Assumptions'!$D$124,AND(V157&gt;='Summary and Assumptions'!$G$125,V157&lt;='Summary and Assumptions'!$H$125),'Summary and Assumptions'!$D$125,AND(V157&gt;='Summary and Assumptions'!$G$126,V157&lt;='Summary and Assumptions'!$H$126),'Summary and Assumptions'!$D$126,AND(V157&gt;='Summary and Assumptions'!$G$127,V157&lt;='Summary and Assumptions'!$H$127),'Summary and Assumptions'!$D$127,AND(V157&gt;='Summary and Assumptions'!$G$128,V157&lt;='Summary and Assumptions'!$H$128),'Summary and Assumptions'!$D$128,AND(V157&gt;='Summary and Assumptions'!$G$129,V157&lt;='Summary and Assumptions'!$H$129),'Summary and Assumptions'!$D$129,AND(V157&gt;='Summary and Assumptions'!$G$130,V157&lt;='Summary and Assumptions'!$H$130),'Summary and Assumptions'!$D$130,AND(V157&gt;='Summary and Assumptions'!$G$131,V157&lt;='Summary and Assumptions'!$H$131),'Summary and Assumptions'!$D$131,AND(V157&gt;='Summary and Assumptions'!$G$132,V157&lt;='Summary and Assumptions'!$H$132),'Summary and Assumptions'!$D$132,AND(V157&gt;='Summary and Assumptions'!$G$133,V157&lt;='Summary and Assumptions'!$H$133),'Summary and Assumptions'!$D$133,AND(V157&gt;='Summary and Assumptions'!$G$134,V157&lt;='Summary and Assumptions'!$H$134),'Summary and Assumptions'!$D$134,V157&gt;='Summary and Assumptions'!$G$135,'Summary and Assumptions'!$D$135)</f>
        <v>0</v>
      </c>
      <c r="W164" s="465">
        <f>_xlfn.IFS(AND(W157&gt;='Summary and Assumptions'!$G$124,W157&lt;='Summary and Assumptions'!$H$124),'Summary and Assumptions'!$D$124,AND(W157&gt;='Summary and Assumptions'!$G$125,W157&lt;='Summary and Assumptions'!$H$125),'Summary and Assumptions'!$D$125,AND(W157&gt;='Summary and Assumptions'!$G$126,W157&lt;='Summary and Assumptions'!$H$126),'Summary and Assumptions'!$D$126,AND(W157&gt;='Summary and Assumptions'!$G$127,W157&lt;='Summary and Assumptions'!$H$127),'Summary and Assumptions'!$D$127,AND(W157&gt;='Summary and Assumptions'!$G$128,W157&lt;='Summary and Assumptions'!$H$128),'Summary and Assumptions'!$D$128,AND(W157&gt;='Summary and Assumptions'!$G$129,W157&lt;='Summary and Assumptions'!$H$129),'Summary and Assumptions'!$D$129,AND(W157&gt;='Summary and Assumptions'!$G$130,W157&lt;='Summary and Assumptions'!$H$130),'Summary and Assumptions'!$D$130,AND(W157&gt;='Summary and Assumptions'!$G$131,W157&lt;='Summary and Assumptions'!$H$131),'Summary and Assumptions'!$D$131,AND(W157&gt;='Summary and Assumptions'!$G$132,W157&lt;='Summary and Assumptions'!$H$132),'Summary and Assumptions'!$D$132,AND(W157&gt;='Summary and Assumptions'!$G$133,W157&lt;='Summary and Assumptions'!$H$133),'Summary and Assumptions'!$D$133,AND(W157&gt;='Summary and Assumptions'!$G$134,W157&lt;='Summary and Assumptions'!$H$134),'Summary and Assumptions'!$D$134,W157&gt;='Summary and Assumptions'!$G$135,'Summary and Assumptions'!$D$135)</f>
        <v>0</v>
      </c>
      <c r="X164" s="464">
        <f>_xlfn.IFS(AND(X157&gt;='Summary and Assumptions'!$G$124,X157&lt;='Summary and Assumptions'!$H$124),'Summary and Assumptions'!$D$124,AND(X157&gt;='Summary and Assumptions'!$G$125,X157&lt;='Summary and Assumptions'!$H$125),'Summary and Assumptions'!$D$125,AND(X157&gt;='Summary and Assumptions'!$G$126,X157&lt;='Summary and Assumptions'!$H$126),'Summary and Assumptions'!$D$126,AND(X157&gt;='Summary and Assumptions'!$G$127,X157&lt;='Summary and Assumptions'!$H$127),'Summary and Assumptions'!$D$127,AND(X157&gt;='Summary and Assumptions'!$G$128,X157&lt;='Summary and Assumptions'!$H$128),'Summary and Assumptions'!$D$128,AND(X157&gt;='Summary and Assumptions'!$G$129,X157&lt;='Summary and Assumptions'!$H$129),'Summary and Assumptions'!$D$129,AND(X157&gt;='Summary and Assumptions'!$G$130,X157&lt;='Summary and Assumptions'!$H$130),'Summary and Assumptions'!$D$130,AND(X157&gt;='Summary and Assumptions'!$G$131,X157&lt;='Summary and Assumptions'!$H$131),'Summary and Assumptions'!$D$131,AND(X157&gt;='Summary and Assumptions'!$G$132,X157&lt;='Summary and Assumptions'!$H$132),'Summary and Assumptions'!$D$132,AND(X157&gt;='Summary and Assumptions'!$G$133,X157&lt;='Summary and Assumptions'!$H$133),'Summary and Assumptions'!$D$133,AND(X157&gt;='Summary and Assumptions'!$G$134,X157&lt;='Summary and Assumptions'!$H$134),'Summary and Assumptions'!$D$134,X157&gt;='Summary and Assumptions'!$G$135,'Summary and Assumptions'!$D$135)</f>
        <v>0</v>
      </c>
      <c r="Y164" s="464">
        <f>_xlfn.IFS(AND(Y157&gt;='Summary and Assumptions'!$G$124,Y157&lt;='Summary and Assumptions'!$H$124),'Summary and Assumptions'!$D$124,AND(Y157&gt;='Summary and Assumptions'!$G$125,Y157&lt;='Summary and Assumptions'!$H$125),'Summary and Assumptions'!$D$125,AND(Y157&gt;='Summary and Assumptions'!$G$126,Y157&lt;='Summary and Assumptions'!$H$126),'Summary and Assumptions'!$D$126,AND(Y157&gt;='Summary and Assumptions'!$G$127,Y157&lt;='Summary and Assumptions'!$H$127),'Summary and Assumptions'!$D$127,AND(Y157&gt;='Summary and Assumptions'!$G$128,Y157&lt;='Summary and Assumptions'!$H$128),'Summary and Assumptions'!$D$128,AND(Y157&gt;='Summary and Assumptions'!$G$129,Y157&lt;='Summary and Assumptions'!$H$129),'Summary and Assumptions'!$D$129,AND(Y157&gt;='Summary and Assumptions'!$G$130,Y157&lt;='Summary and Assumptions'!$H$130),'Summary and Assumptions'!$D$130,AND(Y157&gt;='Summary and Assumptions'!$G$131,Y157&lt;='Summary and Assumptions'!$H$131),'Summary and Assumptions'!$D$131,AND(Y157&gt;='Summary and Assumptions'!$G$132,Y157&lt;='Summary and Assumptions'!$H$132),'Summary and Assumptions'!$D$132,AND(Y157&gt;='Summary and Assumptions'!$G$133,Y157&lt;='Summary and Assumptions'!$H$133),'Summary and Assumptions'!$D$133,AND(Y157&gt;='Summary and Assumptions'!$G$134,Y157&lt;='Summary and Assumptions'!$H$134),'Summary and Assumptions'!$D$134,Y157&gt;='Summary and Assumptions'!$G$135,'Summary and Assumptions'!$D$135)</f>
        <v>0</v>
      </c>
      <c r="Z164" s="464">
        <f>_xlfn.IFS(AND(Z157&gt;='Summary and Assumptions'!$G$124,Z157&lt;='Summary and Assumptions'!$H$124),'Summary and Assumptions'!$D$124,AND(Z157&gt;='Summary and Assumptions'!$G$125,Z157&lt;='Summary and Assumptions'!$H$125),'Summary and Assumptions'!$D$125,AND(Z157&gt;='Summary and Assumptions'!$G$126,Z157&lt;='Summary and Assumptions'!$H$126),'Summary and Assumptions'!$D$126,AND(Z157&gt;='Summary and Assumptions'!$G$127,Z157&lt;='Summary and Assumptions'!$H$127),'Summary and Assumptions'!$D$127,AND(Z157&gt;='Summary and Assumptions'!$G$128,Z157&lt;='Summary and Assumptions'!$H$128),'Summary and Assumptions'!$D$128,AND(Z157&gt;='Summary and Assumptions'!$G$129,Z157&lt;='Summary and Assumptions'!$H$129),'Summary and Assumptions'!$D$129,AND(Z157&gt;='Summary and Assumptions'!$G$130,Z157&lt;='Summary and Assumptions'!$H$130),'Summary and Assumptions'!$D$130,AND(Z157&gt;='Summary and Assumptions'!$G$131,Z157&lt;='Summary and Assumptions'!$H$131),'Summary and Assumptions'!$D$131,AND(Z157&gt;='Summary and Assumptions'!$G$132,Z157&lt;='Summary and Assumptions'!$H$132),'Summary and Assumptions'!$D$132,AND(Z157&gt;='Summary and Assumptions'!$G$133,Z157&lt;='Summary and Assumptions'!$H$133),'Summary and Assumptions'!$D$133,AND(Z157&gt;='Summary and Assumptions'!$G$134,Z157&lt;='Summary and Assumptions'!$H$134),'Summary and Assumptions'!$D$134,Z157&gt;='Summary and Assumptions'!$G$135,'Summary and Assumptions'!$D$135)</f>
        <v>0</v>
      </c>
      <c r="AA164" s="465">
        <f>_xlfn.IFS(AND(AA157&gt;='Summary and Assumptions'!$G$124,AA157&lt;='Summary and Assumptions'!$H$124),'Summary and Assumptions'!$D$124,AND(AA157&gt;='Summary and Assumptions'!$G$125,AA157&lt;='Summary and Assumptions'!$H$125),'Summary and Assumptions'!$D$125,AND(AA157&gt;='Summary and Assumptions'!$G$126,AA157&lt;='Summary and Assumptions'!$H$126),'Summary and Assumptions'!$D$126,AND(AA157&gt;='Summary and Assumptions'!$G$127,AA157&lt;='Summary and Assumptions'!$H$127),'Summary and Assumptions'!$D$127,AND(AA157&gt;='Summary and Assumptions'!$G$128,AA157&lt;='Summary and Assumptions'!$H$128),'Summary and Assumptions'!$D$128,AND(AA157&gt;='Summary and Assumptions'!$G$129,AA157&lt;='Summary and Assumptions'!$H$129),'Summary and Assumptions'!$D$129,AND(AA157&gt;='Summary and Assumptions'!$G$130,AA157&lt;='Summary and Assumptions'!$H$130),'Summary and Assumptions'!$D$130,AND(AA157&gt;='Summary and Assumptions'!$G$131,AA157&lt;='Summary and Assumptions'!$H$131),'Summary and Assumptions'!$D$131,AND(AA157&gt;='Summary and Assumptions'!$G$132,AA157&lt;='Summary and Assumptions'!$H$132),'Summary and Assumptions'!$D$132,AND(AA157&gt;='Summary and Assumptions'!$G$133,AA157&lt;='Summary and Assumptions'!$H$133),'Summary and Assumptions'!$D$133,AND(AA157&gt;='Summary and Assumptions'!$G$134,AA157&lt;='Summary and Assumptions'!$H$134),'Summary and Assumptions'!$D$134,AA157&gt;='Summary and Assumptions'!$G$135,'Summary and Assumptions'!$D$135)</f>
        <v>0</v>
      </c>
      <c r="AB164" s="464">
        <f>_xlfn.IFS(AND(AB157&gt;='Summary and Assumptions'!$G$124,AB157&lt;='Summary and Assumptions'!$H$124),'Summary and Assumptions'!$D$124,AND(AB157&gt;='Summary and Assumptions'!$G$125,AB157&lt;='Summary and Assumptions'!$H$125),'Summary and Assumptions'!$D$125,AND(AB157&gt;='Summary and Assumptions'!$G$126,AB157&lt;='Summary and Assumptions'!$H$126),'Summary and Assumptions'!$D$126,AND(AB157&gt;='Summary and Assumptions'!$G$127,AB157&lt;='Summary and Assumptions'!$H$127),'Summary and Assumptions'!$D$127,AND(AB157&gt;='Summary and Assumptions'!$G$128,AB157&lt;='Summary and Assumptions'!$H$128),'Summary and Assumptions'!$D$128,AND(AB157&gt;='Summary and Assumptions'!$G$129,AB157&lt;='Summary and Assumptions'!$H$129),'Summary and Assumptions'!$D$129,AND(AB157&gt;='Summary and Assumptions'!$G$130,AB157&lt;='Summary and Assumptions'!$H$130),'Summary and Assumptions'!$D$130,AND(AB157&gt;='Summary and Assumptions'!$G$131,AB157&lt;='Summary and Assumptions'!$H$131),'Summary and Assumptions'!$D$131,AND(AB157&gt;='Summary and Assumptions'!$G$132,AB157&lt;='Summary and Assumptions'!$H$132),'Summary and Assumptions'!$D$132,AND(AB157&gt;='Summary and Assumptions'!$G$133,AB157&lt;='Summary and Assumptions'!$H$133),'Summary and Assumptions'!$D$133,AND(AB157&gt;='Summary and Assumptions'!$G$134,AB157&lt;='Summary and Assumptions'!$H$134),'Summary and Assumptions'!$D$134,AB157&gt;='Summary and Assumptions'!$G$135,'Summary and Assumptions'!$D$135)</f>
        <v>0</v>
      </c>
      <c r="AC164" s="464">
        <f>_xlfn.IFS(AND(AC157&gt;='Summary and Assumptions'!$G$124,AC157&lt;='Summary and Assumptions'!$H$124),'Summary and Assumptions'!$D$124,AND(AC157&gt;='Summary and Assumptions'!$G$125,AC157&lt;='Summary and Assumptions'!$H$125),'Summary and Assumptions'!$D$125,AND(AC157&gt;='Summary and Assumptions'!$G$126,AC157&lt;='Summary and Assumptions'!$H$126),'Summary and Assumptions'!$D$126,AND(AC157&gt;='Summary and Assumptions'!$G$127,AC157&lt;='Summary and Assumptions'!$H$127),'Summary and Assumptions'!$D$127,AND(AC157&gt;='Summary and Assumptions'!$G$128,AC157&lt;='Summary and Assumptions'!$H$128),'Summary and Assumptions'!$D$128,AND(AC157&gt;='Summary and Assumptions'!$G$129,AC157&lt;='Summary and Assumptions'!$H$129),'Summary and Assumptions'!$D$129,AND(AC157&gt;='Summary and Assumptions'!$G$130,AC157&lt;='Summary and Assumptions'!$H$130),'Summary and Assumptions'!$D$130,AND(AC157&gt;='Summary and Assumptions'!$G$131,AC157&lt;='Summary and Assumptions'!$H$131),'Summary and Assumptions'!$D$131,AND(AC157&gt;='Summary and Assumptions'!$G$132,AC157&lt;='Summary and Assumptions'!$H$132),'Summary and Assumptions'!$D$132,AND(AC157&gt;='Summary and Assumptions'!$G$133,AC157&lt;='Summary and Assumptions'!$H$133),'Summary and Assumptions'!$D$133,AND(AC157&gt;='Summary and Assumptions'!$G$134,AC157&lt;='Summary and Assumptions'!$H$134),'Summary and Assumptions'!$D$134,AC157&gt;='Summary and Assumptions'!$G$135,'Summary and Assumptions'!$D$135)</f>
        <v>0</v>
      </c>
      <c r="AD164" s="464">
        <f>_xlfn.IFS(AND(AD157&gt;='Summary and Assumptions'!$G$124,AD157&lt;='Summary and Assumptions'!$H$124),'Summary and Assumptions'!$D$124,AND(AD157&gt;='Summary and Assumptions'!$G$125,AD157&lt;='Summary and Assumptions'!$H$125),'Summary and Assumptions'!$D$125,AND(AD157&gt;='Summary and Assumptions'!$G$126,AD157&lt;='Summary and Assumptions'!$H$126),'Summary and Assumptions'!$D$126,AND(AD157&gt;='Summary and Assumptions'!$G$127,AD157&lt;='Summary and Assumptions'!$H$127),'Summary and Assumptions'!$D$127,AND(AD157&gt;='Summary and Assumptions'!$G$128,AD157&lt;='Summary and Assumptions'!$H$128),'Summary and Assumptions'!$D$128,AND(AD157&gt;='Summary and Assumptions'!$G$129,AD157&lt;='Summary and Assumptions'!$H$129),'Summary and Assumptions'!$D$129,AND(AD157&gt;='Summary and Assumptions'!$G$130,AD157&lt;='Summary and Assumptions'!$H$130),'Summary and Assumptions'!$D$130,AND(AD157&gt;='Summary and Assumptions'!$G$131,AD157&lt;='Summary and Assumptions'!$H$131),'Summary and Assumptions'!$D$131,AND(AD157&gt;='Summary and Assumptions'!$G$132,AD157&lt;='Summary and Assumptions'!$H$132),'Summary and Assumptions'!$D$132,AND(AD157&gt;='Summary and Assumptions'!$G$133,AD157&lt;='Summary and Assumptions'!$H$133),'Summary and Assumptions'!$D$133,AND(AD157&gt;='Summary and Assumptions'!$G$134,AD157&lt;='Summary and Assumptions'!$H$134),'Summary and Assumptions'!$D$134,AD157&gt;='Summary and Assumptions'!$G$135,'Summary and Assumptions'!$D$135)</f>
        <v>0</v>
      </c>
      <c r="AE164" s="465">
        <f>_xlfn.IFS(AND(AE157&gt;='Summary and Assumptions'!$G$124,AE157&lt;='Summary and Assumptions'!$H$124),'Summary and Assumptions'!$D$124,AND(AE157&gt;='Summary and Assumptions'!$G$125,AE157&lt;='Summary and Assumptions'!$H$125),'Summary and Assumptions'!$D$125,AND(AE157&gt;='Summary and Assumptions'!$G$126,AE157&lt;='Summary and Assumptions'!$H$126),'Summary and Assumptions'!$D$126,AND(AE157&gt;='Summary and Assumptions'!$G$127,AE157&lt;='Summary and Assumptions'!$H$127),'Summary and Assumptions'!$D$127,AND(AE157&gt;='Summary and Assumptions'!$G$128,AE157&lt;='Summary and Assumptions'!$H$128),'Summary and Assumptions'!$D$128,AND(AE157&gt;='Summary and Assumptions'!$G$129,AE157&lt;='Summary and Assumptions'!$H$129),'Summary and Assumptions'!$D$129,AND(AE157&gt;='Summary and Assumptions'!$G$130,AE157&lt;='Summary and Assumptions'!$H$130),'Summary and Assumptions'!$D$130,AND(AE157&gt;='Summary and Assumptions'!$G$131,AE157&lt;='Summary and Assumptions'!$H$131),'Summary and Assumptions'!$D$131,AND(AE157&gt;='Summary and Assumptions'!$G$132,AE157&lt;='Summary and Assumptions'!$H$132),'Summary and Assumptions'!$D$132,AND(AE157&gt;='Summary and Assumptions'!$G$133,AE157&lt;='Summary and Assumptions'!$H$133),'Summary and Assumptions'!$D$133,AND(AE157&gt;='Summary and Assumptions'!$G$134,AE157&lt;='Summary and Assumptions'!$H$134),'Summary and Assumptions'!$D$134,AE157&gt;='Summary and Assumptions'!$G$135,'Summary and Assumptions'!$D$135)</f>
        <v>0</v>
      </c>
      <c r="AF164" s="464">
        <f>_xlfn.IFS(AND(AF157&gt;='Summary and Assumptions'!$G$124,AF157&lt;='Summary and Assumptions'!$H$124),'Summary and Assumptions'!$D$124,AND(AF157&gt;='Summary and Assumptions'!$G$125,AF157&lt;='Summary and Assumptions'!$H$125),'Summary and Assumptions'!$D$125,AND(AF157&gt;='Summary and Assumptions'!$G$126,AF157&lt;='Summary and Assumptions'!$H$126),'Summary and Assumptions'!$D$126,AND(AF157&gt;='Summary and Assumptions'!$G$127,AF157&lt;='Summary and Assumptions'!$H$127),'Summary and Assumptions'!$D$127,AND(AF157&gt;='Summary and Assumptions'!$G$128,AF157&lt;='Summary and Assumptions'!$H$128),'Summary and Assumptions'!$D$128,AND(AF157&gt;='Summary and Assumptions'!$G$129,AF157&lt;='Summary and Assumptions'!$H$129),'Summary and Assumptions'!$D$129,AND(AF157&gt;='Summary and Assumptions'!$G$130,AF157&lt;='Summary and Assumptions'!$H$130),'Summary and Assumptions'!$D$130,AND(AF157&gt;='Summary and Assumptions'!$G$131,AF157&lt;='Summary and Assumptions'!$H$131),'Summary and Assumptions'!$D$131,AND(AF157&gt;='Summary and Assumptions'!$G$132,AF157&lt;='Summary and Assumptions'!$H$132),'Summary and Assumptions'!$D$132,AND(AF157&gt;='Summary and Assumptions'!$G$133,AF157&lt;='Summary and Assumptions'!$H$133),'Summary and Assumptions'!$D$133,AND(AF157&gt;='Summary and Assumptions'!$G$134,AF157&lt;='Summary and Assumptions'!$H$134),'Summary and Assumptions'!$D$134,AF157&gt;='Summary and Assumptions'!$G$135,'Summary and Assumptions'!$D$135)</f>
        <v>0.05</v>
      </c>
      <c r="AG164" s="464">
        <f>_xlfn.IFS(AND(AG157&gt;='Summary and Assumptions'!$G$124,AG157&lt;='Summary and Assumptions'!$H$124),'Summary and Assumptions'!$D$124,AND(AG157&gt;='Summary and Assumptions'!$G$125,AG157&lt;='Summary and Assumptions'!$H$125),'Summary and Assumptions'!$D$125,AND(AG157&gt;='Summary and Assumptions'!$G$126,AG157&lt;='Summary and Assumptions'!$H$126),'Summary and Assumptions'!$D$126,AND(AG157&gt;='Summary and Assumptions'!$G$127,AG157&lt;='Summary and Assumptions'!$H$127),'Summary and Assumptions'!$D$127,AND(AG157&gt;='Summary and Assumptions'!$G$128,AG157&lt;='Summary and Assumptions'!$H$128),'Summary and Assumptions'!$D$128,AND(AG157&gt;='Summary and Assumptions'!$G$129,AG157&lt;='Summary and Assumptions'!$H$129),'Summary and Assumptions'!$D$129,AND(AG157&gt;='Summary and Assumptions'!$G$130,AG157&lt;='Summary and Assumptions'!$H$130),'Summary and Assumptions'!$D$130,AND(AG157&gt;='Summary and Assumptions'!$G$131,AG157&lt;='Summary and Assumptions'!$H$131),'Summary and Assumptions'!$D$131,AND(AG157&gt;='Summary and Assumptions'!$G$132,AG157&lt;='Summary and Assumptions'!$H$132),'Summary and Assumptions'!$D$132,AND(AG157&gt;='Summary and Assumptions'!$G$133,AG157&lt;='Summary and Assumptions'!$H$133),'Summary and Assumptions'!$D$133,AND(AG157&gt;='Summary and Assumptions'!$G$134,AG157&lt;='Summary and Assumptions'!$H$134),'Summary and Assumptions'!$D$134,AG157&gt;='Summary and Assumptions'!$G$135,'Summary and Assumptions'!$D$135)</f>
        <v>0.05</v>
      </c>
      <c r="AH164" s="464">
        <f>_xlfn.IFS(AND(AH157&gt;='Summary and Assumptions'!$G$124,AH157&lt;='Summary and Assumptions'!$H$124),'Summary and Assumptions'!$D$124,AND(AH157&gt;='Summary and Assumptions'!$G$125,AH157&lt;='Summary and Assumptions'!$H$125),'Summary and Assumptions'!$D$125,AND(AH157&gt;='Summary and Assumptions'!$G$126,AH157&lt;='Summary and Assumptions'!$H$126),'Summary and Assumptions'!$D$126,AND(AH157&gt;='Summary and Assumptions'!$G$127,AH157&lt;='Summary and Assumptions'!$H$127),'Summary and Assumptions'!$D$127,AND(AH157&gt;='Summary and Assumptions'!$G$128,AH157&lt;='Summary and Assumptions'!$H$128),'Summary and Assumptions'!$D$128,AND(AH157&gt;='Summary and Assumptions'!$G$129,AH157&lt;='Summary and Assumptions'!$H$129),'Summary and Assumptions'!$D$129,AND(AH157&gt;='Summary and Assumptions'!$G$130,AH157&lt;='Summary and Assumptions'!$H$130),'Summary and Assumptions'!$D$130,AND(AH157&gt;='Summary and Assumptions'!$G$131,AH157&lt;='Summary and Assumptions'!$H$131),'Summary and Assumptions'!$D$131,AND(AH157&gt;='Summary and Assumptions'!$G$132,AH157&lt;='Summary and Assumptions'!$H$132),'Summary and Assumptions'!$D$132,AND(AH157&gt;='Summary and Assumptions'!$G$133,AH157&lt;='Summary and Assumptions'!$H$133),'Summary and Assumptions'!$D$133,AND(AH157&gt;='Summary and Assumptions'!$G$134,AH157&lt;='Summary and Assumptions'!$H$134),'Summary and Assumptions'!$D$134,AH157&gt;='Summary and Assumptions'!$G$135,'Summary and Assumptions'!$D$135)</f>
        <v>0.05</v>
      </c>
      <c r="AI164" s="465">
        <f>_xlfn.IFS(AND(AI157&gt;='Summary and Assumptions'!$G$124,AI157&lt;='Summary and Assumptions'!$H$124),'Summary and Assumptions'!$D$124,AND(AI157&gt;='Summary and Assumptions'!$G$125,AI157&lt;='Summary and Assumptions'!$H$125),'Summary and Assumptions'!$D$125,AND(AI157&gt;='Summary and Assumptions'!$G$126,AI157&lt;='Summary and Assumptions'!$H$126),'Summary and Assumptions'!$D$126,AND(AI157&gt;='Summary and Assumptions'!$G$127,AI157&lt;='Summary and Assumptions'!$H$127),'Summary and Assumptions'!$D$127,AND(AI157&gt;='Summary and Assumptions'!$G$128,AI157&lt;='Summary and Assumptions'!$H$128),'Summary and Assumptions'!$D$128,AND(AI157&gt;='Summary and Assumptions'!$G$129,AI157&lt;='Summary and Assumptions'!$H$129),'Summary and Assumptions'!$D$129,AND(AI157&gt;='Summary and Assumptions'!$G$130,AI157&lt;='Summary and Assumptions'!$H$130),'Summary and Assumptions'!$D$130,AND(AI157&gt;='Summary and Assumptions'!$G$131,AI157&lt;='Summary and Assumptions'!$H$131),'Summary and Assumptions'!$D$131,AND(AI157&gt;='Summary and Assumptions'!$G$132,AI157&lt;='Summary and Assumptions'!$H$132),'Summary and Assumptions'!$D$132,AND(AI157&gt;='Summary and Assumptions'!$G$133,AI157&lt;='Summary and Assumptions'!$H$133),'Summary and Assumptions'!$D$133,AND(AI157&gt;='Summary and Assumptions'!$G$134,AI157&lt;='Summary and Assumptions'!$H$134),'Summary and Assumptions'!$D$134,AI157&gt;='Summary and Assumptions'!$G$135,'Summary and Assumptions'!$D$135)</f>
        <v>0.05</v>
      </c>
      <c r="AJ164" s="464">
        <f>_xlfn.IFS(AND(AJ157&gt;='Summary and Assumptions'!$G$124,AJ157&lt;='Summary and Assumptions'!$H$124),'Summary and Assumptions'!$D$124,AND(AJ157&gt;='Summary and Assumptions'!$G$125,AJ157&lt;='Summary and Assumptions'!$H$125),'Summary and Assumptions'!$D$125,AND(AJ157&gt;='Summary and Assumptions'!$G$126,AJ157&lt;='Summary and Assumptions'!$H$126),'Summary and Assumptions'!$D$126,AND(AJ157&gt;='Summary and Assumptions'!$G$127,AJ157&lt;='Summary and Assumptions'!$H$127),'Summary and Assumptions'!$D$127,AND(AJ157&gt;='Summary and Assumptions'!$G$128,AJ157&lt;='Summary and Assumptions'!$H$128),'Summary and Assumptions'!$D$128,AND(AJ157&gt;='Summary and Assumptions'!$G$129,AJ157&lt;='Summary and Assumptions'!$H$129),'Summary and Assumptions'!$D$129,AND(AJ157&gt;='Summary and Assumptions'!$G$130,AJ157&lt;='Summary and Assumptions'!$H$130),'Summary and Assumptions'!$D$130,AND(AJ157&gt;='Summary and Assumptions'!$G$131,AJ157&lt;='Summary and Assumptions'!$H$131),'Summary and Assumptions'!$D$131,AND(AJ157&gt;='Summary and Assumptions'!$G$132,AJ157&lt;='Summary and Assumptions'!$H$132),'Summary and Assumptions'!$D$132,AND(AJ157&gt;='Summary and Assumptions'!$G$133,AJ157&lt;='Summary and Assumptions'!$H$133),'Summary and Assumptions'!$D$133,AND(AJ157&gt;='Summary and Assumptions'!$G$134,AJ157&lt;='Summary and Assumptions'!$H$134),'Summary and Assumptions'!$D$134,AJ157&gt;='Summary and Assumptions'!$G$135,'Summary and Assumptions'!$D$135)</f>
        <v>0.12</v>
      </c>
      <c r="AK164" s="464">
        <f>_xlfn.IFS(AND(AK157&gt;='Summary and Assumptions'!$G$124,AK157&lt;='Summary and Assumptions'!$H$124),'Summary and Assumptions'!$D$124,AND(AK157&gt;='Summary and Assumptions'!$G$125,AK157&lt;='Summary and Assumptions'!$H$125),'Summary and Assumptions'!$D$125,AND(AK157&gt;='Summary and Assumptions'!$G$126,AK157&lt;='Summary and Assumptions'!$H$126),'Summary and Assumptions'!$D$126,AND(AK157&gt;='Summary and Assumptions'!$G$127,AK157&lt;='Summary and Assumptions'!$H$127),'Summary and Assumptions'!$D$127,AND(AK157&gt;='Summary and Assumptions'!$G$128,AK157&lt;='Summary and Assumptions'!$H$128),'Summary and Assumptions'!$D$128,AND(AK157&gt;='Summary and Assumptions'!$G$129,AK157&lt;='Summary and Assumptions'!$H$129),'Summary and Assumptions'!$D$129,AND(AK157&gt;='Summary and Assumptions'!$G$130,AK157&lt;='Summary and Assumptions'!$H$130),'Summary and Assumptions'!$D$130,AND(AK157&gt;='Summary and Assumptions'!$G$131,AK157&lt;='Summary and Assumptions'!$H$131),'Summary and Assumptions'!$D$131,AND(AK157&gt;='Summary and Assumptions'!$G$132,AK157&lt;='Summary and Assumptions'!$H$132),'Summary and Assumptions'!$D$132,AND(AK157&gt;='Summary and Assumptions'!$G$133,AK157&lt;='Summary and Assumptions'!$H$133),'Summary and Assumptions'!$D$133,AND(AK157&gt;='Summary and Assumptions'!$G$134,AK157&lt;='Summary and Assumptions'!$H$134),'Summary and Assumptions'!$D$134,AK157&gt;='Summary and Assumptions'!$G$135,'Summary and Assumptions'!$D$135)</f>
        <v>0.12</v>
      </c>
      <c r="AL164" s="464">
        <f>_xlfn.IFS(AND(AL157&gt;='Summary and Assumptions'!$G$124,AL157&lt;='Summary and Assumptions'!$H$124),'Summary and Assumptions'!$D$124,AND(AL157&gt;='Summary and Assumptions'!$G$125,AL157&lt;='Summary and Assumptions'!$H$125),'Summary and Assumptions'!$D$125,AND(AL157&gt;='Summary and Assumptions'!$G$126,AL157&lt;='Summary and Assumptions'!$H$126),'Summary and Assumptions'!$D$126,AND(AL157&gt;='Summary and Assumptions'!$G$127,AL157&lt;='Summary and Assumptions'!$H$127),'Summary and Assumptions'!$D$127,AND(AL157&gt;='Summary and Assumptions'!$G$128,AL157&lt;='Summary and Assumptions'!$H$128),'Summary and Assumptions'!$D$128,AND(AL157&gt;='Summary and Assumptions'!$G$129,AL157&lt;='Summary and Assumptions'!$H$129),'Summary and Assumptions'!$D$129,AND(AL157&gt;='Summary and Assumptions'!$G$130,AL157&lt;='Summary and Assumptions'!$H$130),'Summary and Assumptions'!$D$130,AND(AL157&gt;='Summary and Assumptions'!$G$131,AL157&lt;='Summary and Assumptions'!$H$131),'Summary and Assumptions'!$D$131,AND(AL157&gt;='Summary and Assumptions'!$G$132,AL157&lt;='Summary and Assumptions'!$H$132),'Summary and Assumptions'!$D$132,AND(AL157&gt;='Summary and Assumptions'!$G$133,AL157&lt;='Summary and Assumptions'!$H$133),'Summary and Assumptions'!$D$133,AND(AL157&gt;='Summary and Assumptions'!$G$134,AL157&lt;='Summary and Assumptions'!$H$134),'Summary and Assumptions'!$D$134,AL157&gt;='Summary and Assumptions'!$G$135,'Summary and Assumptions'!$D$135)</f>
        <v>0.12</v>
      </c>
      <c r="AM164" s="465">
        <f>_xlfn.IFS(AND(AM157&gt;='Summary and Assumptions'!$G$124,AM157&lt;='Summary and Assumptions'!$H$124),'Summary and Assumptions'!$D$124,AND(AM157&gt;='Summary and Assumptions'!$G$125,AM157&lt;='Summary and Assumptions'!$H$125),'Summary and Assumptions'!$D$125,AND(AM157&gt;='Summary and Assumptions'!$G$126,AM157&lt;='Summary and Assumptions'!$H$126),'Summary and Assumptions'!$D$126,AND(AM157&gt;='Summary and Assumptions'!$G$127,AM157&lt;='Summary and Assumptions'!$H$127),'Summary and Assumptions'!$D$127,AND(AM157&gt;='Summary and Assumptions'!$G$128,AM157&lt;='Summary and Assumptions'!$H$128),'Summary and Assumptions'!$D$128,AND(AM157&gt;='Summary and Assumptions'!$G$129,AM157&lt;='Summary and Assumptions'!$H$129),'Summary and Assumptions'!$D$129,AND(AM157&gt;='Summary and Assumptions'!$G$130,AM157&lt;='Summary and Assumptions'!$H$130),'Summary and Assumptions'!$D$130,AND(AM157&gt;='Summary and Assumptions'!$G$131,AM157&lt;='Summary and Assumptions'!$H$131),'Summary and Assumptions'!$D$131,AND(AM157&gt;='Summary and Assumptions'!$G$132,AM157&lt;='Summary and Assumptions'!$H$132),'Summary and Assumptions'!$D$132,AND(AM157&gt;='Summary and Assumptions'!$G$133,AM157&lt;='Summary and Assumptions'!$H$133),'Summary and Assumptions'!$D$133,AND(AM157&gt;='Summary and Assumptions'!$G$134,AM157&lt;='Summary and Assumptions'!$H$134),'Summary and Assumptions'!$D$134,AM157&gt;='Summary and Assumptions'!$G$135,'Summary and Assumptions'!$D$135)</f>
        <v>0.12</v>
      </c>
      <c r="AN164" s="464">
        <f>_xlfn.IFS(AND(AN157&gt;='Summary and Assumptions'!$G$124,AN157&lt;='Summary and Assumptions'!$H$124),'Summary and Assumptions'!$D$124,AND(AN157&gt;='Summary and Assumptions'!$G$125,AN157&lt;='Summary and Assumptions'!$H$125),'Summary and Assumptions'!$D$125,AND(AN157&gt;='Summary and Assumptions'!$G$126,AN157&lt;='Summary and Assumptions'!$H$126),'Summary and Assumptions'!$D$126,AND(AN157&gt;='Summary and Assumptions'!$G$127,AN157&lt;='Summary and Assumptions'!$H$127),'Summary and Assumptions'!$D$127,AND(AN157&gt;='Summary and Assumptions'!$G$128,AN157&lt;='Summary and Assumptions'!$H$128),'Summary and Assumptions'!$D$128,AND(AN157&gt;='Summary and Assumptions'!$G$129,AN157&lt;='Summary and Assumptions'!$H$129),'Summary and Assumptions'!$D$129,AND(AN157&gt;='Summary and Assumptions'!$G$130,AN157&lt;='Summary and Assumptions'!$H$130),'Summary and Assumptions'!$D$130,AND(AN157&gt;='Summary and Assumptions'!$G$131,AN157&lt;='Summary and Assumptions'!$H$131),'Summary and Assumptions'!$D$131,AND(AN157&gt;='Summary and Assumptions'!$G$132,AN157&lt;='Summary and Assumptions'!$H$132),'Summary and Assumptions'!$D$132,AND(AN157&gt;='Summary and Assumptions'!$G$133,AN157&lt;='Summary and Assumptions'!$H$133),'Summary and Assumptions'!$D$133,AND(AN157&gt;='Summary and Assumptions'!$G$134,AN157&lt;='Summary and Assumptions'!$H$134),'Summary and Assumptions'!$D$134,AN157&gt;='Summary and Assumptions'!$G$135,'Summary and Assumptions'!$D$135)</f>
        <v>0.2</v>
      </c>
      <c r="AO164" s="464">
        <f>_xlfn.IFS(AND(AO157&gt;='Summary and Assumptions'!$G$124,AO157&lt;='Summary and Assumptions'!$H$124),'Summary and Assumptions'!$D$124,AND(AO157&gt;='Summary and Assumptions'!$G$125,AO157&lt;='Summary and Assumptions'!$H$125),'Summary and Assumptions'!$D$125,AND(AO157&gt;='Summary and Assumptions'!$G$126,AO157&lt;='Summary and Assumptions'!$H$126),'Summary and Assumptions'!$D$126,AND(AO157&gt;='Summary and Assumptions'!$G$127,AO157&lt;='Summary and Assumptions'!$H$127),'Summary and Assumptions'!$D$127,AND(AO157&gt;='Summary and Assumptions'!$G$128,AO157&lt;='Summary and Assumptions'!$H$128),'Summary and Assumptions'!$D$128,AND(AO157&gt;='Summary and Assumptions'!$G$129,AO157&lt;='Summary and Assumptions'!$H$129),'Summary and Assumptions'!$D$129,AND(AO157&gt;='Summary and Assumptions'!$G$130,AO157&lt;='Summary and Assumptions'!$H$130),'Summary and Assumptions'!$D$130,AND(AO157&gt;='Summary and Assumptions'!$G$131,AO157&lt;='Summary and Assumptions'!$H$131),'Summary and Assumptions'!$D$131,AND(AO157&gt;='Summary and Assumptions'!$G$132,AO157&lt;='Summary and Assumptions'!$H$132),'Summary and Assumptions'!$D$132,AND(AO157&gt;='Summary and Assumptions'!$G$133,AO157&lt;='Summary and Assumptions'!$H$133),'Summary and Assumptions'!$D$133,AND(AO157&gt;='Summary and Assumptions'!$G$134,AO157&lt;='Summary and Assumptions'!$H$134),'Summary and Assumptions'!$D$134,AO157&gt;='Summary and Assumptions'!$G$135,'Summary and Assumptions'!$D$135)</f>
        <v>0.2</v>
      </c>
      <c r="AP164" s="464">
        <f>_xlfn.IFS(AND(AP157&gt;='Summary and Assumptions'!$G$124,AP157&lt;='Summary and Assumptions'!$H$124),'Summary and Assumptions'!$D$124,AND(AP157&gt;='Summary and Assumptions'!$G$125,AP157&lt;='Summary and Assumptions'!$H$125),'Summary and Assumptions'!$D$125,AND(AP157&gt;='Summary and Assumptions'!$G$126,AP157&lt;='Summary and Assumptions'!$H$126),'Summary and Assumptions'!$D$126,AND(AP157&gt;='Summary and Assumptions'!$G$127,AP157&lt;='Summary and Assumptions'!$H$127),'Summary and Assumptions'!$D$127,AND(AP157&gt;='Summary and Assumptions'!$G$128,AP157&lt;='Summary and Assumptions'!$H$128),'Summary and Assumptions'!$D$128,AND(AP157&gt;='Summary and Assumptions'!$G$129,AP157&lt;='Summary and Assumptions'!$H$129),'Summary and Assumptions'!$D$129,AND(AP157&gt;='Summary and Assumptions'!$G$130,AP157&lt;='Summary and Assumptions'!$H$130),'Summary and Assumptions'!$D$130,AND(AP157&gt;='Summary and Assumptions'!$G$131,AP157&lt;='Summary and Assumptions'!$H$131),'Summary and Assumptions'!$D$131,AND(AP157&gt;='Summary and Assumptions'!$G$132,AP157&lt;='Summary and Assumptions'!$H$132),'Summary and Assumptions'!$D$132,AND(AP157&gt;='Summary and Assumptions'!$G$133,AP157&lt;='Summary and Assumptions'!$H$133),'Summary and Assumptions'!$D$133,AND(AP157&gt;='Summary and Assumptions'!$G$134,AP157&lt;='Summary and Assumptions'!$H$134),'Summary and Assumptions'!$D$134,AP157&gt;='Summary and Assumptions'!$G$135,'Summary and Assumptions'!$D$135)</f>
        <v>0.2</v>
      </c>
      <c r="AQ164" s="465">
        <f>_xlfn.IFS(AND(AQ157&gt;='Summary and Assumptions'!$G$124,AQ157&lt;='Summary and Assumptions'!$H$124),'Summary and Assumptions'!$D$124,AND(AQ157&gt;='Summary and Assumptions'!$G$125,AQ157&lt;='Summary and Assumptions'!$H$125),'Summary and Assumptions'!$D$125,AND(AQ157&gt;='Summary and Assumptions'!$G$126,AQ157&lt;='Summary and Assumptions'!$H$126),'Summary and Assumptions'!$D$126,AND(AQ157&gt;='Summary and Assumptions'!$G$127,AQ157&lt;='Summary and Assumptions'!$H$127),'Summary and Assumptions'!$D$127,AND(AQ157&gt;='Summary and Assumptions'!$G$128,AQ157&lt;='Summary and Assumptions'!$H$128),'Summary and Assumptions'!$D$128,AND(AQ157&gt;='Summary and Assumptions'!$G$129,AQ157&lt;='Summary and Assumptions'!$H$129),'Summary and Assumptions'!$D$129,AND(AQ157&gt;='Summary and Assumptions'!$G$130,AQ157&lt;='Summary and Assumptions'!$H$130),'Summary and Assumptions'!$D$130,AND(AQ157&gt;='Summary and Assumptions'!$G$131,AQ157&lt;='Summary and Assumptions'!$H$131),'Summary and Assumptions'!$D$131,AND(AQ157&gt;='Summary and Assumptions'!$G$132,AQ157&lt;='Summary and Assumptions'!$H$132),'Summary and Assumptions'!$D$132,AND(AQ157&gt;='Summary and Assumptions'!$G$133,AQ157&lt;='Summary and Assumptions'!$H$133),'Summary and Assumptions'!$D$133,AND(AQ157&gt;='Summary and Assumptions'!$G$134,AQ157&lt;='Summary and Assumptions'!$H$134),'Summary and Assumptions'!$D$134,AQ157&gt;='Summary and Assumptions'!$G$135,'Summary and Assumptions'!$D$135)</f>
        <v>0.2</v>
      </c>
      <c r="AR164" s="464">
        <f>_xlfn.IFS(AND(AR157&gt;='Summary and Assumptions'!$G$124,AR157&lt;='Summary and Assumptions'!$H$124),'Summary and Assumptions'!$D$124,AND(AR157&gt;='Summary and Assumptions'!$G$125,AR157&lt;='Summary and Assumptions'!$H$125),'Summary and Assumptions'!$D$125,AND(AR157&gt;='Summary and Assumptions'!$G$126,AR157&lt;='Summary and Assumptions'!$H$126),'Summary and Assumptions'!$D$126,AND(AR157&gt;='Summary and Assumptions'!$G$127,AR157&lt;='Summary and Assumptions'!$H$127),'Summary and Assumptions'!$D$127,AND(AR157&gt;='Summary and Assumptions'!$G$128,AR157&lt;='Summary and Assumptions'!$H$128),'Summary and Assumptions'!$D$128,AND(AR157&gt;='Summary and Assumptions'!$G$129,AR157&lt;='Summary and Assumptions'!$H$129),'Summary and Assumptions'!$D$129,AND(AR157&gt;='Summary and Assumptions'!$G$130,AR157&lt;='Summary and Assumptions'!$H$130),'Summary and Assumptions'!$D$130,AND(AR157&gt;='Summary and Assumptions'!$G$131,AR157&lt;='Summary and Assumptions'!$H$131),'Summary and Assumptions'!$D$131,AND(AR157&gt;='Summary and Assumptions'!$G$132,AR157&lt;='Summary and Assumptions'!$H$132),'Summary and Assumptions'!$D$132,AND(AR157&gt;='Summary and Assumptions'!$G$133,AR157&lt;='Summary and Assumptions'!$H$133),'Summary and Assumptions'!$D$133,AND(AR157&gt;='Summary and Assumptions'!$G$134,AR157&lt;='Summary and Assumptions'!$H$134),'Summary and Assumptions'!$D$134,AR157&gt;='Summary and Assumptions'!$G$135,'Summary and Assumptions'!$D$135)</f>
        <v>0.25</v>
      </c>
      <c r="AS164" s="464">
        <f>_xlfn.IFS(AND(AS157&gt;='Summary and Assumptions'!$G$124,AS157&lt;='Summary and Assumptions'!$H$124),'Summary and Assumptions'!$D$124,AND(AS157&gt;='Summary and Assumptions'!$G$125,AS157&lt;='Summary and Assumptions'!$H$125),'Summary and Assumptions'!$D$125,AND(AS157&gt;='Summary and Assumptions'!$G$126,AS157&lt;='Summary and Assumptions'!$H$126),'Summary and Assumptions'!$D$126,AND(AS157&gt;='Summary and Assumptions'!$G$127,AS157&lt;='Summary and Assumptions'!$H$127),'Summary and Assumptions'!$D$127,AND(AS157&gt;='Summary and Assumptions'!$G$128,AS157&lt;='Summary and Assumptions'!$H$128),'Summary and Assumptions'!$D$128,AND(AS157&gt;='Summary and Assumptions'!$G$129,AS157&lt;='Summary and Assumptions'!$H$129),'Summary and Assumptions'!$D$129,AND(AS157&gt;='Summary and Assumptions'!$G$130,AS157&lt;='Summary and Assumptions'!$H$130),'Summary and Assumptions'!$D$130,AND(AS157&gt;='Summary and Assumptions'!$G$131,AS157&lt;='Summary and Assumptions'!$H$131),'Summary and Assumptions'!$D$131,AND(AS157&gt;='Summary and Assumptions'!$G$132,AS157&lt;='Summary and Assumptions'!$H$132),'Summary and Assumptions'!$D$132,AND(AS157&gt;='Summary and Assumptions'!$G$133,AS157&lt;='Summary and Assumptions'!$H$133),'Summary and Assumptions'!$D$133,AND(AS157&gt;='Summary and Assumptions'!$G$134,AS157&lt;='Summary and Assumptions'!$H$134),'Summary and Assumptions'!$D$134,AS157&gt;='Summary and Assumptions'!$G$135,'Summary and Assumptions'!$D$135)</f>
        <v>0.25</v>
      </c>
      <c r="AT164" s="464">
        <f>_xlfn.IFS(AND(AT157&gt;='Summary and Assumptions'!$G$124,AT157&lt;='Summary and Assumptions'!$H$124),'Summary and Assumptions'!$D$124,AND(AT157&gt;='Summary and Assumptions'!$G$125,AT157&lt;='Summary and Assumptions'!$H$125),'Summary and Assumptions'!$D$125,AND(AT157&gt;='Summary and Assumptions'!$G$126,AT157&lt;='Summary and Assumptions'!$H$126),'Summary and Assumptions'!$D$126,AND(AT157&gt;='Summary and Assumptions'!$G$127,AT157&lt;='Summary and Assumptions'!$H$127),'Summary and Assumptions'!$D$127,AND(AT157&gt;='Summary and Assumptions'!$G$128,AT157&lt;='Summary and Assumptions'!$H$128),'Summary and Assumptions'!$D$128,AND(AT157&gt;='Summary and Assumptions'!$G$129,AT157&lt;='Summary and Assumptions'!$H$129),'Summary and Assumptions'!$D$129,AND(AT157&gt;='Summary and Assumptions'!$G$130,AT157&lt;='Summary and Assumptions'!$H$130),'Summary and Assumptions'!$D$130,AND(AT157&gt;='Summary and Assumptions'!$G$131,AT157&lt;='Summary and Assumptions'!$H$131),'Summary and Assumptions'!$D$131,AND(AT157&gt;='Summary and Assumptions'!$G$132,AT157&lt;='Summary and Assumptions'!$H$132),'Summary and Assumptions'!$D$132,AND(AT157&gt;='Summary and Assumptions'!$G$133,AT157&lt;='Summary and Assumptions'!$H$133),'Summary and Assumptions'!$D$133,AND(AT157&gt;='Summary and Assumptions'!$G$134,AT157&lt;='Summary and Assumptions'!$H$134),'Summary and Assumptions'!$D$134,AT157&gt;='Summary and Assumptions'!$G$135,'Summary and Assumptions'!$D$135)</f>
        <v>0.25</v>
      </c>
      <c r="AU164" s="465">
        <f>_xlfn.IFS(AND(AU157&gt;='Summary and Assumptions'!$G$124,AU157&lt;='Summary and Assumptions'!$H$124),'Summary and Assumptions'!$D$124,AND(AU157&gt;='Summary and Assumptions'!$G$125,AU157&lt;='Summary and Assumptions'!$H$125),'Summary and Assumptions'!$D$125,AND(AU157&gt;='Summary and Assumptions'!$G$126,AU157&lt;='Summary and Assumptions'!$H$126),'Summary and Assumptions'!$D$126,AND(AU157&gt;='Summary and Assumptions'!$G$127,AU157&lt;='Summary and Assumptions'!$H$127),'Summary and Assumptions'!$D$127,AND(AU157&gt;='Summary and Assumptions'!$G$128,AU157&lt;='Summary and Assumptions'!$H$128),'Summary and Assumptions'!$D$128,AND(AU157&gt;='Summary and Assumptions'!$G$129,AU157&lt;='Summary and Assumptions'!$H$129),'Summary and Assumptions'!$D$129,AND(AU157&gt;='Summary and Assumptions'!$G$130,AU157&lt;='Summary and Assumptions'!$H$130),'Summary and Assumptions'!$D$130,AND(AU157&gt;='Summary and Assumptions'!$G$131,AU157&lt;='Summary and Assumptions'!$H$131),'Summary and Assumptions'!$D$131,AND(AU157&gt;='Summary and Assumptions'!$G$132,AU157&lt;='Summary and Assumptions'!$H$132),'Summary and Assumptions'!$D$132,AND(AU157&gt;='Summary and Assumptions'!$G$133,AU157&lt;='Summary and Assumptions'!$H$133),'Summary and Assumptions'!$D$133,AND(AU157&gt;='Summary and Assumptions'!$G$134,AU157&lt;='Summary and Assumptions'!$H$134),'Summary and Assumptions'!$D$134,AU157&gt;='Summary and Assumptions'!$G$135,'Summary and Assumptions'!$D$135)</f>
        <v>0.25</v>
      </c>
      <c r="AV164" s="462"/>
      <c r="AW164" s="462"/>
      <c r="AX164" s="462"/>
      <c r="AY164" s="463"/>
    </row>
    <row r="165" spans="1:51" ht="15.75" customHeight="1" x14ac:dyDescent="0.2">
      <c r="A165" s="3"/>
      <c r="B165" s="466" t="s">
        <v>72</v>
      </c>
      <c r="C165" s="438"/>
      <c r="D165" s="94">
        <f ca="1">D162*'Summary and Assumptions'!$D$104</f>
        <v>0</v>
      </c>
      <c r="E165" s="94">
        <f ca="1">E162*'Summary and Assumptions'!$D$104</f>
        <v>0</v>
      </c>
      <c r="F165" s="94">
        <f ca="1">F162*'Summary and Assumptions'!$D$104</f>
        <v>0</v>
      </c>
      <c r="G165" s="95">
        <f ca="1">G162*'Summary and Assumptions'!$D$104</f>
        <v>0</v>
      </c>
      <c r="H165" s="94">
        <f ca="1">H162*'Summary and Assumptions'!$D$104</f>
        <v>0</v>
      </c>
      <c r="I165" s="94">
        <f ca="1">I162*'Summary and Assumptions'!$D$104</f>
        <v>0</v>
      </c>
      <c r="J165" s="94">
        <f ca="1">J162*'Summary and Assumptions'!$D$104</f>
        <v>0</v>
      </c>
      <c r="K165" s="95">
        <f ca="1">K162*'Summary and Assumptions'!$D$104</f>
        <v>0</v>
      </c>
      <c r="L165" s="94">
        <f ca="1">L162*'Summary and Assumptions'!$D$104</f>
        <v>0</v>
      </c>
      <c r="M165" s="94">
        <f ca="1">M162*'Summary and Assumptions'!$D$104</f>
        <v>0</v>
      </c>
      <c r="N165" s="94">
        <f ca="1">N162*'Summary and Assumptions'!$D$104</f>
        <v>0</v>
      </c>
      <c r="O165" s="95">
        <f ca="1">O162*'Summary and Assumptions'!$D$104</f>
        <v>0</v>
      </c>
      <c r="P165" s="94">
        <f ca="1">P162*'Summary and Assumptions'!$D$104</f>
        <v>0</v>
      </c>
      <c r="Q165" s="94">
        <f ca="1">Q162*'Summary and Assumptions'!$D$104</f>
        <v>0</v>
      </c>
      <c r="R165" s="94">
        <f ca="1">R162*'Summary and Assumptions'!$D$104</f>
        <v>0</v>
      </c>
      <c r="S165" s="95">
        <f ca="1">S162*'Summary and Assumptions'!$D$104</f>
        <v>0</v>
      </c>
      <c r="T165" s="94">
        <f ca="1">T162*'Summary and Assumptions'!$D$104</f>
        <v>0</v>
      </c>
      <c r="U165" s="94">
        <f ca="1">U162*'Summary and Assumptions'!$D$104</f>
        <v>0</v>
      </c>
      <c r="V165" s="94">
        <f ca="1">V162*'Summary and Assumptions'!$D$104</f>
        <v>0</v>
      </c>
      <c r="W165" s="95">
        <f ca="1">W162*'Summary and Assumptions'!$D$104</f>
        <v>0</v>
      </c>
      <c r="X165" s="94">
        <f ca="1">X162*'Summary and Assumptions'!$D$104</f>
        <v>0</v>
      </c>
      <c r="Y165" s="94">
        <f ca="1">Y162*'Summary and Assumptions'!$D$104</f>
        <v>0</v>
      </c>
      <c r="Z165" s="94">
        <f ca="1">Z162*'Summary and Assumptions'!$D$104</f>
        <v>0</v>
      </c>
      <c r="AA165" s="95">
        <f ca="1">AA162*'Summary and Assumptions'!$D$104</f>
        <v>0</v>
      </c>
      <c r="AB165" s="94">
        <f ca="1">AB162*'Summary and Assumptions'!$D$104</f>
        <v>0</v>
      </c>
      <c r="AC165" s="94">
        <f ca="1">AC162*'Summary and Assumptions'!$D$104</f>
        <v>0</v>
      </c>
      <c r="AD165" s="94">
        <f ca="1">AD162*'Summary and Assumptions'!$D$104</f>
        <v>0</v>
      </c>
      <c r="AE165" s="95">
        <f ca="1">AE162*'Summary and Assumptions'!$D$104</f>
        <v>0</v>
      </c>
      <c r="AF165" s="94">
        <f ca="1">AF162*'Summary and Assumptions'!$D$104</f>
        <v>1334375</v>
      </c>
      <c r="AG165" s="94">
        <f ca="1">AG162*'Summary and Assumptions'!$D$104</f>
        <v>1334375</v>
      </c>
      <c r="AH165" s="94">
        <f ca="1">AH162*'Summary and Assumptions'!$D$104</f>
        <v>1334375</v>
      </c>
      <c r="AI165" s="95">
        <f ca="1">AI162*'Summary and Assumptions'!$D$104</f>
        <v>1334375</v>
      </c>
      <c r="AJ165" s="94">
        <f ca="1">AJ162*'Summary and Assumptions'!$D$104</f>
        <v>3202500</v>
      </c>
      <c r="AK165" s="94">
        <f ca="1">AK162*'Summary and Assumptions'!$D$104</f>
        <v>3202500</v>
      </c>
      <c r="AL165" s="94">
        <f ca="1">AL162*'Summary and Assumptions'!$D$104</f>
        <v>3202500</v>
      </c>
      <c r="AM165" s="95">
        <f ca="1">AM162*'Summary and Assumptions'!$D$104</f>
        <v>3202500</v>
      </c>
      <c r="AN165" s="94">
        <f ca="1">AN162*'Summary and Assumptions'!$D$104</f>
        <v>5337500</v>
      </c>
      <c r="AO165" s="94">
        <f ca="1">AO162*'Summary and Assumptions'!$D$104</f>
        <v>5337500</v>
      </c>
      <c r="AP165" s="94">
        <f ca="1">AP162*'Summary and Assumptions'!$D$104</f>
        <v>5337500</v>
      </c>
      <c r="AQ165" s="95">
        <f ca="1">AQ162*'Summary and Assumptions'!$D$104</f>
        <v>5337500</v>
      </c>
      <c r="AR165" s="94">
        <f ca="1">AR162*'Summary and Assumptions'!$D$104</f>
        <v>6671875</v>
      </c>
      <c r="AS165" s="94">
        <f ca="1">AS162*'Summary and Assumptions'!$D$104</f>
        <v>6671875</v>
      </c>
      <c r="AT165" s="94">
        <f ca="1">AT162*'Summary and Assumptions'!$D$104</f>
        <v>6671875</v>
      </c>
      <c r="AU165" s="95">
        <f ca="1">AU162*'Summary and Assumptions'!$D$104</f>
        <v>6671875</v>
      </c>
      <c r="AV165" s="98"/>
      <c r="AW165" s="98"/>
      <c r="AX165" s="98"/>
      <c r="AY165" s="99"/>
    </row>
    <row r="166" spans="1:51" ht="15.75" customHeight="1" x14ac:dyDescent="0.2">
      <c r="A166" s="457"/>
      <c r="B166" s="389"/>
      <c r="C166" s="459"/>
      <c r="D166" s="464"/>
      <c r="E166" s="464"/>
      <c r="F166" s="464"/>
      <c r="G166" s="465"/>
      <c r="H166" s="464"/>
      <c r="I166" s="464"/>
      <c r="J166" s="464"/>
      <c r="K166" s="465"/>
      <c r="L166" s="464"/>
      <c r="M166" s="464"/>
      <c r="N166" s="464"/>
      <c r="O166" s="465"/>
      <c r="P166" s="464"/>
      <c r="Q166" s="464"/>
      <c r="R166" s="464"/>
      <c r="S166" s="465"/>
      <c r="T166" s="464"/>
      <c r="U166" s="464"/>
      <c r="V166" s="464"/>
      <c r="W166" s="465"/>
      <c r="X166" s="464"/>
      <c r="Y166" s="464"/>
      <c r="Z166" s="464"/>
      <c r="AA166" s="465"/>
      <c r="AB166" s="464"/>
      <c r="AC166" s="464"/>
      <c r="AD166" s="464"/>
      <c r="AE166" s="465"/>
      <c r="AF166" s="464"/>
      <c r="AG166" s="464"/>
      <c r="AH166" s="464"/>
      <c r="AI166" s="465"/>
      <c r="AJ166" s="464"/>
      <c r="AK166" s="464"/>
      <c r="AL166" s="464"/>
      <c r="AM166" s="465"/>
      <c r="AN166" s="464"/>
      <c r="AO166" s="464"/>
      <c r="AP166" s="464"/>
      <c r="AQ166" s="465"/>
      <c r="AR166" s="464"/>
      <c r="AS166" s="464"/>
      <c r="AT166" s="464"/>
      <c r="AU166" s="465"/>
      <c r="AV166" s="462"/>
      <c r="AW166" s="462"/>
      <c r="AX166" s="462"/>
      <c r="AY166" s="463"/>
    </row>
    <row r="167" spans="1:51" ht="15.75" customHeight="1" x14ac:dyDescent="0.2">
      <c r="A167" s="457"/>
      <c r="B167" s="443" t="s">
        <v>195</v>
      </c>
      <c r="C167" s="459"/>
      <c r="D167" s="464"/>
      <c r="E167" s="464"/>
      <c r="F167" s="464"/>
      <c r="G167" s="465"/>
      <c r="H167" s="464"/>
      <c r="I167" s="464"/>
      <c r="J167" s="464"/>
      <c r="K167" s="465"/>
      <c r="L167" s="464"/>
      <c r="M167" s="464"/>
      <c r="N167" s="464"/>
      <c r="O167" s="465"/>
      <c r="P167" s="464"/>
      <c r="Q167" s="464"/>
      <c r="R167" s="464"/>
      <c r="S167" s="465"/>
      <c r="T167" s="464"/>
      <c r="U167" s="464"/>
      <c r="V167" s="464"/>
      <c r="W167" s="465"/>
      <c r="X167" s="464"/>
      <c r="Y167" s="464"/>
      <c r="Z167" s="464"/>
      <c r="AA167" s="465"/>
      <c r="AB167" s="464"/>
      <c r="AC167" s="464"/>
      <c r="AD167" s="464"/>
      <c r="AE167" s="465"/>
      <c r="AF167" s="464"/>
      <c r="AG167" s="464"/>
      <c r="AH167" s="464"/>
      <c r="AI167" s="465"/>
      <c r="AJ167" s="464"/>
      <c r="AK167" s="464"/>
      <c r="AL167" s="464"/>
      <c r="AM167" s="465"/>
      <c r="AN167" s="464"/>
      <c r="AO167" s="464"/>
      <c r="AP167" s="464"/>
      <c r="AQ167" s="465"/>
      <c r="AR167" s="464"/>
      <c r="AS167" s="464"/>
      <c r="AT167" s="464"/>
      <c r="AU167" s="465"/>
      <c r="AV167" s="462"/>
      <c r="AW167" s="462"/>
      <c r="AX167" s="462"/>
      <c r="AY167" s="463"/>
    </row>
    <row r="168" spans="1:51" ht="15.75" customHeight="1" x14ac:dyDescent="0.2">
      <c r="B168" s="3" t="str">
        <f>B135</f>
        <v>Beginning balance</v>
      </c>
      <c r="C168" s="73"/>
      <c r="D168" s="402">
        <f>D135</f>
        <v>100000000</v>
      </c>
      <c r="E168" s="264">
        <f t="shared" ref="E168:AU168" ca="1" si="50">D173</f>
        <v>96850000</v>
      </c>
      <c r="F168" s="264">
        <f t="shared" ca="1" si="50"/>
        <v>92450000</v>
      </c>
      <c r="G168" s="399">
        <f t="shared" ca="1" si="50"/>
        <v>89300000</v>
      </c>
      <c r="H168" s="264">
        <f t="shared" ca="1" si="50"/>
        <v>84900000</v>
      </c>
      <c r="I168" s="264">
        <f t="shared" ca="1" si="50"/>
        <v>81750000</v>
      </c>
      <c r="J168" s="264">
        <f t="shared" ca="1" si="50"/>
        <v>77125000</v>
      </c>
      <c r="K168" s="399">
        <f t="shared" ca="1" si="50"/>
        <v>69575000</v>
      </c>
      <c r="L168" s="264">
        <f t="shared" ca="1" si="50"/>
        <v>64325000</v>
      </c>
      <c r="M168" s="264">
        <f t="shared" ca="1" si="50"/>
        <v>56775000</v>
      </c>
      <c r="N168" s="264">
        <f t="shared" ca="1" si="50"/>
        <v>49225000</v>
      </c>
      <c r="O168" s="399">
        <f t="shared" ca="1" si="50"/>
        <v>43975000</v>
      </c>
      <c r="P168" s="264">
        <f t="shared" ca="1" si="50"/>
        <v>35675000</v>
      </c>
      <c r="Q168" s="264">
        <f t="shared" ca="1" si="50"/>
        <v>28925000</v>
      </c>
      <c r="R168" s="264">
        <f t="shared" ca="1" si="50"/>
        <v>20387500</v>
      </c>
      <c r="S168" s="399">
        <f t="shared" ca="1" si="50"/>
        <v>15112500</v>
      </c>
      <c r="T168" s="264">
        <f t="shared" ca="1" si="50"/>
        <v>10150000</v>
      </c>
      <c r="U168" s="264">
        <f t="shared" ca="1" si="50"/>
        <v>4150000</v>
      </c>
      <c r="V168" s="264">
        <f t="shared" ca="1" si="50"/>
        <v>-37500</v>
      </c>
      <c r="W168" s="399">
        <f t="shared" ca="1" si="50"/>
        <v>-5900000</v>
      </c>
      <c r="X168" s="264">
        <f t="shared" ca="1" si="50"/>
        <v>-8900000</v>
      </c>
      <c r="Y168" s="264">
        <f t="shared" ca="1" si="50"/>
        <v>-11700000</v>
      </c>
      <c r="Z168" s="264">
        <f t="shared" ca="1" si="50"/>
        <v>-14487500</v>
      </c>
      <c r="AA168" s="399">
        <f t="shared" ca="1" si="50"/>
        <v>-16512500</v>
      </c>
      <c r="AB168" s="264">
        <f t="shared" ca="1" si="50"/>
        <v>-19275000</v>
      </c>
      <c r="AC168" s="264">
        <f t="shared" ca="1" si="50"/>
        <v>-21275000</v>
      </c>
      <c r="AD168" s="264">
        <f t="shared" ca="1" si="50"/>
        <v>-22512500</v>
      </c>
      <c r="AE168" s="399">
        <f t="shared" ca="1" si="50"/>
        <v>-22987500</v>
      </c>
      <c r="AF168" s="264">
        <f t="shared" ca="1" si="50"/>
        <v>-23450000</v>
      </c>
      <c r="AG168" s="264">
        <f t="shared" ca="1" si="50"/>
        <v>-22565625</v>
      </c>
      <c r="AH168" s="264">
        <f t="shared" ca="1" si="50"/>
        <v>-21668750</v>
      </c>
      <c r="AI168" s="399">
        <f t="shared" ca="1" si="50"/>
        <v>-20759375</v>
      </c>
      <c r="AJ168" s="264">
        <f t="shared" ca="1" si="50"/>
        <v>-19837500</v>
      </c>
      <c r="AK168" s="264">
        <f t="shared" ca="1" si="50"/>
        <v>-17035000</v>
      </c>
      <c r="AL168" s="264">
        <f t="shared" ca="1" si="50"/>
        <v>-14232500</v>
      </c>
      <c r="AM168" s="399">
        <f t="shared" ca="1" si="50"/>
        <v>-11430000</v>
      </c>
      <c r="AN168" s="264">
        <f t="shared" ca="1" si="50"/>
        <v>-8627500</v>
      </c>
      <c r="AO168" s="264">
        <f t="shared" ca="1" si="50"/>
        <v>-3690000</v>
      </c>
      <c r="AP168" s="264">
        <f t="shared" ca="1" si="50"/>
        <v>1247500</v>
      </c>
      <c r="AQ168" s="399">
        <f t="shared" ca="1" si="50"/>
        <v>6185000</v>
      </c>
      <c r="AR168" s="264">
        <f t="shared" ca="1" si="50"/>
        <v>11122500</v>
      </c>
      <c r="AS168" s="264">
        <f t="shared" ca="1" si="50"/>
        <v>17394375</v>
      </c>
      <c r="AT168" s="264">
        <f t="shared" ca="1" si="50"/>
        <v>23666250</v>
      </c>
      <c r="AU168" s="399">
        <f t="shared" ca="1" si="50"/>
        <v>29938125</v>
      </c>
      <c r="AV168" s="400"/>
      <c r="AW168" s="400"/>
      <c r="AX168" s="400"/>
      <c r="AY168" s="401"/>
    </row>
    <row r="169" spans="1:51" ht="15.75" customHeight="1" x14ac:dyDescent="0.2">
      <c r="B169" s="287"/>
      <c r="C169" s="73" t="str">
        <f t="shared" ref="C169:AU169" si="51">C136</f>
        <v>Investment outflows</v>
      </c>
      <c r="D169" s="264">
        <f t="shared" ca="1" si="51"/>
        <v>-2500000</v>
      </c>
      <c r="E169" s="264">
        <f t="shared" ca="1" si="51"/>
        <v>-3750000</v>
      </c>
      <c r="F169" s="264">
        <f t="shared" ca="1" si="51"/>
        <v>-2500000</v>
      </c>
      <c r="G169" s="399">
        <f t="shared" ca="1" si="51"/>
        <v>-3750000</v>
      </c>
      <c r="H169" s="264">
        <f t="shared" ca="1" si="51"/>
        <v>-2500000</v>
      </c>
      <c r="I169" s="264">
        <f t="shared" ca="1" si="51"/>
        <v>-3975000</v>
      </c>
      <c r="J169" s="264">
        <f t="shared" ca="1" si="51"/>
        <v>-6900000</v>
      </c>
      <c r="K169" s="399">
        <f t="shared" ca="1" si="51"/>
        <v>-4600000</v>
      </c>
      <c r="L169" s="264">
        <f t="shared" ca="1" si="51"/>
        <v>-6900000</v>
      </c>
      <c r="M169" s="264">
        <f t="shared" ca="1" si="51"/>
        <v>-6900000</v>
      </c>
      <c r="N169" s="264">
        <f t="shared" ca="1" si="51"/>
        <v>-4600000</v>
      </c>
      <c r="O169" s="399">
        <f t="shared" ca="1" si="51"/>
        <v>-7650000</v>
      </c>
      <c r="P169" s="264">
        <f t="shared" ca="1" si="51"/>
        <v>-6100000</v>
      </c>
      <c r="Q169" s="264">
        <f t="shared" ca="1" si="51"/>
        <v>-7900000</v>
      </c>
      <c r="R169" s="264">
        <f t="shared" ca="1" si="51"/>
        <v>-4650000</v>
      </c>
      <c r="S169" s="399">
        <f t="shared" ca="1" si="51"/>
        <v>-4350000</v>
      </c>
      <c r="T169" s="264">
        <f t="shared" ca="1" si="51"/>
        <v>-5400000</v>
      </c>
      <c r="U169" s="264">
        <f t="shared" ca="1" si="51"/>
        <v>-3600000</v>
      </c>
      <c r="V169" s="264">
        <f t="shared" ca="1" si="51"/>
        <v>-5287500</v>
      </c>
      <c r="W169" s="399">
        <f t="shared" ca="1" si="51"/>
        <v>-2437500</v>
      </c>
      <c r="X169" s="264">
        <f t="shared" ca="1" si="51"/>
        <v>-2250000</v>
      </c>
      <c r="Y169" s="264">
        <f t="shared" ca="1" si="51"/>
        <v>-2250000</v>
      </c>
      <c r="Z169" s="264">
        <f t="shared" ca="1" si="51"/>
        <v>-1500000</v>
      </c>
      <c r="AA169" s="399">
        <f t="shared" ca="1" si="51"/>
        <v>-2250000</v>
      </c>
      <c r="AB169" s="264">
        <f t="shared" ca="1" si="51"/>
        <v>-1500000</v>
      </c>
      <c r="AC169" s="264">
        <f t="shared" ca="1" si="51"/>
        <v>-750000</v>
      </c>
      <c r="AD169" s="264">
        <f t="shared" ca="1" si="51"/>
        <v>0</v>
      </c>
      <c r="AE169" s="399">
        <f t="shared" ca="1" si="51"/>
        <v>0</v>
      </c>
      <c r="AF169" s="264">
        <f t="shared" ca="1" si="51"/>
        <v>0</v>
      </c>
      <c r="AG169" s="264">
        <f t="shared" ca="1" si="51"/>
        <v>0</v>
      </c>
      <c r="AH169" s="264">
        <f t="shared" ca="1" si="51"/>
        <v>0</v>
      </c>
      <c r="AI169" s="399">
        <f t="shared" ca="1" si="51"/>
        <v>0</v>
      </c>
      <c r="AJ169" s="264">
        <f t="shared" ca="1" si="51"/>
        <v>0</v>
      </c>
      <c r="AK169" s="264">
        <f t="shared" ca="1" si="51"/>
        <v>0</v>
      </c>
      <c r="AL169" s="264">
        <f t="shared" ca="1" si="51"/>
        <v>0</v>
      </c>
      <c r="AM169" s="399">
        <f t="shared" ca="1" si="51"/>
        <v>0</v>
      </c>
      <c r="AN169" s="264">
        <f t="shared" ca="1" si="51"/>
        <v>0</v>
      </c>
      <c r="AO169" s="264">
        <f t="shared" ca="1" si="51"/>
        <v>0</v>
      </c>
      <c r="AP169" s="264">
        <f t="shared" ca="1" si="51"/>
        <v>0</v>
      </c>
      <c r="AQ169" s="399">
        <f t="shared" ca="1" si="51"/>
        <v>0</v>
      </c>
      <c r="AR169" s="264">
        <f t="shared" ca="1" si="51"/>
        <v>0</v>
      </c>
      <c r="AS169" s="264">
        <f t="shared" ca="1" si="51"/>
        <v>0</v>
      </c>
      <c r="AT169" s="264">
        <f t="shared" ca="1" si="51"/>
        <v>0</v>
      </c>
      <c r="AU169" s="399">
        <f t="shared" ca="1" si="51"/>
        <v>0</v>
      </c>
      <c r="AV169" s="400"/>
      <c r="AW169" s="400"/>
      <c r="AX169" s="400"/>
      <c r="AY169" s="401"/>
    </row>
    <row r="170" spans="1:51" ht="15.75" customHeight="1" x14ac:dyDescent="0.2">
      <c r="B170" s="287"/>
      <c r="C170" s="73" t="str">
        <f t="shared" ref="C170:AU170" si="52">C139</f>
        <v>Net fees</v>
      </c>
      <c r="D170" s="264">
        <f t="shared" si="52"/>
        <v>-650000</v>
      </c>
      <c r="E170" s="264">
        <f t="shared" ca="1" si="52"/>
        <v>-650000</v>
      </c>
      <c r="F170" s="264">
        <f t="shared" ca="1" si="52"/>
        <v>-650000</v>
      </c>
      <c r="G170" s="399">
        <f t="shared" ca="1" si="52"/>
        <v>-650000</v>
      </c>
      <c r="H170" s="264">
        <f t="shared" ca="1" si="52"/>
        <v>-650000</v>
      </c>
      <c r="I170" s="264">
        <f t="shared" ca="1" si="52"/>
        <v>-650000</v>
      </c>
      <c r="J170" s="264">
        <f t="shared" ca="1" si="52"/>
        <v>-650000</v>
      </c>
      <c r="K170" s="399">
        <f t="shared" ca="1" si="52"/>
        <v>-650000</v>
      </c>
      <c r="L170" s="264">
        <f t="shared" ca="1" si="52"/>
        <v>-650000</v>
      </c>
      <c r="M170" s="264">
        <f t="shared" ca="1" si="52"/>
        <v>-650000</v>
      </c>
      <c r="N170" s="264">
        <f t="shared" ca="1" si="52"/>
        <v>-650000</v>
      </c>
      <c r="O170" s="399">
        <f t="shared" ca="1" si="52"/>
        <v>-650000</v>
      </c>
      <c r="P170" s="264">
        <f t="shared" ca="1" si="52"/>
        <v>-650000</v>
      </c>
      <c r="Q170" s="264">
        <f t="shared" ca="1" si="52"/>
        <v>-637500</v>
      </c>
      <c r="R170" s="264">
        <f t="shared" ca="1" si="52"/>
        <v>-625000</v>
      </c>
      <c r="S170" s="399">
        <f t="shared" ca="1" si="52"/>
        <v>-612500</v>
      </c>
      <c r="T170" s="264">
        <f t="shared" ca="1" si="52"/>
        <v>-600000</v>
      </c>
      <c r="U170" s="264">
        <f t="shared" ca="1" si="52"/>
        <v>-587500</v>
      </c>
      <c r="V170" s="264">
        <f t="shared" ca="1" si="52"/>
        <v>-575000</v>
      </c>
      <c r="W170" s="399">
        <f t="shared" ca="1" si="52"/>
        <v>-562500</v>
      </c>
      <c r="X170" s="264">
        <f t="shared" ca="1" si="52"/>
        <v>-550000</v>
      </c>
      <c r="Y170" s="264">
        <f t="shared" ca="1" si="52"/>
        <v>-537500</v>
      </c>
      <c r="Z170" s="264">
        <f t="shared" ca="1" si="52"/>
        <v>-525000</v>
      </c>
      <c r="AA170" s="399">
        <f t="shared" ca="1" si="52"/>
        <v>-512499.99999999988</v>
      </c>
      <c r="AB170" s="264">
        <f t="shared" ca="1" si="52"/>
        <v>-499999.99999999988</v>
      </c>
      <c r="AC170" s="264">
        <f t="shared" ca="1" si="52"/>
        <v>-487499.99999999988</v>
      </c>
      <c r="AD170" s="264">
        <f t="shared" ca="1" si="52"/>
        <v>-474999.99999999988</v>
      </c>
      <c r="AE170" s="399">
        <f t="shared" ca="1" si="52"/>
        <v>-462499.99999999988</v>
      </c>
      <c r="AF170" s="264">
        <f t="shared" ca="1" si="52"/>
        <v>-449999.99999999988</v>
      </c>
      <c r="AG170" s="264">
        <f t="shared" ca="1" si="52"/>
        <v>-437499.99999999983</v>
      </c>
      <c r="AH170" s="264">
        <f t="shared" ca="1" si="52"/>
        <v>-424999.99999999983</v>
      </c>
      <c r="AI170" s="399">
        <f t="shared" ca="1" si="52"/>
        <v>-412499.99999999983</v>
      </c>
      <c r="AJ170" s="264">
        <f t="shared" ca="1" si="52"/>
        <v>-400000</v>
      </c>
      <c r="AK170" s="264">
        <f t="shared" ca="1" si="52"/>
        <v>-400000</v>
      </c>
      <c r="AL170" s="264">
        <f t="shared" ca="1" si="52"/>
        <v>-400000</v>
      </c>
      <c r="AM170" s="399">
        <f t="shared" ca="1" si="52"/>
        <v>-400000</v>
      </c>
      <c r="AN170" s="264">
        <f t="shared" ca="1" si="52"/>
        <v>-400000</v>
      </c>
      <c r="AO170" s="264">
        <f t="shared" ca="1" si="52"/>
        <v>-400000</v>
      </c>
      <c r="AP170" s="264">
        <f t="shared" ca="1" si="52"/>
        <v>-400000</v>
      </c>
      <c r="AQ170" s="399">
        <f t="shared" ca="1" si="52"/>
        <v>-400000</v>
      </c>
      <c r="AR170" s="264">
        <f t="shared" ca="1" si="52"/>
        <v>-400000</v>
      </c>
      <c r="AS170" s="264">
        <f t="shared" ca="1" si="52"/>
        <v>-400000</v>
      </c>
      <c r="AT170" s="264">
        <f t="shared" ca="1" si="52"/>
        <v>-400000</v>
      </c>
      <c r="AU170" s="399">
        <f t="shared" ca="1" si="52"/>
        <v>-400000</v>
      </c>
      <c r="AV170" s="400"/>
      <c r="AW170" s="400"/>
      <c r="AX170" s="400"/>
      <c r="AY170" s="401"/>
    </row>
    <row r="171" spans="1:51" ht="15.75" customHeight="1" x14ac:dyDescent="0.2">
      <c r="B171" s="287"/>
      <c r="C171" s="73" t="s">
        <v>74</v>
      </c>
      <c r="D171" s="264">
        <f t="shared" ref="D171:AU171" ca="1" si="53">IF(D$4&lt;=$C$4,-D$131,(D165-D162))</f>
        <v>0</v>
      </c>
      <c r="E171" s="264">
        <f t="shared" ca="1" si="53"/>
        <v>0</v>
      </c>
      <c r="F171" s="264">
        <f t="shared" ca="1" si="53"/>
        <v>0</v>
      </c>
      <c r="G171" s="399">
        <f t="shared" ca="1" si="53"/>
        <v>0</v>
      </c>
      <c r="H171" s="264">
        <f t="shared" ca="1" si="53"/>
        <v>0</v>
      </c>
      <c r="I171" s="264">
        <f t="shared" ca="1" si="53"/>
        <v>0</v>
      </c>
      <c r="J171" s="264">
        <f t="shared" ca="1" si="53"/>
        <v>0</v>
      </c>
      <c r="K171" s="399">
        <f t="shared" ca="1" si="53"/>
        <v>0</v>
      </c>
      <c r="L171" s="264">
        <f t="shared" ca="1" si="53"/>
        <v>0</v>
      </c>
      <c r="M171" s="264">
        <f t="shared" ca="1" si="53"/>
        <v>0</v>
      </c>
      <c r="N171" s="264">
        <f t="shared" ca="1" si="53"/>
        <v>0</v>
      </c>
      <c r="O171" s="399">
        <f t="shared" ca="1" si="53"/>
        <v>0</v>
      </c>
      <c r="P171" s="264">
        <f t="shared" ca="1" si="53"/>
        <v>0</v>
      </c>
      <c r="Q171" s="264">
        <f t="shared" ca="1" si="53"/>
        <v>0</v>
      </c>
      <c r="R171" s="264">
        <f t="shared" ca="1" si="53"/>
        <v>0</v>
      </c>
      <c r="S171" s="399">
        <f t="shared" ca="1" si="53"/>
        <v>0</v>
      </c>
      <c r="T171" s="264">
        <f t="shared" ca="1" si="53"/>
        <v>0</v>
      </c>
      <c r="U171" s="264">
        <f t="shared" ca="1" si="53"/>
        <v>0</v>
      </c>
      <c r="V171" s="264">
        <f t="shared" ca="1" si="53"/>
        <v>0</v>
      </c>
      <c r="W171" s="399">
        <f t="shared" ca="1" si="53"/>
        <v>0</v>
      </c>
      <c r="X171" s="264">
        <f t="shared" ca="1" si="53"/>
        <v>0</v>
      </c>
      <c r="Y171" s="264">
        <f t="shared" ca="1" si="53"/>
        <v>0</v>
      </c>
      <c r="Z171" s="264">
        <f t="shared" ca="1" si="53"/>
        <v>0</v>
      </c>
      <c r="AA171" s="399">
        <f t="shared" ca="1" si="53"/>
        <v>0</v>
      </c>
      <c r="AB171" s="264">
        <f t="shared" ca="1" si="53"/>
        <v>0</v>
      </c>
      <c r="AC171" s="264">
        <f t="shared" ca="1" si="53"/>
        <v>0</v>
      </c>
      <c r="AD171" s="264">
        <f t="shared" ca="1" si="53"/>
        <v>0</v>
      </c>
      <c r="AE171" s="399">
        <f t="shared" ca="1" si="53"/>
        <v>0</v>
      </c>
      <c r="AF171" s="264">
        <f t="shared" ca="1" si="53"/>
        <v>0</v>
      </c>
      <c r="AG171" s="264">
        <f t="shared" ca="1" si="53"/>
        <v>0</v>
      </c>
      <c r="AH171" s="264">
        <f t="shared" ca="1" si="53"/>
        <v>0</v>
      </c>
      <c r="AI171" s="399">
        <f t="shared" ca="1" si="53"/>
        <v>0</v>
      </c>
      <c r="AJ171" s="264">
        <f t="shared" ca="1" si="53"/>
        <v>0</v>
      </c>
      <c r="AK171" s="264">
        <f t="shared" ca="1" si="53"/>
        <v>0</v>
      </c>
      <c r="AL171" s="264">
        <f t="shared" ca="1" si="53"/>
        <v>0</v>
      </c>
      <c r="AM171" s="399">
        <f t="shared" ca="1" si="53"/>
        <v>0</v>
      </c>
      <c r="AN171" s="264">
        <f t="shared" ca="1" si="53"/>
        <v>0</v>
      </c>
      <c r="AO171" s="264">
        <f t="shared" ca="1" si="53"/>
        <v>0</v>
      </c>
      <c r="AP171" s="264">
        <f t="shared" ca="1" si="53"/>
        <v>0</v>
      </c>
      <c r="AQ171" s="399">
        <f t="shared" ca="1" si="53"/>
        <v>0</v>
      </c>
      <c r="AR171" s="264">
        <f t="shared" ca="1" si="53"/>
        <v>0</v>
      </c>
      <c r="AS171" s="264">
        <f t="shared" ca="1" si="53"/>
        <v>0</v>
      </c>
      <c r="AT171" s="264">
        <f t="shared" ca="1" si="53"/>
        <v>0</v>
      </c>
      <c r="AU171" s="399">
        <f t="shared" ca="1" si="53"/>
        <v>0</v>
      </c>
      <c r="AV171" s="400"/>
      <c r="AW171" s="400"/>
      <c r="AX171" s="400"/>
      <c r="AY171" s="401"/>
    </row>
    <row r="172" spans="1:51" ht="15.75" customHeight="1" x14ac:dyDescent="0.2">
      <c r="B172" s="287"/>
      <c r="C172" s="467" t="s">
        <v>16</v>
      </c>
      <c r="D172" s="264">
        <f t="shared" ref="D172:AU172" ca="1" si="54">IF(D$4&lt;=$C$4,D$137,D162)</f>
        <v>0</v>
      </c>
      <c r="E172" s="264">
        <f t="shared" ca="1" si="54"/>
        <v>0</v>
      </c>
      <c r="F172" s="264">
        <f t="shared" ca="1" si="54"/>
        <v>0</v>
      </c>
      <c r="G172" s="399">
        <f t="shared" ca="1" si="54"/>
        <v>0</v>
      </c>
      <c r="H172" s="264">
        <f t="shared" ca="1" si="54"/>
        <v>0</v>
      </c>
      <c r="I172" s="264">
        <f t="shared" ca="1" si="54"/>
        <v>0</v>
      </c>
      <c r="J172" s="264">
        <f t="shared" ca="1" si="54"/>
        <v>0</v>
      </c>
      <c r="K172" s="399">
        <f t="shared" ca="1" si="54"/>
        <v>0</v>
      </c>
      <c r="L172" s="264">
        <f t="shared" ca="1" si="54"/>
        <v>0</v>
      </c>
      <c r="M172" s="264">
        <f t="shared" ca="1" si="54"/>
        <v>0</v>
      </c>
      <c r="N172" s="264">
        <f t="shared" ca="1" si="54"/>
        <v>0</v>
      </c>
      <c r="O172" s="399">
        <f t="shared" ca="1" si="54"/>
        <v>0</v>
      </c>
      <c r="P172" s="264">
        <f t="shared" ca="1" si="54"/>
        <v>0</v>
      </c>
      <c r="Q172" s="264">
        <f t="shared" ca="1" si="54"/>
        <v>0</v>
      </c>
      <c r="R172" s="264">
        <f t="shared" ca="1" si="54"/>
        <v>0</v>
      </c>
      <c r="S172" s="399">
        <f t="shared" ca="1" si="54"/>
        <v>0</v>
      </c>
      <c r="T172" s="264">
        <f t="shared" ca="1" si="54"/>
        <v>0</v>
      </c>
      <c r="U172" s="264">
        <f t="shared" ca="1" si="54"/>
        <v>0</v>
      </c>
      <c r="V172" s="264">
        <f t="shared" ca="1" si="54"/>
        <v>0</v>
      </c>
      <c r="W172" s="399">
        <f t="shared" ca="1" si="54"/>
        <v>0</v>
      </c>
      <c r="X172" s="264">
        <f t="shared" ca="1" si="54"/>
        <v>0</v>
      </c>
      <c r="Y172" s="264">
        <f t="shared" ca="1" si="54"/>
        <v>0</v>
      </c>
      <c r="Z172" s="264">
        <f t="shared" ca="1" si="54"/>
        <v>0</v>
      </c>
      <c r="AA172" s="399">
        <f t="shared" ca="1" si="54"/>
        <v>0</v>
      </c>
      <c r="AB172" s="264">
        <f t="shared" ca="1" si="54"/>
        <v>0</v>
      </c>
      <c r="AC172" s="264">
        <f t="shared" ca="1" si="54"/>
        <v>0</v>
      </c>
      <c r="AD172" s="264">
        <f t="shared" ca="1" si="54"/>
        <v>0</v>
      </c>
      <c r="AE172" s="399">
        <f t="shared" ca="1" si="54"/>
        <v>0</v>
      </c>
      <c r="AF172" s="264">
        <f t="shared" ca="1" si="54"/>
        <v>1334375</v>
      </c>
      <c r="AG172" s="264">
        <f t="shared" ca="1" si="54"/>
        <v>1334375</v>
      </c>
      <c r="AH172" s="264">
        <f t="shared" ca="1" si="54"/>
        <v>1334375</v>
      </c>
      <c r="AI172" s="399">
        <f t="shared" ca="1" si="54"/>
        <v>1334375</v>
      </c>
      <c r="AJ172" s="264">
        <f t="shared" ca="1" si="54"/>
        <v>3202500</v>
      </c>
      <c r="AK172" s="264">
        <f t="shared" ca="1" si="54"/>
        <v>3202500</v>
      </c>
      <c r="AL172" s="264">
        <f t="shared" ca="1" si="54"/>
        <v>3202500</v>
      </c>
      <c r="AM172" s="399">
        <f t="shared" ca="1" si="54"/>
        <v>3202500</v>
      </c>
      <c r="AN172" s="264">
        <f t="shared" ca="1" si="54"/>
        <v>5337500</v>
      </c>
      <c r="AO172" s="264">
        <f t="shared" ca="1" si="54"/>
        <v>5337500</v>
      </c>
      <c r="AP172" s="264">
        <f t="shared" ca="1" si="54"/>
        <v>5337500</v>
      </c>
      <c r="AQ172" s="399">
        <f t="shared" ca="1" si="54"/>
        <v>5337500</v>
      </c>
      <c r="AR172" s="264">
        <f t="shared" ca="1" si="54"/>
        <v>6671875</v>
      </c>
      <c r="AS172" s="264">
        <f t="shared" ca="1" si="54"/>
        <v>6671875</v>
      </c>
      <c r="AT172" s="264">
        <f t="shared" ca="1" si="54"/>
        <v>6671875</v>
      </c>
      <c r="AU172" s="399">
        <f t="shared" ca="1" si="54"/>
        <v>6671875</v>
      </c>
      <c r="AV172" s="400"/>
      <c r="AW172" s="400"/>
      <c r="AX172" s="400"/>
      <c r="AY172" s="401"/>
    </row>
    <row r="173" spans="1:51" ht="15.75" customHeight="1" x14ac:dyDescent="0.2">
      <c r="A173" s="3"/>
      <c r="B173" s="262" t="s">
        <v>178</v>
      </c>
      <c r="C173" s="275"/>
      <c r="D173" s="412">
        <f t="shared" ref="D173:AU173" ca="1" si="55">D168+D169+D171+D170+D172</f>
        <v>96850000</v>
      </c>
      <c r="E173" s="412">
        <f t="shared" ca="1" si="55"/>
        <v>92450000</v>
      </c>
      <c r="F173" s="412">
        <f t="shared" ca="1" si="55"/>
        <v>89300000</v>
      </c>
      <c r="G173" s="413">
        <f t="shared" ca="1" si="55"/>
        <v>84900000</v>
      </c>
      <c r="H173" s="412">
        <f t="shared" ca="1" si="55"/>
        <v>81750000</v>
      </c>
      <c r="I173" s="412">
        <f t="shared" ca="1" si="55"/>
        <v>77125000</v>
      </c>
      <c r="J173" s="412">
        <f t="shared" ca="1" si="55"/>
        <v>69575000</v>
      </c>
      <c r="K173" s="413">
        <f t="shared" ca="1" si="55"/>
        <v>64325000</v>
      </c>
      <c r="L173" s="412">
        <f t="shared" ca="1" si="55"/>
        <v>56775000</v>
      </c>
      <c r="M173" s="412">
        <f t="shared" ca="1" si="55"/>
        <v>49225000</v>
      </c>
      <c r="N173" s="412">
        <f t="shared" ca="1" si="55"/>
        <v>43975000</v>
      </c>
      <c r="O173" s="413">
        <f t="shared" ca="1" si="55"/>
        <v>35675000</v>
      </c>
      <c r="P173" s="412">
        <f t="shared" ca="1" si="55"/>
        <v>28925000</v>
      </c>
      <c r="Q173" s="412">
        <f t="shared" ca="1" si="55"/>
        <v>20387500</v>
      </c>
      <c r="R173" s="412">
        <f t="shared" ca="1" si="55"/>
        <v>15112500</v>
      </c>
      <c r="S173" s="413">
        <f t="shared" ca="1" si="55"/>
        <v>10150000</v>
      </c>
      <c r="T173" s="412">
        <f t="shared" ca="1" si="55"/>
        <v>4150000</v>
      </c>
      <c r="U173" s="412">
        <f t="shared" ca="1" si="55"/>
        <v>-37500</v>
      </c>
      <c r="V173" s="412">
        <f t="shared" ca="1" si="55"/>
        <v>-5900000</v>
      </c>
      <c r="W173" s="413">
        <f t="shared" ca="1" si="55"/>
        <v>-8900000</v>
      </c>
      <c r="X173" s="412">
        <f t="shared" ca="1" si="55"/>
        <v>-11700000</v>
      </c>
      <c r="Y173" s="412">
        <f t="shared" ca="1" si="55"/>
        <v>-14487500</v>
      </c>
      <c r="Z173" s="412">
        <f t="shared" ca="1" si="55"/>
        <v>-16512500</v>
      </c>
      <c r="AA173" s="413">
        <f t="shared" ca="1" si="55"/>
        <v>-19275000</v>
      </c>
      <c r="AB173" s="412">
        <f t="shared" ca="1" si="55"/>
        <v>-21275000</v>
      </c>
      <c r="AC173" s="412">
        <f t="shared" ca="1" si="55"/>
        <v>-22512500</v>
      </c>
      <c r="AD173" s="412">
        <f t="shared" ca="1" si="55"/>
        <v>-22987500</v>
      </c>
      <c r="AE173" s="413">
        <f t="shared" ca="1" si="55"/>
        <v>-23450000</v>
      </c>
      <c r="AF173" s="412">
        <f t="shared" ca="1" si="55"/>
        <v>-22565625</v>
      </c>
      <c r="AG173" s="412">
        <f t="shared" ca="1" si="55"/>
        <v>-21668750</v>
      </c>
      <c r="AH173" s="412">
        <f t="shared" ca="1" si="55"/>
        <v>-20759375</v>
      </c>
      <c r="AI173" s="413">
        <f t="shared" ca="1" si="55"/>
        <v>-19837500</v>
      </c>
      <c r="AJ173" s="412">
        <f t="shared" ca="1" si="55"/>
        <v>-17035000</v>
      </c>
      <c r="AK173" s="412">
        <f t="shared" ca="1" si="55"/>
        <v>-14232500</v>
      </c>
      <c r="AL173" s="412">
        <f t="shared" ca="1" si="55"/>
        <v>-11430000</v>
      </c>
      <c r="AM173" s="413">
        <f t="shared" ca="1" si="55"/>
        <v>-8627500</v>
      </c>
      <c r="AN173" s="412">
        <f t="shared" ca="1" si="55"/>
        <v>-3690000</v>
      </c>
      <c r="AO173" s="412">
        <f t="shared" ca="1" si="55"/>
        <v>1247500</v>
      </c>
      <c r="AP173" s="412">
        <f t="shared" ca="1" si="55"/>
        <v>6185000</v>
      </c>
      <c r="AQ173" s="413">
        <f t="shared" ca="1" si="55"/>
        <v>11122500</v>
      </c>
      <c r="AR173" s="412">
        <f t="shared" ca="1" si="55"/>
        <v>17394375</v>
      </c>
      <c r="AS173" s="412">
        <f t="shared" ca="1" si="55"/>
        <v>23666250</v>
      </c>
      <c r="AT173" s="412">
        <f t="shared" ca="1" si="55"/>
        <v>29938125</v>
      </c>
      <c r="AU173" s="413">
        <f t="shared" ca="1" si="55"/>
        <v>36210000</v>
      </c>
      <c r="AV173" s="468"/>
      <c r="AW173" s="468"/>
      <c r="AX173" s="468"/>
      <c r="AY173" s="469"/>
    </row>
    <row r="174" spans="1:51" ht="15.75" customHeight="1" x14ac:dyDescent="0.2">
      <c r="A174" s="470"/>
      <c r="B174" s="471" t="s">
        <v>168</v>
      </c>
      <c r="C174" s="472"/>
      <c r="D174" s="473">
        <f t="shared" ref="D174:AU174" ca="1" si="56">D173/$C$5</f>
        <v>0.96850000000000003</v>
      </c>
      <c r="E174" s="473">
        <f t="shared" ca="1" si="56"/>
        <v>0.92449999999999999</v>
      </c>
      <c r="F174" s="473">
        <f t="shared" ca="1" si="56"/>
        <v>0.89300000000000002</v>
      </c>
      <c r="G174" s="391">
        <f t="shared" ca="1" si="56"/>
        <v>0.84899999999999998</v>
      </c>
      <c r="H174" s="473">
        <f t="shared" ca="1" si="56"/>
        <v>0.8175</v>
      </c>
      <c r="I174" s="473">
        <f t="shared" ca="1" si="56"/>
        <v>0.77124999999999999</v>
      </c>
      <c r="J174" s="473">
        <f t="shared" ca="1" si="56"/>
        <v>0.69574999999999998</v>
      </c>
      <c r="K174" s="391">
        <f t="shared" ca="1" si="56"/>
        <v>0.64324999999999999</v>
      </c>
      <c r="L174" s="473">
        <f t="shared" ca="1" si="56"/>
        <v>0.56774999999999998</v>
      </c>
      <c r="M174" s="473">
        <f t="shared" ca="1" si="56"/>
        <v>0.49225000000000002</v>
      </c>
      <c r="N174" s="473">
        <f t="shared" ca="1" si="56"/>
        <v>0.43974999999999997</v>
      </c>
      <c r="O174" s="391">
        <f t="shared" ca="1" si="56"/>
        <v>0.35675000000000001</v>
      </c>
      <c r="P174" s="473">
        <f t="shared" ca="1" si="56"/>
        <v>0.28925000000000001</v>
      </c>
      <c r="Q174" s="473">
        <f t="shared" ca="1" si="56"/>
        <v>0.203875</v>
      </c>
      <c r="R174" s="473">
        <f t="shared" ca="1" si="56"/>
        <v>0.15112500000000001</v>
      </c>
      <c r="S174" s="391">
        <f t="shared" ca="1" si="56"/>
        <v>0.10150000000000001</v>
      </c>
      <c r="T174" s="473">
        <f t="shared" ca="1" si="56"/>
        <v>4.1500000000000002E-2</v>
      </c>
      <c r="U174" s="473">
        <f t="shared" ca="1" si="56"/>
        <v>-3.7500000000000001E-4</v>
      </c>
      <c r="V174" s="473">
        <f t="shared" ca="1" si="56"/>
        <v>-5.8999999999999997E-2</v>
      </c>
      <c r="W174" s="391">
        <f t="shared" ca="1" si="56"/>
        <v>-8.8999999999999996E-2</v>
      </c>
      <c r="X174" s="473">
        <f t="shared" ca="1" si="56"/>
        <v>-0.11700000000000001</v>
      </c>
      <c r="Y174" s="473">
        <f t="shared" ca="1" si="56"/>
        <v>-0.144875</v>
      </c>
      <c r="Z174" s="473">
        <f t="shared" ca="1" si="56"/>
        <v>-0.16512499999999999</v>
      </c>
      <c r="AA174" s="391">
        <f t="shared" ca="1" si="56"/>
        <v>-0.19275</v>
      </c>
      <c r="AB174" s="473">
        <f t="shared" ca="1" si="56"/>
        <v>-0.21274999999999999</v>
      </c>
      <c r="AC174" s="473">
        <f t="shared" ca="1" si="56"/>
        <v>-0.22512499999999999</v>
      </c>
      <c r="AD174" s="473">
        <f t="shared" ca="1" si="56"/>
        <v>-0.229875</v>
      </c>
      <c r="AE174" s="391">
        <f t="shared" ca="1" si="56"/>
        <v>-0.23449999999999999</v>
      </c>
      <c r="AF174" s="473">
        <f t="shared" ca="1" si="56"/>
        <v>-0.22565625</v>
      </c>
      <c r="AG174" s="473">
        <f t="shared" ca="1" si="56"/>
        <v>-0.21668750000000001</v>
      </c>
      <c r="AH174" s="473">
        <f t="shared" ca="1" si="56"/>
        <v>-0.20759374999999999</v>
      </c>
      <c r="AI174" s="391">
        <f t="shared" ca="1" si="56"/>
        <v>-0.198375</v>
      </c>
      <c r="AJ174" s="473">
        <f t="shared" ca="1" si="56"/>
        <v>-0.17035</v>
      </c>
      <c r="AK174" s="473">
        <f t="shared" ca="1" si="56"/>
        <v>-0.14232500000000001</v>
      </c>
      <c r="AL174" s="473">
        <f t="shared" ca="1" si="56"/>
        <v>-0.1143</v>
      </c>
      <c r="AM174" s="391">
        <f t="shared" ca="1" si="56"/>
        <v>-8.6275000000000004E-2</v>
      </c>
      <c r="AN174" s="473">
        <f t="shared" ca="1" si="56"/>
        <v>-3.6900000000000002E-2</v>
      </c>
      <c r="AO174" s="473">
        <f t="shared" ca="1" si="56"/>
        <v>1.2475E-2</v>
      </c>
      <c r="AP174" s="473">
        <f t="shared" ca="1" si="56"/>
        <v>6.1850000000000002E-2</v>
      </c>
      <c r="AQ174" s="391">
        <f t="shared" ca="1" si="56"/>
        <v>0.111225</v>
      </c>
      <c r="AR174" s="473">
        <f t="shared" ca="1" si="56"/>
        <v>0.17394375000000001</v>
      </c>
      <c r="AS174" s="473">
        <f t="shared" ca="1" si="56"/>
        <v>0.2366625</v>
      </c>
      <c r="AT174" s="473">
        <f t="shared" ca="1" si="56"/>
        <v>0.29938124999999999</v>
      </c>
      <c r="AU174" s="391">
        <f t="shared" ca="1" si="56"/>
        <v>0.36209999999999998</v>
      </c>
      <c r="AV174" s="474"/>
      <c r="AW174" s="474"/>
      <c r="AX174" s="474"/>
      <c r="AY174" s="393"/>
    </row>
    <row r="175" spans="1:51" ht="15.75" customHeight="1" x14ac:dyDescent="0.2">
      <c r="A175" s="83"/>
      <c r="B175" s="389" t="s">
        <v>169</v>
      </c>
      <c r="C175" s="93"/>
      <c r="D175" s="390" t="str">
        <f t="shared" ref="D175:F175" ca="1" si="57">IFERROR(D173/#REF!-1,"NA")</f>
        <v>NA</v>
      </c>
      <c r="E175" s="390" t="str">
        <f t="shared" ca="1" si="57"/>
        <v>NA</v>
      </c>
      <c r="F175" s="390" t="str">
        <f t="shared" ca="1" si="57"/>
        <v>NA</v>
      </c>
      <c r="G175" s="391" t="str">
        <f t="shared" ref="G175:AU175" ca="1" si="58">IFERROR(G173/C173-1,"NA")</f>
        <v>NA</v>
      </c>
      <c r="H175" s="390">
        <f t="shared" ca="1" si="58"/>
        <v>-0.15591120289106863</v>
      </c>
      <c r="I175" s="390">
        <f t="shared" ca="1" si="58"/>
        <v>-0.16576527852893452</v>
      </c>
      <c r="J175" s="390">
        <f t="shared" ca="1" si="58"/>
        <v>-0.22088465845464722</v>
      </c>
      <c r="K175" s="391">
        <f t="shared" ca="1" si="58"/>
        <v>-0.24234393404004706</v>
      </c>
      <c r="L175" s="390">
        <f t="shared" ca="1" si="58"/>
        <v>-0.30550458715596329</v>
      </c>
      <c r="M175" s="390">
        <f t="shared" ca="1" si="58"/>
        <v>-0.36175040518638579</v>
      </c>
      <c r="N175" s="390">
        <f t="shared" ca="1" si="58"/>
        <v>-0.36794825727632052</v>
      </c>
      <c r="O175" s="391">
        <f t="shared" ca="1" si="58"/>
        <v>-0.44539448115040814</v>
      </c>
      <c r="P175" s="390">
        <f t="shared" ca="1" si="58"/>
        <v>-0.49053280493174811</v>
      </c>
      <c r="Q175" s="390">
        <f t="shared" ca="1" si="58"/>
        <v>-0.58583037074657185</v>
      </c>
      <c r="R175" s="390">
        <f t="shared" ca="1" si="58"/>
        <v>-0.65633882888004547</v>
      </c>
      <c r="S175" s="391">
        <f t="shared" ca="1" si="58"/>
        <v>-0.71548703573931327</v>
      </c>
      <c r="T175" s="390">
        <f t="shared" ca="1" si="58"/>
        <v>-0.85652549697493519</v>
      </c>
      <c r="U175" s="390">
        <f t="shared" ca="1" si="58"/>
        <v>-1.0018393623543838</v>
      </c>
      <c r="V175" s="390">
        <f t="shared" ca="1" si="58"/>
        <v>-1.3904052936311002</v>
      </c>
      <c r="W175" s="391">
        <f t="shared" ca="1" si="58"/>
        <v>-1.8768472906403941</v>
      </c>
      <c r="X175" s="390">
        <f t="shared" ca="1" si="58"/>
        <v>-3.8192771084337349</v>
      </c>
      <c r="Y175" s="390">
        <f t="shared" ca="1" si="58"/>
        <v>385.33333333333331</v>
      </c>
      <c r="Z175" s="390">
        <f t="shared" ca="1" si="58"/>
        <v>1.7987288135593222</v>
      </c>
      <c r="AA175" s="391">
        <f t="shared" ca="1" si="58"/>
        <v>1.1657303370786516</v>
      </c>
      <c r="AB175" s="390">
        <f t="shared" ca="1" si="58"/>
        <v>0.81837606837606836</v>
      </c>
      <c r="AC175" s="390">
        <f t="shared" ca="1" si="58"/>
        <v>0.55392579810181197</v>
      </c>
      <c r="AD175" s="390">
        <f t="shared" ca="1" si="58"/>
        <v>0.39212717638152905</v>
      </c>
      <c r="AE175" s="391">
        <f t="shared" ca="1" si="58"/>
        <v>0.2166018158236056</v>
      </c>
      <c r="AF175" s="390">
        <f t="shared" ca="1" si="58"/>
        <v>6.0663924794359669E-2</v>
      </c>
      <c r="AG175" s="390">
        <f t="shared" ca="1" si="58"/>
        <v>-3.7479178234314237E-2</v>
      </c>
      <c r="AH175" s="390">
        <f t="shared" ca="1" si="58"/>
        <v>-9.6927678085916291E-2</v>
      </c>
      <c r="AI175" s="391">
        <f t="shared" ca="1" si="58"/>
        <v>-0.15405117270788915</v>
      </c>
      <c r="AJ175" s="390">
        <f t="shared" ca="1" si="58"/>
        <v>-0.24509070765821905</v>
      </c>
      <c r="AK175" s="390">
        <f t="shared" ca="1" si="58"/>
        <v>-0.34317854052494956</v>
      </c>
      <c r="AL175" s="390">
        <f t="shared" ca="1" si="58"/>
        <v>-0.44940538913141648</v>
      </c>
      <c r="AM175" s="391">
        <f t="shared" ca="1" si="58"/>
        <v>-0.56509136735979837</v>
      </c>
      <c r="AN175" s="390">
        <f t="shared" ca="1" si="58"/>
        <v>-0.78338714411505728</v>
      </c>
      <c r="AO175" s="390">
        <f t="shared" ca="1" si="58"/>
        <v>-1.0876515018443702</v>
      </c>
      <c r="AP175" s="390">
        <f t="shared" ca="1" si="58"/>
        <v>-1.5411198600174978</v>
      </c>
      <c r="AQ175" s="391">
        <f t="shared" ca="1" si="58"/>
        <v>-2.289191538684439</v>
      </c>
      <c r="AR175" s="390">
        <f t="shared" ca="1" si="58"/>
        <v>-5.7139227642276422</v>
      </c>
      <c r="AS175" s="390">
        <f t="shared" ca="1" si="58"/>
        <v>17.970941883767534</v>
      </c>
      <c r="AT175" s="390">
        <f t="shared" ca="1" si="58"/>
        <v>3.8404405820533549</v>
      </c>
      <c r="AU175" s="391">
        <f t="shared" ca="1" si="58"/>
        <v>2.2555630478759272</v>
      </c>
      <c r="AV175" s="392"/>
      <c r="AW175" s="392"/>
      <c r="AX175" s="392"/>
      <c r="AY175" s="393"/>
    </row>
    <row r="176" spans="1:51" ht="15.75" customHeight="1" x14ac:dyDescent="0.2">
      <c r="A176" s="83"/>
      <c r="B176" s="39"/>
      <c r="C176" s="438"/>
      <c r="D176" s="439"/>
      <c r="E176" s="439"/>
      <c r="F176" s="439"/>
      <c r="G176" s="440"/>
      <c r="H176" s="439"/>
      <c r="I176" s="439"/>
      <c r="J176" s="439"/>
      <c r="K176" s="440"/>
      <c r="L176" s="439"/>
      <c r="M176" s="439"/>
      <c r="N176" s="439"/>
      <c r="O176" s="440"/>
      <c r="P176" s="439"/>
      <c r="Q176" s="439"/>
      <c r="R176" s="439"/>
      <c r="S176" s="440"/>
      <c r="T176" s="439"/>
      <c r="U176" s="439"/>
      <c r="V176" s="439"/>
      <c r="W176" s="440"/>
      <c r="X176" s="439"/>
      <c r="Y176" s="439"/>
      <c r="Z176" s="439"/>
      <c r="AA176" s="440"/>
      <c r="AB176" s="439"/>
      <c r="AC176" s="439"/>
      <c r="AD176" s="439"/>
      <c r="AE176" s="440"/>
      <c r="AF176" s="439"/>
      <c r="AG176" s="439"/>
      <c r="AH176" s="439"/>
      <c r="AI176" s="440"/>
      <c r="AJ176" s="439"/>
      <c r="AK176" s="439"/>
      <c r="AL176" s="439"/>
      <c r="AM176" s="440"/>
      <c r="AN176" s="439"/>
      <c r="AO176" s="439"/>
      <c r="AP176" s="439"/>
      <c r="AQ176" s="440"/>
      <c r="AR176" s="439"/>
      <c r="AS176" s="439"/>
      <c r="AT176" s="439"/>
      <c r="AU176" s="440"/>
      <c r="AV176" s="441"/>
      <c r="AW176" s="441"/>
      <c r="AX176" s="392"/>
      <c r="AY176" s="393"/>
    </row>
    <row r="177" spans="1:51" ht="15.75" customHeight="1" x14ac:dyDescent="0.2">
      <c r="A177" s="83"/>
      <c r="B177" s="458" t="s">
        <v>183</v>
      </c>
      <c r="C177" s="419"/>
      <c r="D177" s="432"/>
      <c r="E177" s="432"/>
      <c r="F177" s="433"/>
      <c r="G177" s="452">
        <f t="shared" ref="G177:AU177" ca="1" si="59">IFERROR(SUM(D172:G172)/G159,"NA")</f>
        <v>0</v>
      </c>
      <c r="H177" s="475">
        <f t="shared" ca="1" si="59"/>
        <v>0</v>
      </c>
      <c r="I177" s="475">
        <f t="shared" ca="1" si="59"/>
        <v>0</v>
      </c>
      <c r="J177" s="475">
        <f t="shared" ca="1" si="59"/>
        <v>0</v>
      </c>
      <c r="K177" s="452">
        <f t="shared" ca="1" si="59"/>
        <v>0</v>
      </c>
      <c r="L177" s="475">
        <f t="shared" ca="1" si="59"/>
        <v>0</v>
      </c>
      <c r="M177" s="475">
        <f t="shared" ca="1" si="59"/>
        <v>0</v>
      </c>
      <c r="N177" s="475">
        <f t="shared" ca="1" si="59"/>
        <v>0</v>
      </c>
      <c r="O177" s="452">
        <f t="shared" ca="1" si="59"/>
        <v>0</v>
      </c>
      <c r="P177" s="475">
        <f t="shared" ca="1" si="59"/>
        <v>0</v>
      </c>
      <c r="Q177" s="475">
        <f t="shared" ca="1" si="59"/>
        <v>0</v>
      </c>
      <c r="R177" s="475">
        <f t="shared" ca="1" si="59"/>
        <v>0</v>
      </c>
      <c r="S177" s="452">
        <f t="shared" ca="1" si="59"/>
        <v>0</v>
      </c>
      <c r="T177" s="475">
        <f t="shared" ca="1" si="59"/>
        <v>0</v>
      </c>
      <c r="U177" s="475">
        <f t="shared" ca="1" si="59"/>
        <v>0</v>
      </c>
      <c r="V177" s="475">
        <f t="shared" ca="1" si="59"/>
        <v>0</v>
      </c>
      <c r="W177" s="452">
        <f t="shared" ca="1" si="59"/>
        <v>0</v>
      </c>
      <c r="X177" s="475">
        <f t="shared" ca="1" si="59"/>
        <v>0</v>
      </c>
      <c r="Y177" s="475">
        <f t="shared" ca="1" si="59"/>
        <v>0</v>
      </c>
      <c r="Z177" s="475">
        <f t="shared" ca="1" si="59"/>
        <v>0</v>
      </c>
      <c r="AA177" s="452">
        <f t="shared" ca="1" si="59"/>
        <v>0</v>
      </c>
      <c r="AB177" s="475">
        <f t="shared" ca="1" si="59"/>
        <v>0</v>
      </c>
      <c r="AC177" s="475">
        <f t="shared" ca="1" si="59"/>
        <v>0</v>
      </c>
      <c r="AD177" s="475">
        <f t="shared" ca="1" si="59"/>
        <v>0</v>
      </c>
      <c r="AE177" s="452">
        <f t="shared" ca="1" si="59"/>
        <v>0</v>
      </c>
      <c r="AF177" s="475">
        <f t="shared" ca="1" si="59"/>
        <v>1.2500000000000001E-2</v>
      </c>
      <c r="AG177" s="475">
        <f t="shared" ca="1" si="59"/>
        <v>2.5000000000000001E-2</v>
      </c>
      <c r="AH177" s="475">
        <f t="shared" ca="1" si="59"/>
        <v>3.7499999999999999E-2</v>
      </c>
      <c r="AI177" s="452">
        <f t="shared" ca="1" si="59"/>
        <v>0.05</v>
      </c>
      <c r="AJ177" s="475">
        <f t="shared" ca="1" si="59"/>
        <v>6.7500000000000004E-2</v>
      </c>
      <c r="AK177" s="475">
        <f t="shared" ca="1" si="59"/>
        <v>8.5000000000000006E-2</v>
      </c>
      <c r="AL177" s="475">
        <f t="shared" ca="1" si="59"/>
        <v>0.10249999999999999</v>
      </c>
      <c r="AM177" s="452">
        <f t="shared" ca="1" si="59"/>
        <v>0.12</v>
      </c>
      <c r="AN177" s="475">
        <f t="shared" ca="1" si="59"/>
        <v>0.14000000000000001</v>
      </c>
      <c r="AO177" s="475">
        <f t="shared" ca="1" si="59"/>
        <v>0.16</v>
      </c>
      <c r="AP177" s="475">
        <f t="shared" ca="1" si="59"/>
        <v>0.18</v>
      </c>
      <c r="AQ177" s="452">
        <f t="shared" ca="1" si="59"/>
        <v>0.2</v>
      </c>
      <c r="AR177" s="475">
        <f t="shared" ca="1" si="59"/>
        <v>0.21249999999999999</v>
      </c>
      <c r="AS177" s="475">
        <f t="shared" ca="1" si="59"/>
        <v>0.22500000000000001</v>
      </c>
      <c r="AT177" s="475">
        <f t="shared" ca="1" si="59"/>
        <v>0.23749999999999999</v>
      </c>
      <c r="AU177" s="452">
        <f t="shared" ca="1" si="59"/>
        <v>0.25</v>
      </c>
      <c r="AV177" s="429"/>
      <c r="AW177" s="429"/>
      <c r="AX177" s="392"/>
      <c r="AY177" s="393"/>
    </row>
    <row r="178" spans="1:51" ht="15.75" customHeight="1" x14ac:dyDescent="0.2">
      <c r="A178" s="83"/>
      <c r="B178" s="458" t="s">
        <v>184</v>
      </c>
      <c r="C178" s="419"/>
      <c r="D178" s="436">
        <f t="shared" ref="D178:AU178" ca="1" si="60">IFERROR(D172/D159,"NA")</f>
        <v>0</v>
      </c>
      <c r="E178" s="436">
        <f t="shared" ca="1" si="60"/>
        <v>0</v>
      </c>
      <c r="F178" s="436">
        <f t="shared" ca="1" si="60"/>
        <v>0</v>
      </c>
      <c r="G178" s="437">
        <f t="shared" ca="1" si="60"/>
        <v>0</v>
      </c>
      <c r="H178" s="436">
        <f t="shared" ca="1" si="60"/>
        <v>0</v>
      </c>
      <c r="I178" s="436">
        <f t="shared" ca="1" si="60"/>
        <v>0</v>
      </c>
      <c r="J178" s="436">
        <f t="shared" ca="1" si="60"/>
        <v>0</v>
      </c>
      <c r="K178" s="437">
        <f t="shared" ca="1" si="60"/>
        <v>0</v>
      </c>
      <c r="L178" s="450">
        <f t="shared" ca="1" si="60"/>
        <v>0</v>
      </c>
      <c r="M178" s="436">
        <f t="shared" ca="1" si="60"/>
        <v>0</v>
      </c>
      <c r="N178" s="436">
        <f t="shared" ca="1" si="60"/>
        <v>0</v>
      </c>
      <c r="O178" s="437">
        <f t="shared" ca="1" si="60"/>
        <v>0</v>
      </c>
      <c r="P178" s="450">
        <f t="shared" ca="1" si="60"/>
        <v>0</v>
      </c>
      <c r="Q178" s="436">
        <f t="shared" ca="1" si="60"/>
        <v>0</v>
      </c>
      <c r="R178" s="435">
        <f t="shared" ca="1" si="60"/>
        <v>0</v>
      </c>
      <c r="S178" s="437">
        <f t="shared" ca="1" si="60"/>
        <v>0</v>
      </c>
      <c r="T178" s="450">
        <f t="shared" ca="1" si="60"/>
        <v>0</v>
      </c>
      <c r="U178" s="436">
        <f t="shared" ca="1" si="60"/>
        <v>0</v>
      </c>
      <c r="V178" s="435">
        <f t="shared" ca="1" si="60"/>
        <v>0</v>
      </c>
      <c r="W178" s="437">
        <f t="shared" ca="1" si="60"/>
        <v>0</v>
      </c>
      <c r="X178" s="450">
        <f t="shared" ca="1" si="60"/>
        <v>0</v>
      </c>
      <c r="Y178" s="436">
        <f t="shared" ca="1" si="60"/>
        <v>0</v>
      </c>
      <c r="Z178" s="435">
        <f t="shared" ca="1" si="60"/>
        <v>0</v>
      </c>
      <c r="AA178" s="437">
        <f t="shared" ca="1" si="60"/>
        <v>0</v>
      </c>
      <c r="AB178" s="450">
        <f t="shared" ca="1" si="60"/>
        <v>0</v>
      </c>
      <c r="AC178" s="436">
        <f t="shared" ca="1" si="60"/>
        <v>0</v>
      </c>
      <c r="AD178" s="435">
        <f t="shared" ca="1" si="60"/>
        <v>0</v>
      </c>
      <c r="AE178" s="437">
        <f t="shared" ca="1" si="60"/>
        <v>0</v>
      </c>
      <c r="AF178" s="450">
        <f t="shared" ca="1" si="60"/>
        <v>1.2500000000000001E-2</v>
      </c>
      <c r="AG178" s="436">
        <f t="shared" ca="1" si="60"/>
        <v>1.2500000000000001E-2</v>
      </c>
      <c r="AH178" s="435">
        <f t="shared" ca="1" si="60"/>
        <v>1.2500000000000001E-2</v>
      </c>
      <c r="AI178" s="437">
        <f t="shared" ca="1" si="60"/>
        <v>1.2500000000000001E-2</v>
      </c>
      <c r="AJ178" s="450">
        <f t="shared" ca="1" si="60"/>
        <v>0.03</v>
      </c>
      <c r="AK178" s="436">
        <f t="shared" ca="1" si="60"/>
        <v>0.03</v>
      </c>
      <c r="AL178" s="435">
        <f t="shared" ca="1" si="60"/>
        <v>0.03</v>
      </c>
      <c r="AM178" s="437">
        <f t="shared" ca="1" si="60"/>
        <v>0.03</v>
      </c>
      <c r="AN178" s="450">
        <f t="shared" ca="1" si="60"/>
        <v>0.05</v>
      </c>
      <c r="AO178" s="436">
        <f t="shared" ca="1" si="60"/>
        <v>0.05</v>
      </c>
      <c r="AP178" s="435">
        <f t="shared" ca="1" si="60"/>
        <v>0.05</v>
      </c>
      <c r="AQ178" s="437">
        <f t="shared" ca="1" si="60"/>
        <v>0.05</v>
      </c>
      <c r="AR178" s="450">
        <f t="shared" ca="1" si="60"/>
        <v>6.25E-2</v>
      </c>
      <c r="AS178" s="436">
        <f t="shared" ca="1" si="60"/>
        <v>6.25E-2</v>
      </c>
      <c r="AT178" s="435">
        <f t="shared" ca="1" si="60"/>
        <v>6.25E-2</v>
      </c>
      <c r="AU178" s="437">
        <f t="shared" ca="1" si="60"/>
        <v>6.25E-2</v>
      </c>
      <c r="AV178" s="429"/>
      <c r="AW178" s="429"/>
      <c r="AX178" s="392"/>
      <c r="AY178" s="393"/>
    </row>
    <row r="179" spans="1:51" ht="15.75" customHeight="1" x14ac:dyDescent="0.2">
      <c r="A179" s="83"/>
      <c r="B179" s="458" t="s">
        <v>196</v>
      </c>
      <c r="C179" s="419"/>
      <c r="D179" s="436">
        <f t="shared" ref="D179:AU179" ca="1" si="61">IFERROR(D178*4,"NA")</f>
        <v>0</v>
      </c>
      <c r="E179" s="436">
        <f t="shared" ca="1" si="61"/>
        <v>0</v>
      </c>
      <c r="F179" s="436">
        <f t="shared" ca="1" si="61"/>
        <v>0</v>
      </c>
      <c r="G179" s="437">
        <f t="shared" ca="1" si="61"/>
        <v>0</v>
      </c>
      <c r="H179" s="436">
        <f t="shared" ca="1" si="61"/>
        <v>0</v>
      </c>
      <c r="I179" s="436">
        <f t="shared" ca="1" si="61"/>
        <v>0</v>
      </c>
      <c r="J179" s="436">
        <f t="shared" ca="1" si="61"/>
        <v>0</v>
      </c>
      <c r="K179" s="437">
        <f t="shared" ca="1" si="61"/>
        <v>0</v>
      </c>
      <c r="L179" s="450">
        <f t="shared" ca="1" si="61"/>
        <v>0</v>
      </c>
      <c r="M179" s="436">
        <f t="shared" ca="1" si="61"/>
        <v>0</v>
      </c>
      <c r="N179" s="436">
        <f t="shared" ca="1" si="61"/>
        <v>0</v>
      </c>
      <c r="O179" s="437">
        <f t="shared" ca="1" si="61"/>
        <v>0</v>
      </c>
      <c r="P179" s="450">
        <f t="shared" ca="1" si="61"/>
        <v>0</v>
      </c>
      <c r="Q179" s="436">
        <f t="shared" ca="1" si="61"/>
        <v>0</v>
      </c>
      <c r="R179" s="435">
        <f t="shared" ca="1" si="61"/>
        <v>0</v>
      </c>
      <c r="S179" s="437">
        <f t="shared" ca="1" si="61"/>
        <v>0</v>
      </c>
      <c r="T179" s="450">
        <f t="shared" ca="1" si="61"/>
        <v>0</v>
      </c>
      <c r="U179" s="436">
        <f t="shared" ca="1" si="61"/>
        <v>0</v>
      </c>
      <c r="V179" s="435">
        <f t="shared" ca="1" si="61"/>
        <v>0</v>
      </c>
      <c r="W179" s="437">
        <f t="shared" ca="1" si="61"/>
        <v>0</v>
      </c>
      <c r="X179" s="450">
        <f t="shared" ca="1" si="61"/>
        <v>0</v>
      </c>
      <c r="Y179" s="436">
        <f t="shared" ca="1" si="61"/>
        <v>0</v>
      </c>
      <c r="Z179" s="435">
        <f t="shared" ca="1" si="61"/>
        <v>0</v>
      </c>
      <c r="AA179" s="437">
        <f t="shared" ca="1" si="61"/>
        <v>0</v>
      </c>
      <c r="AB179" s="450">
        <f t="shared" ca="1" si="61"/>
        <v>0</v>
      </c>
      <c r="AC179" s="436">
        <f t="shared" ca="1" si="61"/>
        <v>0</v>
      </c>
      <c r="AD179" s="435">
        <f t="shared" ca="1" si="61"/>
        <v>0</v>
      </c>
      <c r="AE179" s="437">
        <f t="shared" ca="1" si="61"/>
        <v>0</v>
      </c>
      <c r="AF179" s="450">
        <f t="shared" ca="1" si="61"/>
        <v>0.05</v>
      </c>
      <c r="AG179" s="436">
        <f t="shared" ca="1" si="61"/>
        <v>0.05</v>
      </c>
      <c r="AH179" s="435">
        <f t="shared" ca="1" si="61"/>
        <v>0.05</v>
      </c>
      <c r="AI179" s="437">
        <f t="shared" ca="1" si="61"/>
        <v>0.05</v>
      </c>
      <c r="AJ179" s="450">
        <f t="shared" ca="1" si="61"/>
        <v>0.12</v>
      </c>
      <c r="AK179" s="436">
        <f t="shared" ca="1" si="61"/>
        <v>0.12</v>
      </c>
      <c r="AL179" s="435">
        <f t="shared" ca="1" si="61"/>
        <v>0.12</v>
      </c>
      <c r="AM179" s="437">
        <f t="shared" ca="1" si="61"/>
        <v>0.12</v>
      </c>
      <c r="AN179" s="450">
        <f t="shared" ca="1" si="61"/>
        <v>0.2</v>
      </c>
      <c r="AO179" s="436">
        <f t="shared" ca="1" si="61"/>
        <v>0.2</v>
      </c>
      <c r="AP179" s="435">
        <f t="shared" ca="1" si="61"/>
        <v>0.2</v>
      </c>
      <c r="AQ179" s="437">
        <f t="shared" ca="1" si="61"/>
        <v>0.2</v>
      </c>
      <c r="AR179" s="450">
        <f t="shared" ca="1" si="61"/>
        <v>0.25</v>
      </c>
      <c r="AS179" s="436">
        <f t="shared" ca="1" si="61"/>
        <v>0.25</v>
      </c>
      <c r="AT179" s="435">
        <f t="shared" ca="1" si="61"/>
        <v>0.25</v>
      </c>
      <c r="AU179" s="437">
        <f t="shared" ca="1" si="61"/>
        <v>0.25</v>
      </c>
      <c r="AV179" s="429"/>
      <c r="AW179" s="429"/>
      <c r="AX179" s="392"/>
      <c r="AY179" s="393"/>
    </row>
    <row r="180" spans="1:51" ht="15.75" customHeight="1" x14ac:dyDescent="0.2">
      <c r="A180" s="83"/>
      <c r="B180" s="458" t="s">
        <v>185</v>
      </c>
      <c r="C180" s="419"/>
      <c r="D180" s="435">
        <f t="shared" ref="D180:AU180" ca="1" si="62">IFERROR(SUM($D172:D172)/D159,"NA")</f>
        <v>0</v>
      </c>
      <c r="E180" s="435">
        <f t="shared" ca="1" si="62"/>
        <v>0</v>
      </c>
      <c r="F180" s="435">
        <f t="shared" ca="1" si="62"/>
        <v>0</v>
      </c>
      <c r="G180" s="434">
        <f t="shared" ca="1" si="62"/>
        <v>0</v>
      </c>
      <c r="H180" s="435">
        <f t="shared" ca="1" si="62"/>
        <v>0</v>
      </c>
      <c r="I180" s="435">
        <f t="shared" ca="1" si="62"/>
        <v>0</v>
      </c>
      <c r="J180" s="435">
        <f t="shared" ca="1" si="62"/>
        <v>0</v>
      </c>
      <c r="K180" s="434">
        <f t="shared" ca="1" si="62"/>
        <v>0</v>
      </c>
      <c r="L180" s="450">
        <f t="shared" ca="1" si="62"/>
        <v>0</v>
      </c>
      <c r="M180" s="435">
        <f t="shared" ca="1" si="62"/>
        <v>0</v>
      </c>
      <c r="N180" s="435">
        <f t="shared" ca="1" si="62"/>
        <v>0</v>
      </c>
      <c r="O180" s="437">
        <f t="shared" ca="1" si="62"/>
        <v>0</v>
      </c>
      <c r="P180" s="450">
        <f t="shared" ca="1" si="62"/>
        <v>0</v>
      </c>
      <c r="Q180" s="435">
        <f t="shared" ca="1" si="62"/>
        <v>0</v>
      </c>
      <c r="R180" s="435">
        <f t="shared" ca="1" si="62"/>
        <v>0</v>
      </c>
      <c r="S180" s="437">
        <f t="shared" ca="1" si="62"/>
        <v>0</v>
      </c>
      <c r="T180" s="450">
        <f t="shared" ca="1" si="62"/>
        <v>0</v>
      </c>
      <c r="U180" s="435">
        <f t="shared" ca="1" si="62"/>
        <v>0</v>
      </c>
      <c r="V180" s="435">
        <f t="shared" ca="1" si="62"/>
        <v>0</v>
      </c>
      <c r="W180" s="437">
        <f t="shared" ca="1" si="62"/>
        <v>0</v>
      </c>
      <c r="X180" s="450">
        <f t="shared" ca="1" si="62"/>
        <v>0</v>
      </c>
      <c r="Y180" s="435">
        <f t="shared" ca="1" si="62"/>
        <v>0</v>
      </c>
      <c r="Z180" s="435">
        <f t="shared" ca="1" si="62"/>
        <v>0</v>
      </c>
      <c r="AA180" s="437">
        <f t="shared" ca="1" si="62"/>
        <v>0</v>
      </c>
      <c r="AB180" s="450">
        <f t="shared" ca="1" si="62"/>
        <v>0</v>
      </c>
      <c r="AC180" s="435">
        <f t="shared" ca="1" si="62"/>
        <v>0</v>
      </c>
      <c r="AD180" s="435">
        <f t="shared" ca="1" si="62"/>
        <v>0</v>
      </c>
      <c r="AE180" s="437">
        <f t="shared" ca="1" si="62"/>
        <v>0</v>
      </c>
      <c r="AF180" s="450">
        <f t="shared" ca="1" si="62"/>
        <v>1.2500000000000001E-2</v>
      </c>
      <c r="AG180" s="435">
        <f t="shared" ca="1" si="62"/>
        <v>2.5000000000000001E-2</v>
      </c>
      <c r="AH180" s="435">
        <f t="shared" ca="1" si="62"/>
        <v>3.7499999999999999E-2</v>
      </c>
      <c r="AI180" s="437">
        <f t="shared" ca="1" si="62"/>
        <v>0.05</v>
      </c>
      <c r="AJ180" s="450">
        <f t="shared" ca="1" si="62"/>
        <v>0.08</v>
      </c>
      <c r="AK180" s="435">
        <f t="shared" ca="1" si="62"/>
        <v>0.11</v>
      </c>
      <c r="AL180" s="435">
        <f t="shared" ca="1" si="62"/>
        <v>0.14000000000000001</v>
      </c>
      <c r="AM180" s="437">
        <f t="shared" ca="1" si="62"/>
        <v>0.17</v>
      </c>
      <c r="AN180" s="450">
        <f t="shared" ca="1" si="62"/>
        <v>0.22</v>
      </c>
      <c r="AO180" s="435">
        <f t="shared" ca="1" si="62"/>
        <v>0.27</v>
      </c>
      <c r="AP180" s="435">
        <f t="shared" ca="1" si="62"/>
        <v>0.32</v>
      </c>
      <c r="AQ180" s="437">
        <f t="shared" ca="1" si="62"/>
        <v>0.37</v>
      </c>
      <c r="AR180" s="450">
        <f t="shared" ca="1" si="62"/>
        <v>0.4325</v>
      </c>
      <c r="AS180" s="435">
        <f t="shared" ca="1" si="62"/>
        <v>0.495</v>
      </c>
      <c r="AT180" s="435">
        <f t="shared" ca="1" si="62"/>
        <v>0.5575</v>
      </c>
      <c r="AU180" s="437">
        <f t="shared" ca="1" si="62"/>
        <v>0.62</v>
      </c>
      <c r="AV180" s="429"/>
      <c r="AW180" s="429"/>
      <c r="AX180" s="392"/>
      <c r="AY180" s="393"/>
    </row>
    <row r="181" spans="1:51" ht="15.75" customHeight="1" x14ac:dyDescent="0.2">
      <c r="A181" s="83"/>
      <c r="B181" s="39"/>
      <c r="C181" s="438"/>
      <c r="D181" s="439"/>
      <c r="E181" s="439"/>
      <c r="F181" s="439"/>
      <c r="G181" s="440"/>
      <c r="H181" s="439"/>
      <c r="I181" s="439"/>
      <c r="J181" s="439"/>
      <c r="K181" s="440"/>
      <c r="L181" s="439"/>
      <c r="M181" s="439"/>
      <c r="N181" s="439"/>
      <c r="O181" s="440"/>
      <c r="P181" s="439"/>
      <c r="Q181" s="439"/>
      <c r="R181" s="439"/>
      <c r="S181" s="440"/>
      <c r="T181" s="439"/>
      <c r="U181" s="439"/>
      <c r="V181" s="439"/>
      <c r="W181" s="440"/>
      <c r="X181" s="439"/>
      <c r="Y181" s="439"/>
      <c r="Z181" s="439"/>
      <c r="AA181" s="440"/>
      <c r="AB181" s="439"/>
      <c r="AC181" s="439"/>
      <c r="AD181" s="439"/>
      <c r="AE181" s="440"/>
      <c r="AF181" s="439"/>
      <c r="AG181" s="439"/>
      <c r="AH181" s="439"/>
      <c r="AI181" s="440"/>
      <c r="AJ181" s="439"/>
      <c r="AK181" s="439"/>
      <c r="AL181" s="439"/>
      <c r="AM181" s="440"/>
      <c r="AN181" s="439"/>
      <c r="AO181" s="439"/>
      <c r="AP181" s="439"/>
      <c r="AQ181" s="440"/>
      <c r="AR181" s="439"/>
      <c r="AS181" s="439"/>
      <c r="AT181" s="439"/>
      <c r="AU181" s="440"/>
      <c r="AV181" s="441"/>
      <c r="AW181" s="441"/>
      <c r="AX181" s="392"/>
      <c r="AY181" s="393"/>
    </row>
    <row r="182" spans="1:51" ht="15.75" customHeight="1" x14ac:dyDescent="0.2">
      <c r="A182" s="83" t="s">
        <v>30</v>
      </c>
      <c r="B182" s="39" t="s">
        <v>197</v>
      </c>
      <c r="C182" s="438"/>
      <c r="D182" s="439"/>
      <c r="E182" s="439"/>
      <c r="F182" s="439"/>
      <c r="G182" s="440"/>
      <c r="H182" s="439"/>
      <c r="I182" s="439"/>
      <c r="J182" s="439"/>
      <c r="K182" s="440"/>
      <c r="L182" s="439"/>
      <c r="M182" s="439"/>
      <c r="N182" s="439"/>
      <c r="O182" s="440"/>
      <c r="P182" s="439"/>
      <c r="Q182" s="439"/>
      <c r="R182" s="439"/>
      <c r="S182" s="440"/>
      <c r="T182" s="439"/>
      <c r="U182" s="439"/>
      <c r="V182" s="439"/>
      <c r="W182" s="440"/>
      <c r="X182" s="439"/>
      <c r="Y182" s="439"/>
      <c r="Z182" s="439"/>
      <c r="AA182" s="440"/>
      <c r="AB182" s="439"/>
      <c r="AC182" s="439"/>
      <c r="AD182" s="439"/>
      <c r="AE182" s="440"/>
      <c r="AF182" s="439"/>
      <c r="AG182" s="439"/>
      <c r="AH182" s="439"/>
      <c r="AI182" s="440"/>
      <c r="AJ182" s="439"/>
      <c r="AK182" s="439"/>
      <c r="AL182" s="439"/>
      <c r="AM182" s="440"/>
      <c r="AN182" s="439"/>
      <c r="AO182" s="439"/>
      <c r="AP182" s="439"/>
      <c r="AQ182" s="440"/>
      <c r="AR182" s="439"/>
      <c r="AS182" s="439"/>
      <c r="AT182" s="439"/>
      <c r="AU182" s="440"/>
      <c r="AV182" s="441"/>
      <c r="AW182" s="441"/>
      <c r="AX182" s="392"/>
      <c r="AY182" s="393"/>
    </row>
    <row r="183" spans="1:51" ht="15.75" customHeight="1" x14ac:dyDescent="0.2">
      <c r="A183" s="83"/>
      <c r="B183" s="476" t="str">
        <f t="shared" ref="B183:B186" si="63">B156</f>
        <v>Returns</v>
      </c>
      <c r="C183" s="438"/>
      <c r="D183" s="439"/>
      <c r="E183" s="439"/>
      <c r="F183" s="439"/>
      <c r="G183" s="440"/>
      <c r="H183" s="439"/>
      <c r="I183" s="439"/>
      <c r="J183" s="439"/>
      <c r="K183" s="440"/>
      <c r="L183" s="439"/>
      <c r="M183" s="439"/>
      <c r="N183" s="439"/>
      <c r="O183" s="440"/>
      <c r="P183" s="439"/>
      <c r="Q183" s="439"/>
      <c r="R183" s="439"/>
      <c r="S183" s="440"/>
      <c r="T183" s="439"/>
      <c r="U183" s="439"/>
      <c r="V183" s="439"/>
      <c r="W183" s="440"/>
      <c r="X183" s="439"/>
      <c r="Y183" s="439"/>
      <c r="Z183" s="439"/>
      <c r="AA183" s="440"/>
      <c r="AB183" s="439"/>
      <c r="AC183" s="439"/>
      <c r="AD183" s="439"/>
      <c r="AE183" s="440"/>
      <c r="AF183" s="439"/>
      <c r="AG183" s="439"/>
      <c r="AH183" s="439"/>
      <c r="AI183" s="440"/>
      <c r="AJ183" s="439"/>
      <c r="AK183" s="439"/>
      <c r="AL183" s="439"/>
      <c r="AM183" s="440"/>
      <c r="AN183" s="439"/>
      <c r="AO183" s="439"/>
      <c r="AP183" s="439"/>
      <c r="AQ183" s="440"/>
      <c r="AR183" s="439"/>
      <c r="AS183" s="439"/>
      <c r="AT183" s="439"/>
      <c r="AU183" s="440"/>
      <c r="AV183" s="441"/>
      <c r="AW183" s="441"/>
      <c r="AX183" s="441"/>
      <c r="AY183" s="442"/>
    </row>
    <row r="184" spans="1:51" ht="15.75" customHeight="1" x14ac:dyDescent="0.2">
      <c r="A184" s="3"/>
      <c r="B184" s="396" t="str">
        <f t="shared" si="63"/>
        <v>Year</v>
      </c>
      <c r="C184" s="438"/>
      <c r="D184" s="330">
        <f t="shared" ref="D184:AU184" si="64">D157</f>
        <v>0</v>
      </c>
      <c r="E184" s="330">
        <f t="shared" si="64"/>
        <v>0</v>
      </c>
      <c r="F184" s="330">
        <f t="shared" si="64"/>
        <v>0</v>
      </c>
      <c r="G184" s="446">
        <f t="shared" si="64"/>
        <v>0</v>
      </c>
      <c r="H184" s="330">
        <f t="shared" si="64"/>
        <v>1</v>
      </c>
      <c r="I184" s="330">
        <f t="shared" si="64"/>
        <v>1</v>
      </c>
      <c r="J184" s="330">
        <f t="shared" si="64"/>
        <v>1</v>
      </c>
      <c r="K184" s="446">
        <f t="shared" si="64"/>
        <v>1</v>
      </c>
      <c r="L184" s="330">
        <f t="shared" si="64"/>
        <v>2</v>
      </c>
      <c r="M184" s="330">
        <f t="shared" si="64"/>
        <v>2</v>
      </c>
      <c r="N184" s="330">
        <f t="shared" si="64"/>
        <v>2</v>
      </c>
      <c r="O184" s="446">
        <f t="shared" si="64"/>
        <v>2</v>
      </c>
      <c r="P184" s="330">
        <f t="shared" si="64"/>
        <v>3</v>
      </c>
      <c r="Q184" s="330">
        <f t="shared" si="64"/>
        <v>3</v>
      </c>
      <c r="R184" s="330">
        <f t="shared" si="64"/>
        <v>3</v>
      </c>
      <c r="S184" s="446">
        <f t="shared" si="64"/>
        <v>3</v>
      </c>
      <c r="T184" s="330">
        <f t="shared" si="64"/>
        <v>4</v>
      </c>
      <c r="U184" s="330">
        <f t="shared" si="64"/>
        <v>4</v>
      </c>
      <c r="V184" s="330">
        <f t="shared" si="64"/>
        <v>4</v>
      </c>
      <c r="W184" s="446">
        <f t="shared" si="64"/>
        <v>4</v>
      </c>
      <c r="X184" s="330">
        <f t="shared" si="64"/>
        <v>5</v>
      </c>
      <c r="Y184" s="330">
        <f t="shared" si="64"/>
        <v>5</v>
      </c>
      <c r="Z184" s="330">
        <f t="shared" si="64"/>
        <v>5</v>
      </c>
      <c r="AA184" s="446">
        <f t="shared" si="64"/>
        <v>5</v>
      </c>
      <c r="AB184" s="330">
        <f t="shared" si="64"/>
        <v>6</v>
      </c>
      <c r="AC184" s="330">
        <f t="shared" si="64"/>
        <v>6</v>
      </c>
      <c r="AD184" s="330">
        <f t="shared" si="64"/>
        <v>6</v>
      </c>
      <c r="AE184" s="446">
        <f t="shared" si="64"/>
        <v>6</v>
      </c>
      <c r="AF184" s="330">
        <f t="shared" si="64"/>
        <v>7</v>
      </c>
      <c r="AG184" s="330">
        <f t="shared" si="64"/>
        <v>7</v>
      </c>
      <c r="AH184" s="330">
        <f t="shared" si="64"/>
        <v>7</v>
      </c>
      <c r="AI184" s="446">
        <f t="shared" si="64"/>
        <v>7</v>
      </c>
      <c r="AJ184" s="330">
        <f t="shared" si="64"/>
        <v>8</v>
      </c>
      <c r="AK184" s="330">
        <f t="shared" si="64"/>
        <v>8</v>
      </c>
      <c r="AL184" s="330">
        <f t="shared" si="64"/>
        <v>8</v>
      </c>
      <c r="AM184" s="446">
        <f t="shared" si="64"/>
        <v>8</v>
      </c>
      <c r="AN184" s="330">
        <f t="shared" si="64"/>
        <v>9</v>
      </c>
      <c r="AO184" s="330">
        <f t="shared" si="64"/>
        <v>9</v>
      </c>
      <c r="AP184" s="330">
        <f t="shared" si="64"/>
        <v>9</v>
      </c>
      <c r="AQ184" s="446">
        <f t="shared" si="64"/>
        <v>9</v>
      </c>
      <c r="AR184" s="330">
        <f t="shared" si="64"/>
        <v>10</v>
      </c>
      <c r="AS184" s="330">
        <f t="shared" si="64"/>
        <v>10</v>
      </c>
      <c r="AT184" s="330">
        <f t="shared" si="64"/>
        <v>10</v>
      </c>
      <c r="AU184" s="446">
        <f t="shared" si="64"/>
        <v>10</v>
      </c>
      <c r="AV184" s="447"/>
      <c r="AW184" s="447"/>
      <c r="AX184" s="447"/>
      <c r="AY184" s="448"/>
    </row>
    <row r="185" spans="1:51" ht="15.75" customHeight="1" x14ac:dyDescent="0.2">
      <c r="A185" s="3"/>
      <c r="B185" s="396" t="str">
        <f t="shared" si="63"/>
        <v>Invested capital</v>
      </c>
      <c r="C185" s="438"/>
      <c r="D185" s="330">
        <f t="shared" ref="D185:AU185" ca="1" si="65">D158</f>
        <v>2500000</v>
      </c>
      <c r="E185" s="330">
        <f t="shared" ca="1" si="65"/>
        <v>3750000</v>
      </c>
      <c r="F185" s="330">
        <f t="shared" ca="1" si="65"/>
        <v>2500000</v>
      </c>
      <c r="G185" s="446">
        <f t="shared" ca="1" si="65"/>
        <v>3750000</v>
      </c>
      <c r="H185" s="330">
        <f t="shared" ca="1" si="65"/>
        <v>2500000</v>
      </c>
      <c r="I185" s="330">
        <f t="shared" ca="1" si="65"/>
        <v>3975000</v>
      </c>
      <c r="J185" s="330">
        <f t="shared" ca="1" si="65"/>
        <v>6900000</v>
      </c>
      <c r="K185" s="446">
        <f t="shared" ca="1" si="65"/>
        <v>4600000</v>
      </c>
      <c r="L185" s="330">
        <f t="shared" ca="1" si="65"/>
        <v>6900000</v>
      </c>
      <c r="M185" s="330">
        <f t="shared" ca="1" si="65"/>
        <v>6900000</v>
      </c>
      <c r="N185" s="330">
        <f t="shared" ca="1" si="65"/>
        <v>4600000</v>
      </c>
      <c r="O185" s="446">
        <f t="shared" ca="1" si="65"/>
        <v>7650000</v>
      </c>
      <c r="P185" s="330">
        <f t="shared" ca="1" si="65"/>
        <v>6100000</v>
      </c>
      <c r="Q185" s="330">
        <f t="shared" ca="1" si="65"/>
        <v>7900000</v>
      </c>
      <c r="R185" s="330">
        <f t="shared" ca="1" si="65"/>
        <v>4650000</v>
      </c>
      <c r="S185" s="446">
        <f t="shared" ca="1" si="65"/>
        <v>4350000</v>
      </c>
      <c r="T185" s="330">
        <f t="shared" ca="1" si="65"/>
        <v>5400000</v>
      </c>
      <c r="U185" s="330">
        <f t="shared" ca="1" si="65"/>
        <v>3600000</v>
      </c>
      <c r="V185" s="330">
        <f t="shared" ca="1" si="65"/>
        <v>5287500</v>
      </c>
      <c r="W185" s="446">
        <f t="shared" ca="1" si="65"/>
        <v>2437500</v>
      </c>
      <c r="X185" s="330">
        <f t="shared" ca="1" si="65"/>
        <v>2250000</v>
      </c>
      <c r="Y185" s="330">
        <f t="shared" ca="1" si="65"/>
        <v>2250000</v>
      </c>
      <c r="Z185" s="330">
        <f t="shared" ca="1" si="65"/>
        <v>1500000</v>
      </c>
      <c r="AA185" s="446">
        <f t="shared" ca="1" si="65"/>
        <v>2250000</v>
      </c>
      <c r="AB185" s="330">
        <f t="shared" ca="1" si="65"/>
        <v>1500000</v>
      </c>
      <c r="AC185" s="330">
        <f t="shared" ca="1" si="65"/>
        <v>750000</v>
      </c>
      <c r="AD185" s="330">
        <f t="shared" ca="1" si="65"/>
        <v>0</v>
      </c>
      <c r="AE185" s="446">
        <f t="shared" ca="1" si="65"/>
        <v>0</v>
      </c>
      <c r="AF185" s="330">
        <f t="shared" ca="1" si="65"/>
        <v>0</v>
      </c>
      <c r="AG185" s="330">
        <f t="shared" ca="1" si="65"/>
        <v>0</v>
      </c>
      <c r="AH185" s="330">
        <f t="shared" ca="1" si="65"/>
        <v>0</v>
      </c>
      <c r="AI185" s="446">
        <f t="shared" ca="1" si="65"/>
        <v>0</v>
      </c>
      <c r="AJ185" s="330">
        <f t="shared" ca="1" si="65"/>
        <v>0</v>
      </c>
      <c r="AK185" s="330">
        <f t="shared" ca="1" si="65"/>
        <v>0</v>
      </c>
      <c r="AL185" s="330">
        <f t="shared" ca="1" si="65"/>
        <v>0</v>
      </c>
      <c r="AM185" s="446">
        <f t="shared" ca="1" si="65"/>
        <v>0</v>
      </c>
      <c r="AN185" s="330">
        <f t="shared" ca="1" si="65"/>
        <v>0</v>
      </c>
      <c r="AO185" s="330">
        <f t="shared" ca="1" si="65"/>
        <v>0</v>
      </c>
      <c r="AP185" s="330">
        <f t="shared" ca="1" si="65"/>
        <v>0</v>
      </c>
      <c r="AQ185" s="446">
        <f t="shared" ca="1" si="65"/>
        <v>0</v>
      </c>
      <c r="AR185" s="330">
        <f t="shared" ca="1" si="65"/>
        <v>0</v>
      </c>
      <c r="AS185" s="330">
        <f t="shared" ca="1" si="65"/>
        <v>0</v>
      </c>
      <c r="AT185" s="330">
        <f t="shared" ca="1" si="65"/>
        <v>0</v>
      </c>
      <c r="AU185" s="446">
        <f t="shared" ca="1" si="65"/>
        <v>0</v>
      </c>
      <c r="AV185" s="447"/>
      <c r="AW185" s="447"/>
      <c r="AX185" s="447"/>
      <c r="AY185" s="448"/>
    </row>
    <row r="186" spans="1:51" ht="15.75" customHeight="1" x14ac:dyDescent="0.2">
      <c r="A186" s="3"/>
      <c r="B186" s="396" t="str">
        <f t="shared" si="63"/>
        <v>Cumulative invested capital</v>
      </c>
      <c r="C186" s="438"/>
      <c r="D186" s="330">
        <f ca="1">SUM(D185)</f>
        <v>2500000</v>
      </c>
      <c r="E186" s="330">
        <f t="shared" ref="E186:AU186" ca="1" si="66">SUM($D185:E185)</f>
        <v>6250000</v>
      </c>
      <c r="F186" s="330">
        <f t="shared" ca="1" si="66"/>
        <v>8750000</v>
      </c>
      <c r="G186" s="446">
        <f t="shared" ca="1" si="66"/>
        <v>12500000</v>
      </c>
      <c r="H186" s="330">
        <f t="shared" ca="1" si="66"/>
        <v>15000000</v>
      </c>
      <c r="I186" s="330">
        <f t="shared" ca="1" si="66"/>
        <v>18975000</v>
      </c>
      <c r="J186" s="330">
        <f t="shared" ca="1" si="66"/>
        <v>25875000</v>
      </c>
      <c r="K186" s="446">
        <f t="shared" ca="1" si="66"/>
        <v>30475000</v>
      </c>
      <c r="L186" s="330">
        <f t="shared" ca="1" si="66"/>
        <v>37375000</v>
      </c>
      <c r="M186" s="330">
        <f t="shared" ca="1" si="66"/>
        <v>44275000</v>
      </c>
      <c r="N186" s="330">
        <f t="shared" ca="1" si="66"/>
        <v>48875000</v>
      </c>
      <c r="O186" s="446">
        <f t="shared" ca="1" si="66"/>
        <v>56525000</v>
      </c>
      <c r="P186" s="330">
        <f t="shared" ca="1" si="66"/>
        <v>62625000</v>
      </c>
      <c r="Q186" s="330">
        <f t="shared" ca="1" si="66"/>
        <v>70525000</v>
      </c>
      <c r="R186" s="330">
        <f t="shared" ca="1" si="66"/>
        <v>75175000</v>
      </c>
      <c r="S186" s="446">
        <f t="shared" ca="1" si="66"/>
        <v>79525000</v>
      </c>
      <c r="T186" s="330">
        <f t="shared" ca="1" si="66"/>
        <v>84925000</v>
      </c>
      <c r="U186" s="330">
        <f t="shared" ca="1" si="66"/>
        <v>88525000</v>
      </c>
      <c r="V186" s="330">
        <f t="shared" ca="1" si="66"/>
        <v>93812500</v>
      </c>
      <c r="W186" s="446">
        <f t="shared" ca="1" si="66"/>
        <v>96250000</v>
      </c>
      <c r="X186" s="330">
        <f t="shared" ca="1" si="66"/>
        <v>98500000</v>
      </c>
      <c r="Y186" s="330">
        <f t="shared" ca="1" si="66"/>
        <v>100750000</v>
      </c>
      <c r="Z186" s="330">
        <f t="shared" ca="1" si="66"/>
        <v>102250000</v>
      </c>
      <c r="AA186" s="446">
        <f t="shared" ca="1" si="66"/>
        <v>104500000</v>
      </c>
      <c r="AB186" s="330">
        <f t="shared" ca="1" si="66"/>
        <v>106000000</v>
      </c>
      <c r="AC186" s="330">
        <f t="shared" ca="1" si="66"/>
        <v>106750000</v>
      </c>
      <c r="AD186" s="330">
        <f t="shared" ca="1" si="66"/>
        <v>106750000</v>
      </c>
      <c r="AE186" s="446">
        <f t="shared" ca="1" si="66"/>
        <v>106750000</v>
      </c>
      <c r="AF186" s="330">
        <f t="shared" ca="1" si="66"/>
        <v>106750000</v>
      </c>
      <c r="AG186" s="330">
        <f t="shared" ca="1" si="66"/>
        <v>106750000</v>
      </c>
      <c r="AH186" s="330">
        <f t="shared" ca="1" si="66"/>
        <v>106750000</v>
      </c>
      <c r="AI186" s="446">
        <f t="shared" ca="1" si="66"/>
        <v>106750000</v>
      </c>
      <c r="AJ186" s="330">
        <f t="shared" ca="1" si="66"/>
        <v>106750000</v>
      </c>
      <c r="AK186" s="330">
        <f t="shared" ca="1" si="66"/>
        <v>106750000</v>
      </c>
      <c r="AL186" s="330">
        <f t="shared" ca="1" si="66"/>
        <v>106750000</v>
      </c>
      <c r="AM186" s="446">
        <f t="shared" ca="1" si="66"/>
        <v>106750000</v>
      </c>
      <c r="AN186" s="330">
        <f t="shared" ca="1" si="66"/>
        <v>106750000</v>
      </c>
      <c r="AO186" s="330">
        <f t="shared" ca="1" si="66"/>
        <v>106750000</v>
      </c>
      <c r="AP186" s="330">
        <f t="shared" ca="1" si="66"/>
        <v>106750000</v>
      </c>
      <c r="AQ186" s="446">
        <f t="shared" ca="1" si="66"/>
        <v>106750000</v>
      </c>
      <c r="AR186" s="330">
        <f t="shared" ca="1" si="66"/>
        <v>106750000</v>
      </c>
      <c r="AS186" s="330">
        <f t="shared" ca="1" si="66"/>
        <v>106750000</v>
      </c>
      <c r="AT186" s="330">
        <f t="shared" ca="1" si="66"/>
        <v>106750000</v>
      </c>
      <c r="AU186" s="446">
        <f t="shared" ca="1" si="66"/>
        <v>106750000</v>
      </c>
      <c r="AV186" s="447"/>
      <c r="AW186" s="447"/>
      <c r="AX186" s="447"/>
      <c r="AY186" s="448"/>
    </row>
    <row r="187" spans="1:51" ht="15.75" customHeight="1" x14ac:dyDescent="0.2">
      <c r="A187" s="425"/>
      <c r="B187" s="449" t="s">
        <v>191</v>
      </c>
      <c r="C187" s="419"/>
      <c r="D187" s="450">
        <f t="shared" ref="D187:AU187" ca="1" si="67">D186/$C$5</f>
        <v>2.5000000000000001E-2</v>
      </c>
      <c r="E187" s="450">
        <f t="shared" ca="1" si="67"/>
        <v>6.25E-2</v>
      </c>
      <c r="F187" s="451">
        <f t="shared" ca="1" si="67"/>
        <v>8.7499999999999994E-2</v>
      </c>
      <c r="G187" s="452">
        <f t="shared" ca="1" si="67"/>
        <v>0.125</v>
      </c>
      <c r="H187" s="450">
        <f t="shared" ca="1" si="67"/>
        <v>0.15</v>
      </c>
      <c r="I187" s="450">
        <f t="shared" ca="1" si="67"/>
        <v>0.18975</v>
      </c>
      <c r="J187" s="451">
        <f t="shared" ca="1" si="67"/>
        <v>0.25874999999999998</v>
      </c>
      <c r="K187" s="452">
        <f t="shared" ca="1" si="67"/>
        <v>0.30475000000000002</v>
      </c>
      <c r="L187" s="450">
        <f t="shared" ca="1" si="67"/>
        <v>0.37375000000000003</v>
      </c>
      <c r="M187" s="450">
        <f t="shared" ca="1" si="67"/>
        <v>0.44274999999999998</v>
      </c>
      <c r="N187" s="451">
        <f t="shared" ca="1" si="67"/>
        <v>0.48875000000000002</v>
      </c>
      <c r="O187" s="452">
        <f t="shared" ca="1" si="67"/>
        <v>0.56525000000000003</v>
      </c>
      <c r="P187" s="450">
        <f t="shared" ca="1" si="67"/>
        <v>0.62624999999999997</v>
      </c>
      <c r="Q187" s="450">
        <f t="shared" ca="1" si="67"/>
        <v>0.70525000000000004</v>
      </c>
      <c r="R187" s="451">
        <f t="shared" ca="1" si="67"/>
        <v>0.75175000000000003</v>
      </c>
      <c r="S187" s="452">
        <f t="shared" ca="1" si="67"/>
        <v>0.79525000000000001</v>
      </c>
      <c r="T187" s="450">
        <f t="shared" ca="1" si="67"/>
        <v>0.84924999999999995</v>
      </c>
      <c r="U187" s="450">
        <f t="shared" ca="1" si="67"/>
        <v>0.88524999999999998</v>
      </c>
      <c r="V187" s="451">
        <f t="shared" ca="1" si="67"/>
        <v>0.93812499999999999</v>
      </c>
      <c r="W187" s="452">
        <f t="shared" ca="1" si="67"/>
        <v>0.96250000000000002</v>
      </c>
      <c r="X187" s="450">
        <f t="shared" ca="1" si="67"/>
        <v>0.98499999999999999</v>
      </c>
      <c r="Y187" s="450">
        <f t="shared" ca="1" si="67"/>
        <v>1.0075000000000001</v>
      </c>
      <c r="Z187" s="451">
        <f t="shared" ca="1" si="67"/>
        <v>1.0225</v>
      </c>
      <c r="AA187" s="452">
        <f t="shared" ca="1" si="67"/>
        <v>1.0449999999999999</v>
      </c>
      <c r="AB187" s="450">
        <f t="shared" ca="1" si="67"/>
        <v>1.06</v>
      </c>
      <c r="AC187" s="450">
        <f t="shared" ca="1" si="67"/>
        <v>1.0674999999999999</v>
      </c>
      <c r="AD187" s="451">
        <f t="shared" ca="1" si="67"/>
        <v>1.0674999999999999</v>
      </c>
      <c r="AE187" s="452">
        <f t="shared" ca="1" si="67"/>
        <v>1.0674999999999999</v>
      </c>
      <c r="AF187" s="450">
        <f t="shared" ca="1" si="67"/>
        <v>1.0674999999999999</v>
      </c>
      <c r="AG187" s="450">
        <f t="shared" ca="1" si="67"/>
        <v>1.0674999999999999</v>
      </c>
      <c r="AH187" s="451">
        <f t="shared" ca="1" si="67"/>
        <v>1.0674999999999999</v>
      </c>
      <c r="AI187" s="452">
        <f t="shared" ca="1" si="67"/>
        <v>1.0674999999999999</v>
      </c>
      <c r="AJ187" s="450">
        <f t="shared" ca="1" si="67"/>
        <v>1.0674999999999999</v>
      </c>
      <c r="AK187" s="450">
        <f t="shared" ca="1" si="67"/>
        <v>1.0674999999999999</v>
      </c>
      <c r="AL187" s="451">
        <f t="shared" ca="1" si="67"/>
        <v>1.0674999999999999</v>
      </c>
      <c r="AM187" s="452">
        <f t="shared" ca="1" si="67"/>
        <v>1.0674999999999999</v>
      </c>
      <c r="AN187" s="450">
        <f t="shared" ca="1" si="67"/>
        <v>1.0674999999999999</v>
      </c>
      <c r="AO187" s="450">
        <f t="shared" ca="1" si="67"/>
        <v>1.0674999999999999</v>
      </c>
      <c r="AP187" s="451">
        <f t="shared" ca="1" si="67"/>
        <v>1.0674999999999999</v>
      </c>
      <c r="AQ187" s="452">
        <f t="shared" ca="1" si="67"/>
        <v>1.0674999999999999</v>
      </c>
      <c r="AR187" s="450">
        <f t="shared" ca="1" si="67"/>
        <v>1.0674999999999999</v>
      </c>
      <c r="AS187" s="450">
        <f t="shared" ca="1" si="67"/>
        <v>1.0674999999999999</v>
      </c>
      <c r="AT187" s="451">
        <f t="shared" ca="1" si="67"/>
        <v>1.0674999999999999</v>
      </c>
      <c r="AU187" s="452">
        <f t="shared" ca="1" si="67"/>
        <v>1.0674999999999999</v>
      </c>
      <c r="AV187" s="453"/>
      <c r="AW187" s="453"/>
      <c r="AX187" s="454"/>
      <c r="AY187" s="455"/>
    </row>
    <row r="188" spans="1:51" ht="15.75" customHeight="1" x14ac:dyDescent="0.2">
      <c r="A188" s="3"/>
      <c r="B188" s="396"/>
      <c r="C188" s="438"/>
      <c r="D188" s="330"/>
      <c r="E188" s="330"/>
      <c r="F188" s="330"/>
      <c r="G188" s="477"/>
      <c r="H188" s="330"/>
      <c r="I188" s="330"/>
      <c r="J188" s="330"/>
      <c r="K188" s="477"/>
      <c r="L188" s="330"/>
      <c r="M188" s="330"/>
      <c r="N188" s="330"/>
      <c r="O188" s="477"/>
      <c r="P188" s="330"/>
      <c r="Q188" s="330"/>
      <c r="R188" s="330"/>
      <c r="S188" s="477"/>
      <c r="T188" s="330"/>
      <c r="U188" s="330"/>
      <c r="V188" s="330"/>
      <c r="W188" s="477"/>
      <c r="X188" s="330"/>
      <c r="Y188" s="330"/>
      <c r="Z188" s="330"/>
      <c r="AA188" s="477"/>
      <c r="AB188" s="330"/>
      <c r="AC188" s="330"/>
      <c r="AD188" s="330"/>
      <c r="AE188" s="477"/>
      <c r="AF188" s="330"/>
      <c r="AG188" s="330"/>
      <c r="AH188" s="330"/>
      <c r="AI188" s="477"/>
      <c r="AJ188" s="330"/>
      <c r="AK188" s="330"/>
      <c r="AL188" s="330"/>
      <c r="AM188" s="477"/>
      <c r="AN188" s="330"/>
      <c r="AO188" s="330"/>
      <c r="AP188" s="330"/>
      <c r="AQ188" s="477"/>
      <c r="AR188" s="330"/>
      <c r="AS188" s="330"/>
      <c r="AT188" s="330"/>
      <c r="AU188" s="477"/>
      <c r="AV188" s="447"/>
      <c r="AW188" s="447"/>
      <c r="AX188" s="447"/>
      <c r="AY188" s="478"/>
    </row>
    <row r="189" spans="1:51" ht="15.75" customHeight="1" x14ac:dyDescent="0.2">
      <c r="A189" s="3"/>
      <c r="B189" s="396" t="str">
        <f t="shared" ref="B189:B191" si="68">B162</f>
        <v>Forecasted returns (only after today's date)</v>
      </c>
      <c r="C189" s="438"/>
      <c r="D189" s="330">
        <f t="shared" ref="D189:AU189" ca="1" si="69">D186*D190</f>
        <v>0</v>
      </c>
      <c r="E189" s="330">
        <f t="shared" ca="1" si="69"/>
        <v>0</v>
      </c>
      <c r="F189" s="330">
        <f t="shared" ca="1" si="69"/>
        <v>0</v>
      </c>
      <c r="G189" s="446">
        <f t="shared" ca="1" si="69"/>
        <v>0</v>
      </c>
      <c r="H189" s="330">
        <f t="shared" ca="1" si="69"/>
        <v>0</v>
      </c>
      <c r="I189" s="330">
        <f t="shared" ca="1" si="69"/>
        <v>0</v>
      </c>
      <c r="J189" s="330">
        <f t="shared" ca="1" si="69"/>
        <v>0</v>
      </c>
      <c r="K189" s="446">
        <f t="shared" ca="1" si="69"/>
        <v>0</v>
      </c>
      <c r="L189" s="330">
        <f t="shared" ca="1" si="69"/>
        <v>0</v>
      </c>
      <c r="M189" s="330">
        <f t="shared" ca="1" si="69"/>
        <v>0</v>
      </c>
      <c r="N189" s="330">
        <f t="shared" ca="1" si="69"/>
        <v>0</v>
      </c>
      <c r="O189" s="446">
        <f t="shared" ca="1" si="69"/>
        <v>0</v>
      </c>
      <c r="P189" s="330">
        <f t="shared" ca="1" si="69"/>
        <v>313125</v>
      </c>
      <c r="Q189" s="330">
        <f t="shared" ca="1" si="69"/>
        <v>352625</v>
      </c>
      <c r="R189" s="330">
        <f t="shared" ca="1" si="69"/>
        <v>375875</v>
      </c>
      <c r="S189" s="446">
        <f t="shared" ca="1" si="69"/>
        <v>397625</v>
      </c>
      <c r="T189" s="330">
        <f t="shared" ca="1" si="69"/>
        <v>1273875</v>
      </c>
      <c r="U189" s="330">
        <f t="shared" ca="1" si="69"/>
        <v>1327875</v>
      </c>
      <c r="V189" s="330">
        <f t="shared" ca="1" si="69"/>
        <v>1407187.5</v>
      </c>
      <c r="W189" s="446">
        <f t="shared" ca="1" si="69"/>
        <v>1443750</v>
      </c>
      <c r="X189" s="330">
        <f t="shared" ca="1" si="69"/>
        <v>1970000</v>
      </c>
      <c r="Y189" s="330">
        <f t="shared" ca="1" si="69"/>
        <v>2015000</v>
      </c>
      <c r="Z189" s="330">
        <f t="shared" ca="1" si="69"/>
        <v>2045000</v>
      </c>
      <c r="AA189" s="446">
        <f t="shared" ca="1" si="69"/>
        <v>2090000</v>
      </c>
      <c r="AB189" s="330">
        <f t="shared" ca="1" si="69"/>
        <v>2650000</v>
      </c>
      <c r="AC189" s="330">
        <f t="shared" ca="1" si="69"/>
        <v>2668750</v>
      </c>
      <c r="AD189" s="330">
        <f t="shared" ca="1" si="69"/>
        <v>2668750</v>
      </c>
      <c r="AE189" s="446">
        <f t="shared" ca="1" si="69"/>
        <v>2668750</v>
      </c>
      <c r="AF189" s="330">
        <f t="shared" ca="1" si="69"/>
        <v>6671875</v>
      </c>
      <c r="AG189" s="330">
        <f t="shared" ca="1" si="69"/>
        <v>6671875</v>
      </c>
      <c r="AH189" s="330">
        <f t="shared" ca="1" si="69"/>
        <v>6671875</v>
      </c>
      <c r="AI189" s="446">
        <f t="shared" ca="1" si="69"/>
        <v>6671875</v>
      </c>
      <c r="AJ189" s="330">
        <f t="shared" ca="1" si="69"/>
        <v>13343750</v>
      </c>
      <c r="AK189" s="330">
        <f t="shared" ca="1" si="69"/>
        <v>13343750</v>
      </c>
      <c r="AL189" s="330">
        <f t="shared" ca="1" si="69"/>
        <v>13343750</v>
      </c>
      <c r="AM189" s="446">
        <f t="shared" ca="1" si="69"/>
        <v>13343750</v>
      </c>
      <c r="AN189" s="330">
        <f t="shared" ca="1" si="69"/>
        <v>26687500</v>
      </c>
      <c r="AO189" s="330">
        <f t="shared" ca="1" si="69"/>
        <v>26687500</v>
      </c>
      <c r="AP189" s="330">
        <f t="shared" ca="1" si="69"/>
        <v>26687500</v>
      </c>
      <c r="AQ189" s="446">
        <f t="shared" ca="1" si="69"/>
        <v>26687500</v>
      </c>
      <c r="AR189" s="330">
        <f t="shared" ca="1" si="69"/>
        <v>13343750</v>
      </c>
      <c r="AS189" s="330">
        <f t="shared" ca="1" si="69"/>
        <v>13343750</v>
      </c>
      <c r="AT189" s="330">
        <f t="shared" ca="1" si="69"/>
        <v>13343750</v>
      </c>
      <c r="AU189" s="446">
        <f t="shared" ca="1" si="69"/>
        <v>13343750</v>
      </c>
      <c r="AV189" s="447"/>
      <c r="AW189" s="447"/>
      <c r="AX189" s="447"/>
      <c r="AY189" s="448"/>
    </row>
    <row r="190" spans="1:51" ht="15.75" customHeight="1" x14ac:dyDescent="0.2">
      <c r="A190" s="457"/>
      <c r="B190" s="389" t="str">
        <f t="shared" si="68"/>
        <v xml:space="preserve">  Quarterly Rate of Return</v>
      </c>
      <c r="C190" s="459"/>
      <c r="D190" s="460">
        <f t="shared" ref="D190:AU190" si="70">D191/4</f>
        <v>0</v>
      </c>
      <c r="E190" s="460">
        <f t="shared" si="70"/>
        <v>0</v>
      </c>
      <c r="F190" s="460">
        <f t="shared" si="70"/>
        <v>0</v>
      </c>
      <c r="G190" s="461">
        <f t="shared" si="70"/>
        <v>0</v>
      </c>
      <c r="H190" s="460">
        <f t="shared" si="70"/>
        <v>0</v>
      </c>
      <c r="I190" s="460">
        <f t="shared" si="70"/>
        <v>0</v>
      </c>
      <c r="J190" s="460">
        <f t="shared" si="70"/>
        <v>0</v>
      </c>
      <c r="K190" s="461">
        <f t="shared" si="70"/>
        <v>0</v>
      </c>
      <c r="L190" s="460">
        <f t="shared" si="70"/>
        <v>0</v>
      </c>
      <c r="M190" s="460">
        <f t="shared" si="70"/>
        <v>0</v>
      </c>
      <c r="N190" s="460">
        <f t="shared" si="70"/>
        <v>0</v>
      </c>
      <c r="O190" s="461">
        <f t="shared" si="70"/>
        <v>0</v>
      </c>
      <c r="P190" s="460">
        <f t="shared" si="70"/>
        <v>5.0000000000000001E-3</v>
      </c>
      <c r="Q190" s="460">
        <f t="shared" si="70"/>
        <v>5.0000000000000001E-3</v>
      </c>
      <c r="R190" s="460">
        <f t="shared" si="70"/>
        <v>5.0000000000000001E-3</v>
      </c>
      <c r="S190" s="461">
        <f t="shared" si="70"/>
        <v>5.0000000000000001E-3</v>
      </c>
      <c r="T190" s="460">
        <f t="shared" si="70"/>
        <v>1.4999999999999999E-2</v>
      </c>
      <c r="U190" s="460">
        <f t="shared" si="70"/>
        <v>1.4999999999999999E-2</v>
      </c>
      <c r="V190" s="460">
        <f t="shared" si="70"/>
        <v>1.4999999999999999E-2</v>
      </c>
      <c r="W190" s="461">
        <f t="shared" si="70"/>
        <v>1.4999999999999999E-2</v>
      </c>
      <c r="X190" s="460">
        <f t="shared" si="70"/>
        <v>0.02</v>
      </c>
      <c r="Y190" s="460">
        <f t="shared" si="70"/>
        <v>0.02</v>
      </c>
      <c r="Z190" s="460">
        <f t="shared" si="70"/>
        <v>0.02</v>
      </c>
      <c r="AA190" s="461">
        <f t="shared" si="70"/>
        <v>0.02</v>
      </c>
      <c r="AB190" s="460">
        <f t="shared" si="70"/>
        <v>2.5000000000000001E-2</v>
      </c>
      <c r="AC190" s="460">
        <f t="shared" si="70"/>
        <v>2.5000000000000001E-2</v>
      </c>
      <c r="AD190" s="460">
        <f t="shared" si="70"/>
        <v>2.5000000000000001E-2</v>
      </c>
      <c r="AE190" s="461">
        <f t="shared" si="70"/>
        <v>2.5000000000000001E-2</v>
      </c>
      <c r="AF190" s="460">
        <f t="shared" si="70"/>
        <v>6.25E-2</v>
      </c>
      <c r="AG190" s="460">
        <f t="shared" si="70"/>
        <v>6.25E-2</v>
      </c>
      <c r="AH190" s="460">
        <f t="shared" si="70"/>
        <v>6.25E-2</v>
      </c>
      <c r="AI190" s="461">
        <f t="shared" si="70"/>
        <v>6.25E-2</v>
      </c>
      <c r="AJ190" s="460">
        <f t="shared" si="70"/>
        <v>0.125</v>
      </c>
      <c r="AK190" s="460">
        <f t="shared" si="70"/>
        <v>0.125</v>
      </c>
      <c r="AL190" s="460">
        <f t="shared" si="70"/>
        <v>0.125</v>
      </c>
      <c r="AM190" s="461">
        <f t="shared" si="70"/>
        <v>0.125</v>
      </c>
      <c r="AN190" s="460">
        <f t="shared" si="70"/>
        <v>0.25</v>
      </c>
      <c r="AO190" s="460">
        <f t="shared" si="70"/>
        <v>0.25</v>
      </c>
      <c r="AP190" s="460">
        <f t="shared" si="70"/>
        <v>0.25</v>
      </c>
      <c r="AQ190" s="461">
        <f t="shared" si="70"/>
        <v>0.25</v>
      </c>
      <c r="AR190" s="460">
        <f t="shared" si="70"/>
        <v>0.125</v>
      </c>
      <c r="AS190" s="460">
        <f t="shared" si="70"/>
        <v>0.125</v>
      </c>
      <c r="AT190" s="460">
        <f t="shared" si="70"/>
        <v>0.125</v>
      </c>
      <c r="AU190" s="461">
        <f t="shared" si="70"/>
        <v>0.125</v>
      </c>
      <c r="AV190" s="462"/>
      <c r="AW190" s="462"/>
      <c r="AX190" s="462"/>
      <c r="AY190" s="463"/>
    </row>
    <row r="191" spans="1:51" ht="15.75" customHeight="1" x14ac:dyDescent="0.2">
      <c r="A191" s="457"/>
      <c r="B191" s="389" t="str">
        <f t="shared" si="68"/>
        <v xml:space="preserve">  Annualized Rate of Return</v>
      </c>
      <c r="C191" s="459"/>
      <c r="D191" s="464">
        <f>_xlfn.IFS(AND(D184&gt;='Summary and Assumptions'!$G$124,D184&lt;='Summary and Assumptions'!$H$124),'Summary and Assumptions'!$E$124,AND(D184&gt;='Summary and Assumptions'!$G$125,D184&lt;='Summary and Assumptions'!$H$125),'Summary and Assumptions'!$E$125,AND(D184&gt;='Summary and Assumptions'!$G$126,D184&lt;='Summary and Assumptions'!$H$126),'Summary and Assumptions'!$E$126,AND(D184&gt;='Summary and Assumptions'!$G$127,D184&lt;='Summary and Assumptions'!$H$127),'Summary and Assumptions'!$E$127,AND(D184&gt;='Summary and Assumptions'!$G$128,D184&lt;='Summary and Assumptions'!$H$128),'Summary and Assumptions'!$E$128,AND(D184&gt;='Summary and Assumptions'!$G$129,D184&lt;='Summary and Assumptions'!$H$129),'Summary and Assumptions'!$E$129,AND(D184&gt;='Summary and Assumptions'!$G$130,D184&lt;='Summary and Assumptions'!$H$130),'Summary and Assumptions'!$E$130,AND(D184&gt;='Summary and Assumptions'!$G$131,D184&lt;='Summary and Assumptions'!$H$131),'Summary and Assumptions'!$E$131,AND(D184&gt;='Summary and Assumptions'!$G$132,D184&lt;='Summary and Assumptions'!$H$132),'Summary and Assumptions'!$E$132,AND(D184&gt;='Summary and Assumptions'!$G$133,D184&lt;='Summary and Assumptions'!$H$133),'Summary and Assumptions'!$E$133,AND(D184&gt;='Summary and Assumptions'!$G$134,D184&lt;='Summary and Assumptions'!$H$134),'Summary and Assumptions'!$E$134,D184&gt;='Summary and Assumptions'!$G$135,'Summary and Assumptions'!$E$135)</f>
        <v>0</v>
      </c>
      <c r="E191" s="464">
        <f>_xlfn.IFS(AND(E184&gt;='Summary and Assumptions'!$G$124,E184&lt;='Summary and Assumptions'!$H$124),'Summary and Assumptions'!$E$124,AND(E184&gt;='Summary and Assumptions'!$G$125,E184&lt;='Summary and Assumptions'!$H$125),'Summary and Assumptions'!$E$125,AND(E184&gt;='Summary and Assumptions'!$G$126,E184&lt;='Summary and Assumptions'!$H$126),'Summary and Assumptions'!$E$126,AND(E184&gt;='Summary and Assumptions'!$G$127,E184&lt;='Summary and Assumptions'!$H$127),'Summary and Assumptions'!$E$127,AND(E184&gt;='Summary and Assumptions'!$G$128,E184&lt;='Summary and Assumptions'!$H$128),'Summary and Assumptions'!$E$128,AND(E184&gt;='Summary and Assumptions'!$G$129,E184&lt;='Summary and Assumptions'!$H$129),'Summary and Assumptions'!$E$129,AND(E184&gt;='Summary and Assumptions'!$G$130,E184&lt;='Summary and Assumptions'!$H$130),'Summary and Assumptions'!$E$130,AND(E184&gt;='Summary and Assumptions'!$G$131,E184&lt;='Summary and Assumptions'!$H$131),'Summary and Assumptions'!$E$131,AND(E184&gt;='Summary and Assumptions'!$G$132,E184&lt;='Summary and Assumptions'!$H$132),'Summary and Assumptions'!$E$132,AND(E184&gt;='Summary and Assumptions'!$G$133,E184&lt;='Summary and Assumptions'!$H$133),'Summary and Assumptions'!$E$133,AND(E184&gt;='Summary and Assumptions'!$G$134,E184&lt;='Summary and Assumptions'!$H$134),'Summary and Assumptions'!$E$134,E184&gt;='Summary and Assumptions'!$G$135,'Summary and Assumptions'!$E$135)</f>
        <v>0</v>
      </c>
      <c r="F191" s="464">
        <f>_xlfn.IFS(AND(F184&gt;='Summary and Assumptions'!$G$124,F184&lt;='Summary and Assumptions'!$H$124),'Summary and Assumptions'!$E$124,AND(F184&gt;='Summary and Assumptions'!$G$125,F184&lt;='Summary and Assumptions'!$H$125),'Summary and Assumptions'!$E$125,AND(F184&gt;='Summary and Assumptions'!$G$126,F184&lt;='Summary and Assumptions'!$H$126),'Summary and Assumptions'!$E$126,AND(F184&gt;='Summary and Assumptions'!$G$127,F184&lt;='Summary and Assumptions'!$H$127),'Summary and Assumptions'!$E$127,AND(F184&gt;='Summary and Assumptions'!$G$128,F184&lt;='Summary and Assumptions'!$H$128),'Summary and Assumptions'!$E$128,AND(F184&gt;='Summary and Assumptions'!$G$129,F184&lt;='Summary and Assumptions'!$H$129),'Summary and Assumptions'!$E$129,AND(F184&gt;='Summary and Assumptions'!$G$130,F184&lt;='Summary and Assumptions'!$H$130),'Summary and Assumptions'!$E$130,AND(F184&gt;='Summary and Assumptions'!$G$131,F184&lt;='Summary and Assumptions'!$H$131),'Summary and Assumptions'!$E$131,AND(F184&gt;='Summary and Assumptions'!$G$132,F184&lt;='Summary and Assumptions'!$H$132),'Summary and Assumptions'!$E$132,AND(F184&gt;='Summary and Assumptions'!$G$133,F184&lt;='Summary and Assumptions'!$H$133),'Summary and Assumptions'!$E$133,AND(F184&gt;='Summary and Assumptions'!$G$134,F184&lt;='Summary and Assumptions'!$H$134),'Summary and Assumptions'!$E$134,F184&gt;='Summary and Assumptions'!$G$135,'Summary and Assumptions'!$E$135)</f>
        <v>0</v>
      </c>
      <c r="G191" s="465">
        <f>_xlfn.IFS(AND(G184&gt;='Summary and Assumptions'!$G$124,G184&lt;='Summary and Assumptions'!$H$124),'Summary and Assumptions'!$E$124,AND(G184&gt;='Summary and Assumptions'!$G$125,G184&lt;='Summary and Assumptions'!$H$125),'Summary and Assumptions'!$E$125,AND(G184&gt;='Summary and Assumptions'!$G$126,G184&lt;='Summary and Assumptions'!$H$126),'Summary and Assumptions'!$E$126,AND(G184&gt;='Summary and Assumptions'!$G$127,G184&lt;='Summary and Assumptions'!$H$127),'Summary and Assumptions'!$E$127,AND(G184&gt;='Summary and Assumptions'!$G$128,G184&lt;='Summary and Assumptions'!$H$128),'Summary and Assumptions'!$E$128,AND(G184&gt;='Summary and Assumptions'!$G$129,G184&lt;='Summary and Assumptions'!$H$129),'Summary and Assumptions'!$E$129,AND(G184&gt;='Summary and Assumptions'!$G$130,G184&lt;='Summary and Assumptions'!$H$130),'Summary and Assumptions'!$E$130,AND(G184&gt;='Summary and Assumptions'!$G$131,G184&lt;='Summary and Assumptions'!$H$131),'Summary and Assumptions'!$E$131,AND(G184&gt;='Summary and Assumptions'!$G$132,G184&lt;='Summary and Assumptions'!$H$132),'Summary and Assumptions'!$E$132,AND(G184&gt;='Summary and Assumptions'!$G$133,G184&lt;='Summary and Assumptions'!$H$133),'Summary and Assumptions'!$E$133,AND(G184&gt;='Summary and Assumptions'!$G$134,G184&lt;='Summary and Assumptions'!$H$134),'Summary and Assumptions'!$E$134,G184&gt;='Summary and Assumptions'!$G$135,'Summary and Assumptions'!$E$135)</f>
        <v>0</v>
      </c>
      <c r="H191" s="464">
        <f>_xlfn.IFS(AND(H184&gt;='Summary and Assumptions'!$G$124,H184&lt;='Summary and Assumptions'!$H$124),'Summary and Assumptions'!$E$124,AND(H184&gt;='Summary and Assumptions'!$G$125,H184&lt;='Summary and Assumptions'!$H$125),'Summary and Assumptions'!$E$125,AND(H184&gt;='Summary and Assumptions'!$G$126,H184&lt;='Summary and Assumptions'!$H$126),'Summary and Assumptions'!$E$126,AND(H184&gt;='Summary and Assumptions'!$G$127,H184&lt;='Summary and Assumptions'!$H$127),'Summary and Assumptions'!$E$127,AND(H184&gt;='Summary and Assumptions'!$G$128,H184&lt;='Summary and Assumptions'!$H$128),'Summary and Assumptions'!$E$128,AND(H184&gt;='Summary and Assumptions'!$G$129,H184&lt;='Summary and Assumptions'!$H$129),'Summary and Assumptions'!$E$129,AND(H184&gt;='Summary and Assumptions'!$G$130,H184&lt;='Summary and Assumptions'!$H$130),'Summary and Assumptions'!$E$130,AND(H184&gt;='Summary and Assumptions'!$G$131,H184&lt;='Summary and Assumptions'!$H$131),'Summary and Assumptions'!$E$131,AND(H184&gt;='Summary and Assumptions'!$G$132,H184&lt;='Summary and Assumptions'!$H$132),'Summary and Assumptions'!$E$132,AND(H184&gt;='Summary and Assumptions'!$G$133,H184&lt;='Summary and Assumptions'!$H$133),'Summary and Assumptions'!$E$133,AND(H184&gt;='Summary and Assumptions'!$G$134,H184&lt;='Summary and Assumptions'!$H$134),'Summary and Assumptions'!$E$134,H184&gt;='Summary and Assumptions'!$G$135,'Summary and Assumptions'!$E$135)</f>
        <v>0</v>
      </c>
      <c r="I191" s="464">
        <f>_xlfn.IFS(AND(I184&gt;='Summary and Assumptions'!$G$124,I184&lt;='Summary and Assumptions'!$H$124),'Summary and Assumptions'!$E$124,AND(I184&gt;='Summary and Assumptions'!$G$125,I184&lt;='Summary and Assumptions'!$H$125),'Summary and Assumptions'!$E$125,AND(I184&gt;='Summary and Assumptions'!$G$126,I184&lt;='Summary and Assumptions'!$H$126),'Summary and Assumptions'!$E$126,AND(I184&gt;='Summary and Assumptions'!$G$127,I184&lt;='Summary and Assumptions'!$H$127),'Summary and Assumptions'!$E$127,AND(I184&gt;='Summary and Assumptions'!$G$128,I184&lt;='Summary and Assumptions'!$H$128),'Summary and Assumptions'!$E$128,AND(I184&gt;='Summary and Assumptions'!$G$129,I184&lt;='Summary and Assumptions'!$H$129),'Summary and Assumptions'!$E$129,AND(I184&gt;='Summary and Assumptions'!$G$130,I184&lt;='Summary and Assumptions'!$H$130),'Summary and Assumptions'!$E$130,AND(I184&gt;='Summary and Assumptions'!$G$131,I184&lt;='Summary and Assumptions'!$H$131),'Summary and Assumptions'!$E$131,AND(I184&gt;='Summary and Assumptions'!$G$132,I184&lt;='Summary and Assumptions'!$H$132),'Summary and Assumptions'!$E$132,AND(I184&gt;='Summary and Assumptions'!$G$133,I184&lt;='Summary and Assumptions'!$H$133),'Summary and Assumptions'!$E$133,AND(I184&gt;='Summary and Assumptions'!$G$134,I184&lt;='Summary and Assumptions'!$H$134),'Summary and Assumptions'!$E$134,I184&gt;='Summary and Assumptions'!$G$135,'Summary and Assumptions'!$E$135)</f>
        <v>0</v>
      </c>
      <c r="J191" s="464">
        <f>_xlfn.IFS(AND(J184&gt;='Summary and Assumptions'!$G$124,J184&lt;='Summary and Assumptions'!$H$124),'Summary and Assumptions'!$E$124,AND(J184&gt;='Summary and Assumptions'!$G$125,J184&lt;='Summary and Assumptions'!$H$125),'Summary and Assumptions'!$E$125,AND(J184&gt;='Summary and Assumptions'!$G$126,J184&lt;='Summary and Assumptions'!$H$126),'Summary and Assumptions'!$E$126,AND(J184&gt;='Summary and Assumptions'!$G$127,J184&lt;='Summary and Assumptions'!$H$127),'Summary and Assumptions'!$E$127,AND(J184&gt;='Summary and Assumptions'!$G$128,J184&lt;='Summary and Assumptions'!$H$128),'Summary and Assumptions'!$E$128,AND(J184&gt;='Summary and Assumptions'!$G$129,J184&lt;='Summary and Assumptions'!$H$129),'Summary and Assumptions'!$E$129,AND(J184&gt;='Summary and Assumptions'!$G$130,J184&lt;='Summary and Assumptions'!$H$130),'Summary and Assumptions'!$E$130,AND(J184&gt;='Summary and Assumptions'!$G$131,J184&lt;='Summary and Assumptions'!$H$131),'Summary and Assumptions'!$E$131,AND(J184&gt;='Summary and Assumptions'!$G$132,J184&lt;='Summary and Assumptions'!$H$132),'Summary and Assumptions'!$E$132,AND(J184&gt;='Summary and Assumptions'!$G$133,J184&lt;='Summary and Assumptions'!$H$133),'Summary and Assumptions'!$E$133,AND(J184&gt;='Summary and Assumptions'!$G$134,J184&lt;='Summary and Assumptions'!$H$134),'Summary and Assumptions'!$E$134,J184&gt;='Summary and Assumptions'!$G$135,'Summary and Assumptions'!$E$135)</f>
        <v>0</v>
      </c>
      <c r="K191" s="465">
        <f>_xlfn.IFS(AND(K184&gt;='Summary and Assumptions'!$G$124,K184&lt;='Summary and Assumptions'!$H$124),'Summary and Assumptions'!$E$124,AND(K184&gt;='Summary and Assumptions'!$G$125,K184&lt;='Summary and Assumptions'!$H$125),'Summary and Assumptions'!$E$125,AND(K184&gt;='Summary and Assumptions'!$G$126,K184&lt;='Summary and Assumptions'!$H$126),'Summary and Assumptions'!$E$126,AND(K184&gt;='Summary and Assumptions'!$G$127,K184&lt;='Summary and Assumptions'!$H$127),'Summary and Assumptions'!$E$127,AND(K184&gt;='Summary and Assumptions'!$G$128,K184&lt;='Summary and Assumptions'!$H$128),'Summary and Assumptions'!$E$128,AND(K184&gt;='Summary and Assumptions'!$G$129,K184&lt;='Summary and Assumptions'!$H$129),'Summary and Assumptions'!$E$129,AND(K184&gt;='Summary and Assumptions'!$G$130,K184&lt;='Summary and Assumptions'!$H$130),'Summary and Assumptions'!$E$130,AND(K184&gt;='Summary and Assumptions'!$G$131,K184&lt;='Summary and Assumptions'!$H$131),'Summary and Assumptions'!$E$131,AND(K184&gt;='Summary and Assumptions'!$G$132,K184&lt;='Summary and Assumptions'!$H$132),'Summary and Assumptions'!$E$132,AND(K184&gt;='Summary and Assumptions'!$G$133,K184&lt;='Summary and Assumptions'!$H$133),'Summary and Assumptions'!$E$133,AND(K184&gt;='Summary and Assumptions'!$G$134,K184&lt;='Summary and Assumptions'!$H$134),'Summary and Assumptions'!$E$134,K184&gt;='Summary and Assumptions'!$G$135,'Summary and Assumptions'!$E$135)</f>
        <v>0</v>
      </c>
      <c r="L191" s="464">
        <f>_xlfn.IFS(AND(L184&gt;='Summary and Assumptions'!$G$124,L184&lt;='Summary and Assumptions'!$H$124),'Summary and Assumptions'!$E$124,AND(L184&gt;='Summary and Assumptions'!$G$125,L184&lt;='Summary and Assumptions'!$H$125),'Summary and Assumptions'!$E$125,AND(L184&gt;='Summary and Assumptions'!$G$126,L184&lt;='Summary and Assumptions'!$H$126),'Summary and Assumptions'!$E$126,AND(L184&gt;='Summary and Assumptions'!$G$127,L184&lt;='Summary and Assumptions'!$H$127),'Summary and Assumptions'!$E$127,AND(L184&gt;='Summary and Assumptions'!$G$128,L184&lt;='Summary and Assumptions'!$H$128),'Summary and Assumptions'!$E$128,AND(L184&gt;='Summary and Assumptions'!$G$129,L184&lt;='Summary and Assumptions'!$H$129),'Summary and Assumptions'!$E$129,AND(L184&gt;='Summary and Assumptions'!$G$130,L184&lt;='Summary and Assumptions'!$H$130),'Summary and Assumptions'!$E$130,AND(L184&gt;='Summary and Assumptions'!$G$131,L184&lt;='Summary and Assumptions'!$H$131),'Summary and Assumptions'!$E$131,AND(L184&gt;='Summary and Assumptions'!$G$132,L184&lt;='Summary and Assumptions'!$H$132),'Summary and Assumptions'!$E$132,AND(L184&gt;='Summary and Assumptions'!$G$133,L184&lt;='Summary and Assumptions'!$H$133),'Summary and Assumptions'!$E$133,AND(L184&gt;='Summary and Assumptions'!$G$134,L184&lt;='Summary and Assumptions'!$H$134),'Summary and Assumptions'!$E$134,L184&gt;='Summary and Assumptions'!$G$135,'Summary and Assumptions'!$E$135)</f>
        <v>0</v>
      </c>
      <c r="M191" s="464">
        <f>_xlfn.IFS(AND(M184&gt;='Summary and Assumptions'!$G$124,M184&lt;='Summary and Assumptions'!$H$124),'Summary and Assumptions'!$E$124,AND(M184&gt;='Summary and Assumptions'!$G$125,M184&lt;='Summary and Assumptions'!$H$125),'Summary and Assumptions'!$E$125,AND(M184&gt;='Summary and Assumptions'!$G$126,M184&lt;='Summary and Assumptions'!$H$126),'Summary and Assumptions'!$E$126,AND(M184&gt;='Summary and Assumptions'!$G$127,M184&lt;='Summary and Assumptions'!$H$127),'Summary and Assumptions'!$E$127,AND(M184&gt;='Summary and Assumptions'!$G$128,M184&lt;='Summary and Assumptions'!$H$128),'Summary and Assumptions'!$E$128,AND(M184&gt;='Summary and Assumptions'!$G$129,M184&lt;='Summary and Assumptions'!$H$129),'Summary and Assumptions'!$E$129,AND(M184&gt;='Summary and Assumptions'!$G$130,M184&lt;='Summary and Assumptions'!$H$130),'Summary and Assumptions'!$E$130,AND(M184&gt;='Summary and Assumptions'!$G$131,M184&lt;='Summary and Assumptions'!$H$131),'Summary and Assumptions'!$E$131,AND(M184&gt;='Summary and Assumptions'!$G$132,M184&lt;='Summary and Assumptions'!$H$132),'Summary and Assumptions'!$E$132,AND(M184&gt;='Summary and Assumptions'!$G$133,M184&lt;='Summary and Assumptions'!$H$133),'Summary and Assumptions'!$E$133,AND(M184&gt;='Summary and Assumptions'!$G$134,M184&lt;='Summary and Assumptions'!$H$134),'Summary and Assumptions'!$E$134,M184&gt;='Summary and Assumptions'!$G$135,'Summary and Assumptions'!$E$135)</f>
        <v>0</v>
      </c>
      <c r="N191" s="464">
        <f>_xlfn.IFS(AND(N184&gt;='Summary and Assumptions'!$G$124,N184&lt;='Summary and Assumptions'!$H$124),'Summary and Assumptions'!$E$124,AND(N184&gt;='Summary and Assumptions'!$G$125,N184&lt;='Summary and Assumptions'!$H$125),'Summary and Assumptions'!$E$125,AND(N184&gt;='Summary and Assumptions'!$G$126,N184&lt;='Summary and Assumptions'!$H$126),'Summary and Assumptions'!$E$126,AND(N184&gt;='Summary and Assumptions'!$G$127,N184&lt;='Summary and Assumptions'!$H$127),'Summary and Assumptions'!$E$127,AND(N184&gt;='Summary and Assumptions'!$G$128,N184&lt;='Summary and Assumptions'!$H$128),'Summary and Assumptions'!$E$128,AND(N184&gt;='Summary and Assumptions'!$G$129,N184&lt;='Summary and Assumptions'!$H$129),'Summary and Assumptions'!$E$129,AND(N184&gt;='Summary and Assumptions'!$G$130,N184&lt;='Summary and Assumptions'!$H$130),'Summary and Assumptions'!$E$130,AND(N184&gt;='Summary and Assumptions'!$G$131,N184&lt;='Summary and Assumptions'!$H$131),'Summary and Assumptions'!$E$131,AND(N184&gt;='Summary and Assumptions'!$G$132,N184&lt;='Summary and Assumptions'!$H$132),'Summary and Assumptions'!$E$132,AND(N184&gt;='Summary and Assumptions'!$G$133,N184&lt;='Summary and Assumptions'!$H$133),'Summary and Assumptions'!$E$133,AND(N184&gt;='Summary and Assumptions'!$G$134,N184&lt;='Summary and Assumptions'!$H$134),'Summary and Assumptions'!$E$134,N184&gt;='Summary and Assumptions'!$G$135,'Summary and Assumptions'!$E$135)</f>
        <v>0</v>
      </c>
      <c r="O191" s="465">
        <f>_xlfn.IFS(AND(O184&gt;='Summary and Assumptions'!$G$124,O184&lt;='Summary and Assumptions'!$H$124),'Summary and Assumptions'!$E$124,AND(O184&gt;='Summary and Assumptions'!$G$125,O184&lt;='Summary and Assumptions'!$H$125),'Summary and Assumptions'!$E$125,AND(O184&gt;='Summary and Assumptions'!$G$126,O184&lt;='Summary and Assumptions'!$H$126),'Summary and Assumptions'!$E$126,AND(O184&gt;='Summary and Assumptions'!$G$127,O184&lt;='Summary and Assumptions'!$H$127),'Summary and Assumptions'!$E$127,AND(O184&gt;='Summary and Assumptions'!$G$128,O184&lt;='Summary and Assumptions'!$H$128),'Summary and Assumptions'!$E$128,AND(O184&gt;='Summary and Assumptions'!$G$129,O184&lt;='Summary and Assumptions'!$H$129),'Summary and Assumptions'!$E$129,AND(O184&gt;='Summary and Assumptions'!$G$130,O184&lt;='Summary and Assumptions'!$H$130),'Summary and Assumptions'!$E$130,AND(O184&gt;='Summary and Assumptions'!$G$131,O184&lt;='Summary and Assumptions'!$H$131),'Summary and Assumptions'!$E$131,AND(O184&gt;='Summary and Assumptions'!$G$132,O184&lt;='Summary and Assumptions'!$H$132),'Summary and Assumptions'!$E$132,AND(O184&gt;='Summary and Assumptions'!$G$133,O184&lt;='Summary and Assumptions'!$H$133),'Summary and Assumptions'!$E$133,AND(O184&gt;='Summary and Assumptions'!$G$134,O184&lt;='Summary and Assumptions'!$H$134),'Summary and Assumptions'!$E$134,O184&gt;='Summary and Assumptions'!$G$135,'Summary and Assumptions'!$E$135)</f>
        <v>0</v>
      </c>
      <c r="P191" s="464">
        <f>_xlfn.IFS(AND(P184&gt;='Summary and Assumptions'!$G$124,P184&lt;='Summary and Assumptions'!$H$124),'Summary and Assumptions'!$E$124,AND(P184&gt;='Summary and Assumptions'!$G$125,P184&lt;='Summary and Assumptions'!$H$125),'Summary and Assumptions'!$E$125,AND(P184&gt;='Summary and Assumptions'!$G$126,P184&lt;='Summary and Assumptions'!$H$126),'Summary and Assumptions'!$E$126,AND(P184&gt;='Summary and Assumptions'!$G$127,P184&lt;='Summary and Assumptions'!$H$127),'Summary and Assumptions'!$E$127,AND(P184&gt;='Summary and Assumptions'!$G$128,P184&lt;='Summary and Assumptions'!$H$128),'Summary and Assumptions'!$E$128,AND(P184&gt;='Summary and Assumptions'!$G$129,P184&lt;='Summary and Assumptions'!$H$129),'Summary and Assumptions'!$E$129,AND(P184&gt;='Summary and Assumptions'!$G$130,P184&lt;='Summary and Assumptions'!$H$130),'Summary and Assumptions'!$E$130,AND(P184&gt;='Summary and Assumptions'!$G$131,P184&lt;='Summary and Assumptions'!$H$131),'Summary and Assumptions'!$E$131,AND(P184&gt;='Summary and Assumptions'!$G$132,P184&lt;='Summary and Assumptions'!$H$132),'Summary and Assumptions'!$E$132,AND(P184&gt;='Summary and Assumptions'!$G$133,P184&lt;='Summary and Assumptions'!$H$133),'Summary and Assumptions'!$E$133,AND(P184&gt;='Summary and Assumptions'!$G$134,P184&lt;='Summary and Assumptions'!$H$134),'Summary and Assumptions'!$E$134,P184&gt;='Summary and Assumptions'!$G$135,'Summary and Assumptions'!$E$135)</f>
        <v>0.02</v>
      </c>
      <c r="Q191" s="464">
        <f>_xlfn.IFS(AND(Q184&gt;='Summary and Assumptions'!$G$124,Q184&lt;='Summary and Assumptions'!$H$124),'Summary and Assumptions'!$E$124,AND(Q184&gt;='Summary and Assumptions'!$G$125,Q184&lt;='Summary and Assumptions'!$H$125),'Summary and Assumptions'!$E$125,AND(Q184&gt;='Summary and Assumptions'!$G$126,Q184&lt;='Summary and Assumptions'!$H$126),'Summary and Assumptions'!$E$126,AND(Q184&gt;='Summary and Assumptions'!$G$127,Q184&lt;='Summary and Assumptions'!$H$127),'Summary and Assumptions'!$E$127,AND(Q184&gt;='Summary and Assumptions'!$G$128,Q184&lt;='Summary and Assumptions'!$H$128),'Summary and Assumptions'!$E$128,AND(Q184&gt;='Summary and Assumptions'!$G$129,Q184&lt;='Summary and Assumptions'!$H$129),'Summary and Assumptions'!$E$129,AND(Q184&gt;='Summary and Assumptions'!$G$130,Q184&lt;='Summary and Assumptions'!$H$130),'Summary and Assumptions'!$E$130,AND(Q184&gt;='Summary and Assumptions'!$G$131,Q184&lt;='Summary and Assumptions'!$H$131),'Summary and Assumptions'!$E$131,AND(Q184&gt;='Summary and Assumptions'!$G$132,Q184&lt;='Summary and Assumptions'!$H$132),'Summary and Assumptions'!$E$132,AND(Q184&gt;='Summary and Assumptions'!$G$133,Q184&lt;='Summary and Assumptions'!$H$133),'Summary and Assumptions'!$E$133,AND(Q184&gt;='Summary and Assumptions'!$G$134,Q184&lt;='Summary and Assumptions'!$H$134),'Summary and Assumptions'!$E$134,Q184&gt;='Summary and Assumptions'!$G$135,'Summary and Assumptions'!$E$135)</f>
        <v>0.02</v>
      </c>
      <c r="R191" s="464">
        <f>_xlfn.IFS(AND(R184&gt;='Summary and Assumptions'!$G$124,R184&lt;='Summary and Assumptions'!$H$124),'Summary and Assumptions'!$E$124,AND(R184&gt;='Summary and Assumptions'!$G$125,R184&lt;='Summary and Assumptions'!$H$125),'Summary and Assumptions'!$E$125,AND(R184&gt;='Summary and Assumptions'!$G$126,R184&lt;='Summary and Assumptions'!$H$126),'Summary and Assumptions'!$E$126,AND(R184&gt;='Summary and Assumptions'!$G$127,R184&lt;='Summary and Assumptions'!$H$127),'Summary and Assumptions'!$E$127,AND(R184&gt;='Summary and Assumptions'!$G$128,R184&lt;='Summary and Assumptions'!$H$128),'Summary and Assumptions'!$E$128,AND(R184&gt;='Summary and Assumptions'!$G$129,R184&lt;='Summary and Assumptions'!$H$129),'Summary and Assumptions'!$E$129,AND(R184&gt;='Summary and Assumptions'!$G$130,R184&lt;='Summary and Assumptions'!$H$130),'Summary and Assumptions'!$E$130,AND(R184&gt;='Summary and Assumptions'!$G$131,R184&lt;='Summary and Assumptions'!$H$131),'Summary and Assumptions'!$E$131,AND(R184&gt;='Summary and Assumptions'!$G$132,R184&lt;='Summary and Assumptions'!$H$132),'Summary and Assumptions'!$E$132,AND(R184&gt;='Summary and Assumptions'!$G$133,R184&lt;='Summary and Assumptions'!$H$133),'Summary and Assumptions'!$E$133,AND(R184&gt;='Summary and Assumptions'!$G$134,R184&lt;='Summary and Assumptions'!$H$134),'Summary and Assumptions'!$E$134,R184&gt;='Summary and Assumptions'!$G$135,'Summary and Assumptions'!$E$135)</f>
        <v>0.02</v>
      </c>
      <c r="S191" s="465">
        <f>_xlfn.IFS(AND(S184&gt;='Summary and Assumptions'!$G$124,S184&lt;='Summary and Assumptions'!$H$124),'Summary and Assumptions'!$E$124,AND(S184&gt;='Summary and Assumptions'!$G$125,S184&lt;='Summary and Assumptions'!$H$125),'Summary and Assumptions'!$E$125,AND(S184&gt;='Summary and Assumptions'!$G$126,S184&lt;='Summary and Assumptions'!$H$126),'Summary and Assumptions'!$E$126,AND(S184&gt;='Summary and Assumptions'!$G$127,S184&lt;='Summary and Assumptions'!$H$127),'Summary and Assumptions'!$E$127,AND(S184&gt;='Summary and Assumptions'!$G$128,S184&lt;='Summary and Assumptions'!$H$128),'Summary and Assumptions'!$E$128,AND(S184&gt;='Summary and Assumptions'!$G$129,S184&lt;='Summary and Assumptions'!$H$129),'Summary and Assumptions'!$E$129,AND(S184&gt;='Summary and Assumptions'!$G$130,S184&lt;='Summary and Assumptions'!$H$130),'Summary and Assumptions'!$E$130,AND(S184&gt;='Summary and Assumptions'!$G$131,S184&lt;='Summary and Assumptions'!$H$131),'Summary and Assumptions'!$E$131,AND(S184&gt;='Summary and Assumptions'!$G$132,S184&lt;='Summary and Assumptions'!$H$132),'Summary and Assumptions'!$E$132,AND(S184&gt;='Summary and Assumptions'!$G$133,S184&lt;='Summary and Assumptions'!$H$133),'Summary and Assumptions'!$E$133,AND(S184&gt;='Summary and Assumptions'!$G$134,S184&lt;='Summary and Assumptions'!$H$134),'Summary and Assumptions'!$E$134,S184&gt;='Summary and Assumptions'!$G$135,'Summary and Assumptions'!$E$135)</f>
        <v>0.02</v>
      </c>
      <c r="T191" s="464">
        <f>_xlfn.IFS(AND(T184&gt;='Summary and Assumptions'!$G$124,T184&lt;='Summary and Assumptions'!$H$124),'Summary and Assumptions'!$E$124,AND(T184&gt;='Summary and Assumptions'!$G$125,T184&lt;='Summary and Assumptions'!$H$125),'Summary and Assumptions'!$E$125,AND(T184&gt;='Summary and Assumptions'!$G$126,T184&lt;='Summary and Assumptions'!$H$126),'Summary and Assumptions'!$E$126,AND(T184&gt;='Summary and Assumptions'!$G$127,T184&lt;='Summary and Assumptions'!$H$127),'Summary and Assumptions'!$E$127,AND(T184&gt;='Summary and Assumptions'!$G$128,T184&lt;='Summary and Assumptions'!$H$128),'Summary and Assumptions'!$E$128,AND(T184&gt;='Summary and Assumptions'!$G$129,T184&lt;='Summary and Assumptions'!$H$129),'Summary and Assumptions'!$E$129,AND(T184&gt;='Summary and Assumptions'!$G$130,T184&lt;='Summary and Assumptions'!$H$130),'Summary and Assumptions'!$E$130,AND(T184&gt;='Summary and Assumptions'!$G$131,T184&lt;='Summary and Assumptions'!$H$131),'Summary and Assumptions'!$E$131,AND(T184&gt;='Summary and Assumptions'!$G$132,T184&lt;='Summary and Assumptions'!$H$132),'Summary and Assumptions'!$E$132,AND(T184&gt;='Summary and Assumptions'!$G$133,T184&lt;='Summary and Assumptions'!$H$133),'Summary and Assumptions'!$E$133,AND(T184&gt;='Summary and Assumptions'!$G$134,T184&lt;='Summary and Assumptions'!$H$134),'Summary and Assumptions'!$E$134,T184&gt;='Summary and Assumptions'!$G$135,'Summary and Assumptions'!$E$135)</f>
        <v>0.06</v>
      </c>
      <c r="U191" s="464">
        <f>_xlfn.IFS(AND(U184&gt;='Summary and Assumptions'!$G$124,U184&lt;='Summary and Assumptions'!$H$124),'Summary and Assumptions'!$E$124,AND(U184&gt;='Summary and Assumptions'!$G$125,U184&lt;='Summary and Assumptions'!$H$125),'Summary and Assumptions'!$E$125,AND(U184&gt;='Summary and Assumptions'!$G$126,U184&lt;='Summary and Assumptions'!$H$126),'Summary and Assumptions'!$E$126,AND(U184&gt;='Summary and Assumptions'!$G$127,U184&lt;='Summary and Assumptions'!$H$127),'Summary and Assumptions'!$E$127,AND(U184&gt;='Summary and Assumptions'!$G$128,U184&lt;='Summary and Assumptions'!$H$128),'Summary and Assumptions'!$E$128,AND(U184&gt;='Summary and Assumptions'!$G$129,U184&lt;='Summary and Assumptions'!$H$129),'Summary and Assumptions'!$E$129,AND(U184&gt;='Summary and Assumptions'!$G$130,U184&lt;='Summary and Assumptions'!$H$130),'Summary and Assumptions'!$E$130,AND(U184&gt;='Summary and Assumptions'!$G$131,U184&lt;='Summary and Assumptions'!$H$131),'Summary and Assumptions'!$E$131,AND(U184&gt;='Summary and Assumptions'!$G$132,U184&lt;='Summary and Assumptions'!$H$132),'Summary and Assumptions'!$E$132,AND(U184&gt;='Summary and Assumptions'!$G$133,U184&lt;='Summary and Assumptions'!$H$133),'Summary and Assumptions'!$E$133,AND(U184&gt;='Summary and Assumptions'!$G$134,U184&lt;='Summary and Assumptions'!$H$134),'Summary and Assumptions'!$E$134,U184&gt;='Summary and Assumptions'!$G$135,'Summary and Assumptions'!$E$135)</f>
        <v>0.06</v>
      </c>
      <c r="V191" s="464">
        <f>_xlfn.IFS(AND(V184&gt;='Summary and Assumptions'!$G$124,V184&lt;='Summary and Assumptions'!$H$124),'Summary and Assumptions'!$E$124,AND(V184&gt;='Summary and Assumptions'!$G$125,V184&lt;='Summary and Assumptions'!$H$125),'Summary and Assumptions'!$E$125,AND(V184&gt;='Summary and Assumptions'!$G$126,V184&lt;='Summary and Assumptions'!$H$126),'Summary and Assumptions'!$E$126,AND(V184&gt;='Summary and Assumptions'!$G$127,V184&lt;='Summary and Assumptions'!$H$127),'Summary and Assumptions'!$E$127,AND(V184&gt;='Summary and Assumptions'!$G$128,V184&lt;='Summary and Assumptions'!$H$128),'Summary and Assumptions'!$E$128,AND(V184&gt;='Summary and Assumptions'!$G$129,V184&lt;='Summary and Assumptions'!$H$129),'Summary and Assumptions'!$E$129,AND(V184&gt;='Summary and Assumptions'!$G$130,V184&lt;='Summary and Assumptions'!$H$130),'Summary and Assumptions'!$E$130,AND(V184&gt;='Summary and Assumptions'!$G$131,V184&lt;='Summary and Assumptions'!$H$131),'Summary and Assumptions'!$E$131,AND(V184&gt;='Summary and Assumptions'!$G$132,V184&lt;='Summary and Assumptions'!$H$132),'Summary and Assumptions'!$E$132,AND(V184&gt;='Summary and Assumptions'!$G$133,V184&lt;='Summary and Assumptions'!$H$133),'Summary and Assumptions'!$E$133,AND(V184&gt;='Summary and Assumptions'!$G$134,V184&lt;='Summary and Assumptions'!$H$134),'Summary and Assumptions'!$E$134,V184&gt;='Summary and Assumptions'!$G$135,'Summary and Assumptions'!$E$135)</f>
        <v>0.06</v>
      </c>
      <c r="W191" s="465">
        <f>_xlfn.IFS(AND(W184&gt;='Summary and Assumptions'!$G$124,W184&lt;='Summary and Assumptions'!$H$124),'Summary and Assumptions'!$E$124,AND(W184&gt;='Summary and Assumptions'!$G$125,W184&lt;='Summary and Assumptions'!$H$125),'Summary and Assumptions'!$E$125,AND(W184&gt;='Summary and Assumptions'!$G$126,W184&lt;='Summary and Assumptions'!$H$126),'Summary and Assumptions'!$E$126,AND(W184&gt;='Summary and Assumptions'!$G$127,W184&lt;='Summary and Assumptions'!$H$127),'Summary and Assumptions'!$E$127,AND(W184&gt;='Summary and Assumptions'!$G$128,W184&lt;='Summary and Assumptions'!$H$128),'Summary and Assumptions'!$E$128,AND(W184&gt;='Summary and Assumptions'!$G$129,W184&lt;='Summary and Assumptions'!$H$129),'Summary and Assumptions'!$E$129,AND(W184&gt;='Summary and Assumptions'!$G$130,W184&lt;='Summary and Assumptions'!$H$130),'Summary and Assumptions'!$E$130,AND(W184&gt;='Summary and Assumptions'!$G$131,W184&lt;='Summary and Assumptions'!$H$131),'Summary and Assumptions'!$E$131,AND(W184&gt;='Summary and Assumptions'!$G$132,W184&lt;='Summary and Assumptions'!$H$132),'Summary and Assumptions'!$E$132,AND(W184&gt;='Summary and Assumptions'!$G$133,W184&lt;='Summary and Assumptions'!$H$133),'Summary and Assumptions'!$E$133,AND(W184&gt;='Summary and Assumptions'!$G$134,W184&lt;='Summary and Assumptions'!$H$134),'Summary and Assumptions'!$E$134,W184&gt;='Summary and Assumptions'!$G$135,'Summary and Assumptions'!$E$135)</f>
        <v>0.06</v>
      </c>
      <c r="X191" s="464">
        <f>_xlfn.IFS(AND(X184&gt;='Summary and Assumptions'!$G$124,X184&lt;='Summary and Assumptions'!$H$124),'Summary and Assumptions'!$E$124,AND(X184&gt;='Summary and Assumptions'!$G$125,X184&lt;='Summary and Assumptions'!$H$125),'Summary and Assumptions'!$E$125,AND(X184&gt;='Summary and Assumptions'!$G$126,X184&lt;='Summary and Assumptions'!$H$126),'Summary and Assumptions'!$E$126,AND(X184&gt;='Summary and Assumptions'!$G$127,X184&lt;='Summary and Assumptions'!$H$127),'Summary and Assumptions'!$E$127,AND(X184&gt;='Summary and Assumptions'!$G$128,X184&lt;='Summary and Assumptions'!$H$128),'Summary and Assumptions'!$E$128,AND(X184&gt;='Summary and Assumptions'!$G$129,X184&lt;='Summary and Assumptions'!$H$129),'Summary and Assumptions'!$E$129,AND(X184&gt;='Summary and Assumptions'!$G$130,X184&lt;='Summary and Assumptions'!$H$130),'Summary and Assumptions'!$E$130,AND(X184&gt;='Summary and Assumptions'!$G$131,X184&lt;='Summary and Assumptions'!$H$131),'Summary and Assumptions'!$E$131,AND(X184&gt;='Summary and Assumptions'!$G$132,X184&lt;='Summary and Assumptions'!$H$132),'Summary and Assumptions'!$E$132,AND(X184&gt;='Summary and Assumptions'!$G$133,X184&lt;='Summary and Assumptions'!$H$133),'Summary and Assumptions'!$E$133,AND(X184&gt;='Summary and Assumptions'!$G$134,X184&lt;='Summary and Assumptions'!$H$134),'Summary and Assumptions'!$E$134,X184&gt;='Summary and Assumptions'!$G$135,'Summary and Assumptions'!$E$135)</f>
        <v>0.08</v>
      </c>
      <c r="Y191" s="464">
        <f>_xlfn.IFS(AND(Y184&gt;='Summary and Assumptions'!$G$124,Y184&lt;='Summary and Assumptions'!$H$124),'Summary and Assumptions'!$E$124,AND(Y184&gt;='Summary and Assumptions'!$G$125,Y184&lt;='Summary and Assumptions'!$H$125),'Summary and Assumptions'!$E$125,AND(Y184&gt;='Summary and Assumptions'!$G$126,Y184&lt;='Summary and Assumptions'!$H$126),'Summary and Assumptions'!$E$126,AND(Y184&gt;='Summary and Assumptions'!$G$127,Y184&lt;='Summary and Assumptions'!$H$127),'Summary and Assumptions'!$E$127,AND(Y184&gt;='Summary and Assumptions'!$G$128,Y184&lt;='Summary and Assumptions'!$H$128),'Summary and Assumptions'!$E$128,AND(Y184&gt;='Summary and Assumptions'!$G$129,Y184&lt;='Summary and Assumptions'!$H$129),'Summary and Assumptions'!$E$129,AND(Y184&gt;='Summary and Assumptions'!$G$130,Y184&lt;='Summary and Assumptions'!$H$130),'Summary and Assumptions'!$E$130,AND(Y184&gt;='Summary and Assumptions'!$G$131,Y184&lt;='Summary and Assumptions'!$H$131),'Summary and Assumptions'!$E$131,AND(Y184&gt;='Summary and Assumptions'!$G$132,Y184&lt;='Summary and Assumptions'!$H$132),'Summary and Assumptions'!$E$132,AND(Y184&gt;='Summary and Assumptions'!$G$133,Y184&lt;='Summary and Assumptions'!$H$133),'Summary and Assumptions'!$E$133,AND(Y184&gt;='Summary and Assumptions'!$G$134,Y184&lt;='Summary and Assumptions'!$H$134),'Summary and Assumptions'!$E$134,Y184&gt;='Summary and Assumptions'!$G$135,'Summary and Assumptions'!$E$135)</f>
        <v>0.08</v>
      </c>
      <c r="Z191" s="464">
        <f>_xlfn.IFS(AND(Z184&gt;='Summary and Assumptions'!$G$124,Z184&lt;='Summary and Assumptions'!$H$124),'Summary and Assumptions'!$E$124,AND(Z184&gt;='Summary and Assumptions'!$G$125,Z184&lt;='Summary and Assumptions'!$H$125),'Summary and Assumptions'!$E$125,AND(Z184&gt;='Summary and Assumptions'!$G$126,Z184&lt;='Summary and Assumptions'!$H$126),'Summary and Assumptions'!$E$126,AND(Z184&gt;='Summary and Assumptions'!$G$127,Z184&lt;='Summary and Assumptions'!$H$127),'Summary and Assumptions'!$E$127,AND(Z184&gt;='Summary and Assumptions'!$G$128,Z184&lt;='Summary and Assumptions'!$H$128),'Summary and Assumptions'!$E$128,AND(Z184&gt;='Summary and Assumptions'!$G$129,Z184&lt;='Summary and Assumptions'!$H$129),'Summary and Assumptions'!$E$129,AND(Z184&gt;='Summary and Assumptions'!$G$130,Z184&lt;='Summary and Assumptions'!$H$130),'Summary and Assumptions'!$E$130,AND(Z184&gt;='Summary and Assumptions'!$G$131,Z184&lt;='Summary and Assumptions'!$H$131),'Summary and Assumptions'!$E$131,AND(Z184&gt;='Summary and Assumptions'!$G$132,Z184&lt;='Summary and Assumptions'!$H$132),'Summary and Assumptions'!$E$132,AND(Z184&gt;='Summary and Assumptions'!$G$133,Z184&lt;='Summary and Assumptions'!$H$133),'Summary and Assumptions'!$E$133,AND(Z184&gt;='Summary and Assumptions'!$G$134,Z184&lt;='Summary and Assumptions'!$H$134),'Summary and Assumptions'!$E$134,Z184&gt;='Summary and Assumptions'!$G$135,'Summary and Assumptions'!$E$135)</f>
        <v>0.08</v>
      </c>
      <c r="AA191" s="465">
        <f>_xlfn.IFS(AND(AA184&gt;='Summary and Assumptions'!$G$124,AA184&lt;='Summary and Assumptions'!$H$124),'Summary and Assumptions'!$E$124,AND(AA184&gt;='Summary and Assumptions'!$G$125,AA184&lt;='Summary and Assumptions'!$H$125),'Summary and Assumptions'!$E$125,AND(AA184&gt;='Summary and Assumptions'!$G$126,AA184&lt;='Summary and Assumptions'!$H$126),'Summary and Assumptions'!$E$126,AND(AA184&gt;='Summary and Assumptions'!$G$127,AA184&lt;='Summary and Assumptions'!$H$127),'Summary and Assumptions'!$E$127,AND(AA184&gt;='Summary and Assumptions'!$G$128,AA184&lt;='Summary and Assumptions'!$H$128),'Summary and Assumptions'!$E$128,AND(AA184&gt;='Summary and Assumptions'!$G$129,AA184&lt;='Summary and Assumptions'!$H$129),'Summary and Assumptions'!$E$129,AND(AA184&gt;='Summary and Assumptions'!$G$130,AA184&lt;='Summary and Assumptions'!$H$130),'Summary and Assumptions'!$E$130,AND(AA184&gt;='Summary and Assumptions'!$G$131,AA184&lt;='Summary and Assumptions'!$H$131),'Summary and Assumptions'!$E$131,AND(AA184&gt;='Summary and Assumptions'!$G$132,AA184&lt;='Summary and Assumptions'!$H$132),'Summary and Assumptions'!$E$132,AND(AA184&gt;='Summary and Assumptions'!$G$133,AA184&lt;='Summary and Assumptions'!$H$133),'Summary and Assumptions'!$E$133,AND(AA184&gt;='Summary and Assumptions'!$G$134,AA184&lt;='Summary and Assumptions'!$H$134),'Summary and Assumptions'!$E$134,AA184&gt;='Summary and Assumptions'!$G$135,'Summary and Assumptions'!$E$135)</f>
        <v>0.08</v>
      </c>
      <c r="AB191" s="464">
        <f>_xlfn.IFS(AND(AB184&gt;='Summary and Assumptions'!$G$124,AB184&lt;='Summary and Assumptions'!$H$124),'Summary and Assumptions'!$E$124,AND(AB184&gt;='Summary and Assumptions'!$G$125,AB184&lt;='Summary and Assumptions'!$H$125),'Summary and Assumptions'!$E$125,AND(AB184&gt;='Summary and Assumptions'!$G$126,AB184&lt;='Summary and Assumptions'!$H$126),'Summary and Assumptions'!$E$126,AND(AB184&gt;='Summary and Assumptions'!$G$127,AB184&lt;='Summary and Assumptions'!$H$127),'Summary and Assumptions'!$E$127,AND(AB184&gt;='Summary and Assumptions'!$G$128,AB184&lt;='Summary and Assumptions'!$H$128),'Summary and Assumptions'!$E$128,AND(AB184&gt;='Summary and Assumptions'!$G$129,AB184&lt;='Summary and Assumptions'!$H$129),'Summary and Assumptions'!$E$129,AND(AB184&gt;='Summary and Assumptions'!$G$130,AB184&lt;='Summary and Assumptions'!$H$130),'Summary and Assumptions'!$E$130,AND(AB184&gt;='Summary and Assumptions'!$G$131,AB184&lt;='Summary and Assumptions'!$H$131),'Summary and Assumptions'!$E$131,AND(AB184&gt;='Summary and Assumptions'!$G$132,AB184&lt;='Summary and Assumptions'!$H$132),'Summary and Assumptions'!$E$132,AND(AB184&gt;='Summary and Assumptions'!$G$133,AB184&lt;='Summary and Assumptions'!$H$133),'Summary and Assumptions'!$E$133,AND(AB184&gt;='Summary and Assumptions'!$G$134,AB184&lt;='Summary and Assumptions'!$H$134),'Summary and Assumptions'!$E$134,AB184&gt;='Summary and Assumptions'!$G$135,'Summary and Assumptions'!$E$135)</f>
        <v>0.1</v>
      </c>
      <c r="AC191" s="464">
        <f>_xlfn.IFS(AND(AC184&gt;='Summary and Assumptions'!$G$124,AC184&lt;='Summary and Assumptions'!$H$124),'Summary and Assumptions'!$E$124,AND(AC184&gt;='Summary and Assumptions'!$G$125,AC184&lt;='Summary and Assumptions'!$H$125),'Summary and Assumptions'!$E$125,AND(AC184&gt;='Summary and Assumptions'!$G$126,AC184&lt;='Summary and Assumptions'!$H$126),'Summary and Assumptions'!$E$126,AND(AC184&gt;='Summary and Assumptions'!$G$127,AC184&lt;='Summary and Assumptions'!$H$127),'Summary and Assumptions'!$E$127,AND(AC184&gt;='Summary and Assumptions'!$G$128,AC184&lt;='Summary and Assumptions'!$H$128),'Summary and Assumptions'!$E$128,AND(AC184&gt;='Summary and Assumptions'!$G$129,AC184&lt;='Summary and Assumptions'!$H$129),'Summary and Assumptions'!$E$129,AND(AC184&gt;='Summary and Assumptions'!$G$130,AC184&lt;='Summary and Assumptions'!$H$130),'Summary and Assumptions'!$E$130,AND(AC184&gt;='Summary and Assumptions'!$G$131,AC184&lt;='Summary and Assumptions'!$H$131),'Summary and Assumptions'!$E$131,AND(AC184&gt;='Summary and Assumptions'!$G$132,AC184&lt;='Summary and Assumptions'!$H$132),'Summary and Assumptions'!$E$132,AND(AC184&gt;='Summary and Assumptions'!$G$133,AC184&lt;='Summary and Assumptions'!$H$133),'Summary and Assumptions'!$E$133,AND(AC184&gt;='Summary and Assumptions'!$G$134,AC184&lt;='Summary and Assumptions'!$H$134),'Summary and Assumptions'!$E$134,AC184&gt;='Summary and Assumptions'!$G$135,'Summary and Assumptions'!$E$135)</f>
        <v>0.1</v>
      </c>
      <c r="AD191" s="464">
        <f>_xlfn.IFS(AND(AD184&gt;='Summary and Assumptions'!$G$124,AD184&lt;='Summary and Assumptions'!$H$124),'Summary and Assumptions'!$E$124,AND(AD184&gt;='Summary and Assumptions'!$G$125,AD184&lt;='Summary and Assumptions'!$H$125),'Summary and Assumptions'!$E$125,AND(AD184&gt;='Summary and Assumptions'!$G$126,AD184&lt;='Summary and Assumptions'!$H$126),'Summary and Assumptions'!$E$126,AND(AD184&gt;='Summary and Assumptions'!$G$127,AD184&lt;='Summary and Assumptions'!$H$127),'Summary and Assumptions'!$E$127,AND(AD184&gt;='Summary and Assumptions'!$G$128,AD184&lt;='Summary and Assumptions'!$H$128),'Summary and Assumptions'!$E$128,AND(AD184&gt;='Summary and Assumptions'!$G$129,AD184&lt;='Summary and Assumptions'!$H$129),'Summary and Assumptions'!$E$129,AND(AD184&gt;='Summary and Assumptions'!$G$130,AD184&lt;='Summary and Assumptions'!$H$130),'Summary and Assumptions'!$E$130,AND(AD184&gt;='Summary and Assumptions'!$G$131,AD184&lt;='Summary and Assumptions'!$H$131),'Summary and Assumptions'!$E$131,AND(AD184&gt;='Summary and Assumptions'!$G$132,AD184&lt;='Summary and Assumptions'!$H$132),'Summary and Assumptions'!$E$132,AND(AD184&gt;='Summary and Assumptions'!$G$133,AD184&lt;='Summary and Assumptions'!$H$133),'Summary and Assumptions'!$E$133,AND(AD184&gt;='Summary and Assumptions'!$G$134,AD184&lt;='Summary and Assumptions'!$H$134),'Summary and Assumptions'!$E$134,AD184&gt;='Summary and Assumptions'!$G$135,'Summary and Assumptions'!$E$135)</f>
        <v>0.1</v>
      </c>
      <c r="AE191" s="465">
        <f>_xlfn.IFS(AND(AE184&gt;='Summary and Assumptions'!$G$124,AE184&lt;='Summary and Assumptions'!$H$124),'Summary and Assumptions'!$E$124,AND(AE184&gt;='Summary and Assumptions'!$G$125,AE184&lt;='Summary and Assumptions'!$H$125),'Summary and Assumptions'!$E$125,AND(AE184&gt;='Summary and Assumptions'!$G$126,AE184&lt;='Summary and Assumptions'!$H$126),'Summary and Assumptions'!$E$126,AND(AE184&gt;='Summary and Assumptions'!$G$127,AE184&lt;='Summary and Assumptions'!$H$127),'Summary and Assumptions'!$E$127,AND(AE184&gt;='Summary and Assumptions'!$G$128,AE184&lt;='Summary and Assumptions'!$H$128),'Summary and Assumptions'!$E$128,AND(AE184&gt;='Summary and Assumptions'!$G$129,AE184&lt;='Summary and Assumptions'!$H$129),'Summary and Assumptions'!$E$129,AND(AE184&gt;='Summary and Assumptions'!$G$130,AE184&lt;='Summary and Assumptions'!$H$130),'Summary and Assumptions'!$E$130,AND(AE184&gt;='Summary and Assumptions'!$G$131,AE184&lt;='Summary and Assumptions'!$H$131),'Summary and Assumptions'!$E$131,AND(AE184&gt;='Summary and Assumptions'!$G$132,AE184&lt;='Summary and Assumptions'!$H$132),'Summary and Assumptions'!$E$132,AND(AE184&gt;='Summary and Assumptions'!$G$133,AE184&lt;='Summary and Assumptions'!$H$133),'Summary and Assumptions'!$E$133,AND(AE184&gt;='Summary and Assumptions'!$G$134,AE184&lt;='Summary and Assumptions'!$H$134),'Summary and Assumptions'!$E$134,AE184&gt;='Summary and Assumptions'!$G$135,'Summary and Assumptions'!$E$135)</f>
        <v>0.1</v>
      </c>
      <c r="AF191" s="464">
        <f>_xlfn.IFS(AND(AF184&gt;='Summary and Assumptions'!$G$124,AF184&lt;='Summary and Assumptions'!$H$124),'Summary and Assumptions'!$E$124,AND(AF184&gt;='Summary and Assumptions'!$G$125,AF184&lt;='Summary and Assumptions'!$H$125),'Summary and Assumptions'!$E$125,AND(AF184&gt;='Summary and Assumptions'!$G$126,AF184&lt;='Summary and Assumptions'!$H$126),'Summary and Assumptions'!$E$126,AND(AF184&gt;='Summary and Assumptions'!$G$127,AF184&lt;='Summary and Assumptions'!$H$127),'Summary and Assumptions'!$E$127,AND(AF184&gt;='Summary and Assumptions'!$G$128,AF184&lt;='Summary and Assumptions'!$H$128),'Summary and Assumptions'!$E$128,AND(AF184&gt;='Summary and Assumptions'!$G$129,AF184&lt;='Summary and Assumptions'!$H$129),'Summary and Assumptions'!$E$129,AND(AF184&gt;='Summary and Assumptions'!$G$130,AF184&lt;='Summary and Assumptions'!$H$130),'Summary and Assumptions'!$E$130,AND(AF184&gt;='Summary and Assumptions'!$G$131,AF184&lt;='Summary and Assumptions'!$H$131),'Summary and Assumptions'!$E$131,AND(AF184&gt;='Summary and Assumptions'!$G$132,AF184&lt;='Summary and Assumptions'!$H$132),'Summary and Assumptions'!$E$132,AND(AF184&gt;='Summary and Assumptions'!$G$133,AF184&lt;='Summary and Assumptions'!$H$133),'Summary and Assumptions'!$E$133,AND(AF184&gt;='Summary and Assumptions'!$G$134,AF184&lt;='Summary and Assumptions'!$H$134),'Summary and Assumptions'!$E$134,AF184&gt;='Summary and Assumptions'!$G$135,'Summary and Assumptions'!$E$135)</f>
        <v>0.25</v>
      </c>
      <c r="AG191" s="464">
        <f>_xlfn.IFS(AND(AG184&gt;='Summary and Assumptions'!$G$124,AG184&lt;='Summary and Assumptions'!$H$124),'Summary and Assumptions'!$E$124,AND(AG184&gt;='Summary and Assumptions'!$G$125,AG184&lt;='Summary and Assumptions'!$H$125),'Summary and Assumptions'!$E$125,AND(AG184&gt;='Summary and Assumptions'!$G$126,AG184&lt;='Summary and Assumptions'!$H$126),'Summary and Assumptions'!$E$126,AND(AG184&gt;='Summary and Assumptions'!$G$127,AG184&lt;='Summary and Assumptions'!$H$127),'Summary and Assumptions'!$E$127,AND(AG184&gt;='Summary and Assumptions'!$G$128,AG184&lt;='Summary and Assumptions'!$H$128),'Summary and Assumptions'!$E$128,AND(AG184&gt;='Summary and Assumptions'!$G$129,AG184&lt;='Summary and Assumptions'!$H$129),'Summary and Assumptions'!$E$129,AND(AG184&gt;='Summary and Assumptions'!$G$130,AG184&lt;='Summary and Assumptions'!$H$130),'Summary and Assumptions'!$E$130,AND(AG184&gt;='Summary and Assumptions'!$G$131,AG184&lt;='Summary and Assumptions'!$H$131),'Summary and Assumptions'!$E$131,AND(AG184&gt;='Summary and Assumptions'!$G$132,AG184&lt;='Summary and Assumptions'!$H$132),'Summary and Assumptions'!$E$132,AND(AG184&gt;='Summary and Assumptions'!$G$133,AG184&lt;='Summary and Assumptions'!$H$133),'Summary and Assumptions'!$E$133,AND(AG184&gt;='Summary and Assumptions'!$G$134,AG184&lt;='Summary and Assumptions'!$H$134),'Summary and Assumptions'!$E$134,AG184&gt;='Summary and Assumptions'!$G$135,'Summary and Assumptions'!$E$135)</f>
        <v>0.25</v>
      </c>
      <c r="AH191" s="464">
        <f>_xlfn.IFS(AND(AH184&gt;='Summary and Assumptions'!$G$124,AH184&lt;='Summary and Assumptions'!$H$124),'Summary and Assumptions'!$E$124,AND(AH184&gt;='Summary and Assumptions'!$G$125,AH184&lt;='Summary and Assumptions'!$H$125),'Summary and Assumptions'!$E$125,AND(AH184&gt;='Summary and Assumptions'!$G$126,AH184&lt;='Summary and Assumptions'!$H$126),'Summary and Assumptions'!$E$126,AND(AH184&gt;='Summary and Assumptions'!$G$127,AH184&lt;='Summary and Assumptions'!$H$127),'Summary and Assumptions'!$E$127,AND(AH184&gt;='Summary and Assumptions'!$G$128,AH184&lt;='Summary and Assumptions'!$H$128),'Summary and Assumptions'!$E$128,AND(AH184&gt;='Summary and Assumptions'!$G$129,AH184&lt;='Summary and Assumptions'!$H$129),'Summary and Assumptions'!$E$129,AND(AH184&gt;='Summary and Assumptions'!$G$130,AH184&lt;='Summary and Assumptions'!$H$130),'Summary and Assumptions'!$E$130,AND(AH184&gt;='Summary and Assumptions'!$G$131,AH184&lt;='Summary and Assumptions'!$H$131),'Summary and Assumptions'!$E$131,AND(AH184&gt;='Summary and Assumptions'!$G$132,AH184&lt;='Summary and Assumptions'!$H$132),'Summary and Assumptions'!$E$132,AND(AH184&gt;='Summary and Assumptions'!$G$133,AH184&lt;='Summary and Assumptions'!$H$133),'Summary and Assumptions'!$E$133,AND(AH184&gt;='Summary and Assumptions'!$G$134,AH184&lt;='Summary and Assumptions'!$H$134),'Summary and Assumptions'!$E$134,AH184&gt;='Summary and Assumptions'!$G$135,'Summary and Assumptions'!$E$135)</f>
        <v>0.25</v>
      </c>
      <c r="AI191" s="465">
        <f>_xlfn.IFS(AND(AI184&gt;='Summary and Assumptions'!$G$124,AI184&lt;='Summary and Assumptions'!$H$124),'Summary and Assumptions'!$E$124,AND(AI184&gt;='Summary and Assumptions'!$G$125,AI184&lt;='Summary and Assumptions'!$H$125),'Summary and Assumptions'!$E$125,AND(AI184&gt;='Summary and Assumptions'!$G$126,AI184&lt;='Summary and Assumptions'!$H$126),'Summary and Assumptions'!$E$126,AND(AI184&gt;='Summary and Assumptions'!$G$127,AI184&lt;='Summary and Assumptions'!$H$127),'Summary and Assumptions'!$E$127,AND(AI184&gt;='Summary and Assumptions'!$G$128,AI184&lt;='Summary and Assumptions'!$H$128),'Summary and Assumptions'!$E$128,AND(AI184&gt;='Summary and Assumptions'!$G$129,AI184&lt;='Summary and Assumptions'!$H$129),'Summary and Assumptions'!$E$129,AND(AI184&gt;='Summary and Assumptions'!$G$130,AI184&lt;='Summary and Assumptions'!$H$130),'Summary and Assumptions'!$E$130,AND(AI184&gt;='Summary and Assumptions'!$G$131,AI184&lt;='Summary and Assumptions'!$H$131),'Summary and Assumptions'!$E$131,AND(AI184&gt;='Summary and Assumptions'!$G$132,AI184&lt;='Summary and Assumptions'!$H$132),'Summary and Assumptions'!$E$132,AND(AI184&gt;='Summary and Assumptions'!$G$133,AI184&lt;='Summary and Assumptions'!$H$133),'Summary and Assumptions'!$E$133,AND(AI184&gt;='Summary and Assumptions'!$G$134,AI184&lt;='Summary and Assumptions'!$H$134),'Summary and Assumptions'!$E$134,AI184&gt;='Summary and Assumptions'!$G$135,'Summary and Assumptions'!$E$135)</f>
        <v>0.25</v>
      </c>
      <c r="AJ191" s="464">
        <f>_xlfn.IFS(AND(AJ184&gt;='Summary and Assumptions'!$G$124,AJ184&lt;='Summary and Assumptions'!$H$124),'Summary and Assumptions'!$E$124,AND(AJ184&gt;='Summary and Assumptions'!$G$125,AJ184&lt;='Summary and Assumptions'!$H$125),'Summary and Assumptions'!$E$125,AND(AJ184&gt;='Summary and Assumptions'!$G$126,AJ184&lt;='Summary and Assumptions'!$H$126),'Summary and Assumptions'!$E$126,AND(AJ184&gt;='Summary and Assumptions'!$G$127,AJ184&lt;='Summary and Assumptions'!$H$127),'Summary and Assumptions'!$E$127,AND(AJ184&gt;='Summary and Assumptions'!$G$128,AJ184&lt;='Summary and Assumptions'!$H$128),'Summary and Assumptions'!$E$128,AND(AJ184&gt;='Summary and Assumptions'!$G$129,AJ184&lt;='Summary and Assumptions'!$H$129),'Summary and Assumptions'!$E$129,AND(AJ184&gt;='Summary and Assumptions'!$G$130,AJ184&lt;='Summary and Assumptions'!$H$130),'Summary and Assumptions'!$E$130,AND(AJ184&gt;='Summary and Assumptions'!$G$131,AJ184&lt;='Summary and Assumptions'!$H$131),'Summary and Assumptions'!$E$131,AND(AJ184&gt;='Summary and Assumptions'!$G$132,AJ184&lt;='Summary and Assumptions'!$H$132),'Summary and Assumptions'!$E$132,AND(AJ184&gt;='Summary and Assumptions'!$G$133,AJ184&lt;='Summary and Assumptions'!$H$133),'Summary and Assumptions'!$E$133,AND(AJ184&gt;='Summary and Assumptions'!$G$134,AJ184&lt;='Summary and Assumptions'!$H$134),'Summary and Assumptions'!$E$134,AJ184&gt;='Summary and Assumptions'!$G$135,'Summary and Assumptions'!$E$135)</f>
        <v>0.5</v>
      </c>
      <c r="AK191" s="464">
        <f>_xlfn.IFS(AND(AK184&gt;='Summary and Assumptions'!$G$124,AK184&lt;='Summary and Assumptions'!$H$124),'Summary and Assumptions'!$E$124,AND(AK184&gt;='Summary and Assumptions'!$G$125,AK184&lt;='Summary and Assumptions'!$H$125),'Summary and Assumptions'!$E$125,AND(AK184&gt;='Summary and Assumptions'!$G$126,AK184&lt;='Summary and Assumptions'!$H$126),'Summary and Assumptions'!$E$126,AND(AK184&gt;='Summary and Assumptions'!$G$127,AK184&lt;='Summary and Assumptions'!$H$127),'Summary and Assumptions'!$E$127,AND(AK184&gt;='Summary and Assumptions'!$G$128,AK184&lt;='Summary and Assumptions'!$H$128),'Summary and Assumptions'!$E$128,AND(AK184&gt;='Summary and Assumptions'!$G$129,AK184&lt;='Summary and Assumptions'!$H$129),'Summary and Assumptions'!$E$129,AND(AK184&gt;='Summary and Assumptions'!$G$130,AK184&lt;='Summary and Assumptions'!$H$130),'Summary and Assumptions'!$E$130,AND(AK184&gt;='Summary and Assumptions'!$G$131,AK184&lt;='Summary and Assumptions'!$H$131),'Summary and Assumptions'!$E$131,AND(AK184&gt;='Summary and Assumptions'!$G$132,AK184&lt;='Summary and Assumptions'!$H$132),'Summary and Assumptions'!$E$132,AND(AK184&gt;='Summary and Assumptions'!$G$133,AK184&lt;='Summary and Assumptions'!$H$133),'Summary and Assumptions'!$E$133,AND(AK184&gt;='Summary and Assumptions'!$G$134,AK184&lt;='Summary and Assumptions'!$H$134),'Summary and Assumptions'!$E$134,AK184&gt;='Summary and Assumptions'!$G$135,'Summary and Assumptions'!$E$135)</f>
        <v>0.5</v>
      </c>
      <c r="AL191" s="464">
        <f>_xlfn.IFS(AND(AL184&gt;='Summary and Assumptions'!$G$124,AL184&lt;='Summary and Assumptions'!$H$124),'Summary and Assumptions'!$E$124,AND(AL184&gt;='Summary and Assumptions'!$G$125,AL184&lt;='Summary and Assumptions'!$H$125),'Summary and Assumptions'!$E$125,AND(AL184&gt;='Summary and Assumptions'!$G$126,AL184&lt;='Summary and Assumptions'!$H$126),'Summary and Assumptions'!$E$126,AND(AL184&gt;='Summary and Assumptions'!$G$127,AL184&lt;='Summary and Assumptions'!$H$127),'Summary and Assumptions'!$E$127,AND(AL184&gt;='Summary and Assumptions'!$G$128,AL184&lt;='Summary and Assumptions'!$H$128),'Summary and Assumptions'!$E$128,AND(AL184&gt;='Summary and Assumptions'!$G$129,AL184&lt;='Summary and Assumptions'!$H$129),'Summary and Assumptions'!$E$129,AND(AL184&gt;='Summary and Assumptions'!$G$130,AL184&lt;='Summary and Assumptions'!$H$130),'Summary and Assumptions'!$E$130,AND(AL184&gt;='Summary and Assumptions'!$G$131,AL184&lt;='Summary and Assumptions'!$H$131),'Summary and Assumptions'!$E$131,AND(AL184&gt;='Summary and Assumptions'!$G$132,AL184&lt;='Summary and Assumptions'!$H$132),'Summary and Assumptions'!$E$132,AND(AL184&gt;='Summary and Assumptions'!$G$133,AL184&lt;='Summary and Assumptions'!$H$133),'Summary and Assumptions'!$E$133,AND(AL184&gt;='Summary and Assumptions'!$G$134,AL184&lt;='Summary and Assumptions'!$H$134),'Summary and Assumptions'!$E$134,AL184&gt;='Summary and Assumptions'!$G$135,'Summary and Assumptions'!$E$135)</f>
        <v>0.5</v>
      </c>
      <c r="AM191" s="465">
        <f>_xlfn.IFS(AND(AM184&gt;='Summary and Assumptions'!$G$124,AM184&lt;='Summary and Assumptions'!$H$124),'Summary and Assumptions'!$E$124,AND(AM184&gt;='Summary and Assumptions'!$G$125,AM184&lt;='Summary and Assumptions'!$H$125),'Summary and Assumptions'!$E$125,AND(AM184&gt;='Summary and Assumptions'!$G$126,AM184&lt;='Summary and Assumptions'!$H$126),'Summary and Assumptions'!$E$126,AND(AM184&gt;='Summary and Assumptions'!$G$127,AM184&lt;='Summary and Assumptions'!$H$127),'Summary and Assumptions'!$E$127,AND(AM184&gt;='Summary and Assumptions'!$G$128,AM184&lt;='Summary and Assumptions'!$H$128),'Summary and Assumptions'!$E$128,AND(AM184&gt;='Summary and Assumptions'!$G$129,AM184&lt;='Summary and Assumptions'!$H$129),'Summary and Assumptions'!$E$129,AND(AM184&gt;='Summary and Assumptions'!$G$130,AM184&lt;='Summary and Assumptions'!$H$130),'Summary and Assumptions'!$E$130,AND(AM184&gt;='Summary and Assumptions'!$G$131,AM184&lt;='Summary and Assumptions'!$H$131),'Summary and Assumptions'!$E$131,AND(AM184&gt;='Summary and Assumptions'!$G$132,AM184&lt;='Summary and Assumptions'!$H$132),'Summary and Assumptions'!$E$132,AND(AM184&gt;='Summary and Assumptions'!$G$133,AM184&lt;='Summary and Assumptions'!$H$133),'Summary and Assumptions'!$E$133,AND(AM184&gt;='Summary and Assumptions'!$G$134,AM184&lt;='Summary and Assumptions'!$H$134),'Summary and Assumptions'!$E$134,AM184&gt;='Summary and Assumptions'!$G$135,'Summary and Assumptions'!$E$135)</f>
        <v>0.5</v>
      </c>
      <c r="AN191" s="464">
        <f>_xlfn.IFS(AND(AN184&gt;='Summary and Assumptions'!$G$124,AN184&lt;='Summary and Assumptions'!$H$124),'Summary and Assumptions'!$E$124,AND(AN184&gt;='Summary and Assumptions'!$G$125,AN184&lt;='Summary and Assumptions'!$H$125),'Summary and Assumptions'!$E$125,AND(AN184&gt;='Summary and Assumptions'!$G$126,AN184&lt;='Summary and Assumptions'!$H$126),'Summary and Assumptions'!$E$126,AND(AN184&gt;='Summary and Assumptions'!$G$127,AN184&lt;='Summary and Assumptions'!$H$127),'Summary and Assumptions'!$E$127,AND(AN184&gt;='Summary and Assumptions'!$G$128,AN184&lt;='Summary and Assumptions'!$H$128),'Summary and Assumptions'!$E$128,AND(AN184&gt;='Summary and Assumptions'!$G$129,AN184&lt;='Summary and Assumptions'!$H$129),'Summary and Assumptions'!$E$129,AND(AN184&gt;='Summary and Assumptions'!$G$130,AN184&lt;='Summary and Assumptions'!$H$130),'Summary and Assumptions'!$E$130,AND(AN184&gt;='Summary and Assumptions'!$G$131,AN184&lt;='Summary and Assumptions'!$H$131),'Summary and Assumptions'!$E$131,AND(AN184&gt;='Summary and Assumptions'!$G$132,AN184&lt;='Summary and Assumptions'!$H$132),'Summary and Assumptions'!$E$132,AND(AN184&gt;='Summary and Assumptions'!$G$133,AN184&lt;='Summary and Assumptions'!$H$133),'Summary and Assumptions'!$E$133,AND(AN184&gt;='Summary and Assumptions'!$G$134,AN184&lt;='Summary and Assumptions'!$H$134),'Summary and Assumptions'!$E$134,AN184&gt;='Summary and Assumptions'!$G$135,'Summary and Assumptions'!$E$135)</f>
        <v>1</v>
      </c>
      <c r="AO191" s="464">
        <f>_xlfn.IFS(AND(AO184&gt;='Summary and Assumptions'!$G$124,AO184&lt;='Summary and Assumptions'!$H$124),'Summary and Assumptions'!$E$124,AND(AO184&gt;='Summary and Assumptions'!$G$125,AO184&lt;='Summary and Assumptions'!$H$125),'Summary and Assumptions'!$E$125,AND(AO184&gt;='Summary and Assumptions'!$G$126,AO184&lt;='Summary and Assumptions'!$H$126),'Summary and Assumptions'!$E$126,AND(AO184&gt;='Summary and Assumptions'!$G$127,AO184&lt;='Summary and Assumptions'!$H$127),'Summary and Assumptions'!$E$127,AND(AO184&gt;='Summary and Assumptions'!$G$128,AO184&lt;='Summary and Assumptions'!$H$128),'Summary and Assumptions'!$E$128,AND(AO184&gt;='Summary and Assumptions'!$G$129,AO184&lt;='Summary and Assumptions'!$H$129),'Summary and Assumptions'!$E$129,AND(AO184&gt;='Summary and Assumptions'!$G$130,AO184&lt;='Summary and Assumptions'!$H$130),'Summary and Assumptions'!$E$130,AND(AO184&gt;='Summary and Assumptions'!$G$131,AO184&lt;='Summary and Assumptions'!$H$131),'Summary and Assumptions'!$E$131,AND(AO184&gt;='Summary and Assumptions'!$G$132,AO184&lt;='Summary and Assumptions'!$H$132),'Summary and Assumptions'!$E$132,AND(AO184&gt;='Summary and Assumptions'!$G$133,AO184&lt;='Summary and Assumptions'!$H$133),'Summary and Assumptions'!$E$133,AND(AO184&gt;='Summary and Assumptions'!$G$134,AO184&lt;='Summary and Assumptions'!$H$134),'Summary and Assumptions'!$E$134,AO184&gt;='Summary and Assumptions'!$G$135,'Summary and Assumptions'!$E$135)</f>
        <v>1</v>
      </c>
      <c r="AP191" s="464">
        <f>_xlfn.IFS(AND(AP184&gt;='Summary and Assumptions'!$G$124,AP184&lt;='Summary and Assumptions'!$H$124),'Summary and Assumptions'!$E$124,AND(AP184&gt;='Summary and Assumptions'!$G$125,AP184&lt;='Summary and Assumptions'!$H$125),'Summary and Assumptions'!$E$125,AND(AP184&gt;='Summary and Assumptions'!$G$126,AP184&lt;='Summary and Assumptions'!$H$126),'Summary and Assumptions'!$E$126,AND(AP184&gt;='Summary and Assumptions'!$G$127,AP184&lt;='Summary and Assumptions'!$H$127),'Summary and Assumptions'!$E$127,AND(AP184&gt;='Summary and Assumptions'!$G$128,AP184&lt;='Summary and Assumptions'!$H$128),'Summary and Assumptions'!$E$128,AND(AP184&gt;='Summary and Assumptions'!$G$129,AP184&lt;='Summary and Assumptions'!$H$129),'Summary and Assumptions'!$E$129,AND(AP184&gt;='Summary and Assumptions'!$G$130,AP184&lt;='Summary and Assumptions'!$H$130),'Summary and Assumptions'!$E$130,AND(AP184&gt;='Summary and Assumptions'!$G$131,AP184&lt;='Summary and Assumptions'!$H$131),'Summary and Assumptions'!$E$131,AND(AP184&gt;='Summary and Assumptions'!$G$132,AP184&lt;='Summary and Assumptions'!$H$132),'Summary and Assumptions'!$E$132,AND(AP184&gt;='Summary and Assumptions'!$G$133,AP184&lt;='Summary and Assumptions'!$H$133),'Summary and Assumptions'!$E$133,AND(AP184&gt;='Summary and Assumptions'!$G$134,AP184&lt;='Summary and Assumptions'!$H$134),'Summary and Assumptions'!$E$134,AP184&gt;='Summary and Assumptions'!$G$135,'Summary and Assumptions'!$E$135)</f>
        <v>1</v>
      </c>
      <c r="AQ191" s="465">
        <f>_xlfn.IFS(AND(AQ184&gt;='Summary and Assumptions'!$G$124,AQ184&lt;='Summary and Assumptions'!$H$124),'Summary and Assumptions'!$E$124,AND(AQ184&gt;='Summary and Assumptions'!$G$125,AQ184&lt;='Summary and Assumptions'!$H$125),'Summary and Assumptions'!$E$125,AND(AQ184&gt;='Summary and Assumptions'!$G$126,AQ184&lt;='Summary and Assumptions'!$H$126),'Summary and Assumptions'!$E$126,AND(AQ184&gt;='Summary and Assumptions'!$G$127,AQ184&lt;='Summary and Assumptions'!$H$127),'Summary and Assumptions'!$E$127,AND(AQ184&gt;='Summary and Assumptions'!$G$128,AQ184&lt;='Summary and Assumptions'!$H$128),'Summary and Assumptions'!$E$128,AND(AQ184&gt;='Summary and Assumptions'!$G$129,AQ184&lt;='Summary and Assumptions'!$H$129),'Summary and Assumptions'!$E$129,AND(AQ184&gt;='Summary and Assumptions'!$G$130,AQ184&lt;='Summary and Assumptions'!$H$130),'Summary and Assumptions'!$E$130,AND(AQ184&gt;='Summary and Assumptions'!$G$131,AQ184&lt;='Summary and Assumptions'!$H$131),'Summary and Assumptions'!$E$131,AND(AQ184&gt;='Summary and Assumptions'!$G$132,AQ184&lt;='Summary and Assumptions'!$H$132),'Summary and Assumptions'!$E$132,AND(AQ184&gt;='Summary and Assumptions'!$G$133,AQ184&lt;='Summary and Assumptions'!$H$133),'Summary and Assumptions'!$E$133,AND(AQ184&gt;='Summary and Assumptions'!$G$134,AQ184&lt;='Summary and Assumptions'!$H$134),'Summary and Assumptions'!$E$134,AQ184&gt;='Summary and Assumptions'!$G$135,'Summary and Assumptions'!$E$135)</f>
        <v>1</v>
      </c>
      <c r="AR191" s="464">
        <f>_xlfn.IFS(AND(AR184&gt;='Summary and Assumptions'!$G$124,AR184&lt;='Summary and Assumptions'!$H$124),'Summary and Assumptions'!$E$124,AND(AR184&gt;='Summary and Assumptions'!$G$125,AR184&lt;='Summary and Assumptions'!$H$125),'Summary and Assumptions'!$E$125,AND(AR184&gt;='Summary and Assumptions'!$G$126,AR184&lt;='Summary and Assumptions'!$H$126),'Summary and Assumptions'!$E$126,AND(AR184&gt;='Summary and Assumptions'!$G$127,AR184&lt;='Summary and Assumptions'!$H$127),'Summary and Assumptions'!$E$127,AND(AR184&gt;='Summary and Assumptions'!$G$128,AR184&lt;='Summary and Assumptions'!$H$128),'Summary and Assumptions'!$E$128,AND(AR184&gt;='Summary and Assumptions'!$G$129,AR184&lt;='Summary and Assumptions'!$H$129),'Summary and Assumptions'!$E$129,AND(AR184&gt;='Summary and Assumptions'!$G$130,AR184&lt;='Summary and Assumptions'!$H$130),'Summary and Assumptions'!$E$130,AND(AR184&gt;='Summary and Assumptions'!$G$131,AR184&lt;='Summary and Assumptions'!$H$131),'Summary and Assumptions'!$E$131,AND(AR184&gt;='Summary and Assumptions'!$G$132,AR184&lt;='Summary and Assumptions'!$H$132),'Summary and Assumptions'!$E$132,AND(AR184&gt;='Summary and Assumptions'!$G$133,AR184&lt;='Summary and Assumptions'!$H$133),'Summary and Assumptions'!$E$133,AND(AR184&gt;='Summary and Assumptions'!$G$134,AR184&lt;='Summary and Assumptions'!$H$134),'Summary and Assumptions'!$E$134,AR184&gt;='Summary and Assumptions'!$G$135,'Summary and Assumptions'!$E$135)</f>
        <v>0.5</v>
      </c>
      <c r="AS191" s="464">
        <f>_xlfn.IFS(AND(AS184&gt;='Summary and Assumptions'!$G$124,AS184&lt;='Summary and Assumptions'!$H$124),'Summary and Assumptions'!$E$124,AND(AS184&gt;='Summary and Assumptions'!$G$125,AS184&lt;='Summary and Assumptions'!$H$125),'Summary and Assumptions'!$E$125,AND(AS184&gt;='Summary and Assumptions'!$G$126,AS184&lt;='Summary and Assumptions'!$H$126),'Summary and Assumptions'!$E$126,AND(AS184&gt;='Summary and Assumptions'!$G$127,AS184&lt;='Summary and Assumptions'!$H$127),'Summary and Assumptions'!$E$127,AND(AS184&gt;='Summary and Assumptions'!$G$128,AS184&lt;='Summary and Assumptions'!$H$128),'Summary and Assumptions'!$E$128,AND(AS184&gt;='Summary and Assumptions'!$G$129,AS184&lt;='Summary and Assumptions'!$H$129),'Summary and Assumptions'!$E$129,AND(AS184&gt;='Summary and Assumptions'!$G$130,AS184&lt;='Summary and Assumptions'!$H$130),'Summary and Assumptions'!$E$130,AND(AS184&gt;='Summary and Assumptions'!$G$131,AS184&lt;='Summary and Assumptions'!$H$131),'Summary and Assumptions'!$E$131,AND(AS184&gt;='Summary and Assumptions'!$G$132,AS184&lt;='Summary and Assumptions'!$H$132),'Summary and Assumptions'!$E$132,AND(AS184&gt;='Summary and Assumptions'!$G$133,AS184&lt;='Summary and Assumptions'!$H$133),'Summary and Assumptions'!$E$133,AND(AS184&gt;='Summary and Assumptions'!$G$134,AS184&lt;='Summary and Assumptions'!$H$134),'Summary and Assumptions'!$E$134,AS184&gt;='Summary and Assumptions'!$G$135,'Summary and Assumptions'!$E$135)</f>
        <v>0.5</v>
      </c>
      <c r="AT191" s="464">
        <f>_xlfn.IFS(AND(AT184&gt;='Summary and Assumptions'!$G$124,AT184&lt;='Summary and Assumptions'!$H$124),'Summary and Assumptions'!$E$124,AND(AT184&gt;='Summary and Assumptions'!$G$125,AT184&lt;='Summary and Assumptions'!$H$125),'Summary and Assumptions'!$E$125,AND(AT184&gt;='Summary and Assumptions'!$G$126,AT184&lt;='Summary and Assumptions'!$H$126),'Summary and Assumptions'!$E$126,AND(AT184&gt;='Summary and Assumptions'!$G$127,AT184&lt;='Summary and Assumptions'!$H$127),'Summary and Assumptions'!$E$127,AND(AT184&gt;='Summary and Assumptions'!$G$128,AT184&lt;='Summary and Assumptions'!$H$128),'Summary and Assumptions'!$E$128,AND(AT184&gt;='Summary and Assumptions'!$G$129,AT184&lt;='Summary and Assumptions'!$H$129),'Summary and Assumptions'!$E$129,AND(AT184&gt;='Summary and Assumptions'!$G$130,AT184&lt;='Summary and Assumptions'!$H$130),'Summary and Assumptions'!$E$130,AND(AT184&gt;='Summary and Assumptions'!$G$131,AT184&lt;='Summary and Assumptions'!$H$131),'Summary and Assumptions'!$E$131,AND(AT184&gt;='Summary and Assumptions'!$G$132,AT184&lt;='Summary and Assumptions'!$H$132),'Summary and Assumptions'!$E$132,AND(AT184&gt;='Summary and Assumptions'!$G$133,AT184&lt;='Summary and Assumptions'!$H$133),'Summary and Assumptions'!$E$133,AND(AT184&gt;='Summary and Assumptions'!$G$134,AT184&lt;='Summary and Assumptions'!$H$134),'Summary and Assumptions'!$E$134,AT184&gt;='Summary and Assumptions'!$G$135,'Summary and Assumptions'!$E$135)</f>
        <v>0.5</v>
      </c>
      <c r="AU191" s="465">
        <f>_xlfn.IFS(AND(AU184&gt;='Summary and Assumptions'!$G$124,AU184&lt;='Summary and Assumptions'!$H$124),'Summary and Assumptions'!$E$124,AND(AU184&gt;='Summary and Assumptions'!$G$125,AU184&lt;='Summary and Assumptions'!$H$125),'Summary and Assumptions'!$E$125,AND(AU184&gt;='Summary and Assumptions'!$G$126,AU184&lt;='Summary and Assumptions'!$H$126),'Summary and Assumptions'!$E$126,AND(AU184&gt;='Summary and Assumptions'!$G$127,AU184&lt;='Summary and Assumptions'!$H$127),'Summary and Assumptions'!$E$127,AND(AU184&gt;='Summary and Assumptions'!$G$128,AU184&lt;='Summary and Assumptions'!$H$128),'Summary and Assumptions'!$E$128,AND(AU184&gt;='Summary and Assumptions'!$G$129,AU184&lt;='Summary and Assumptions'!$H$129),'Summary and Assumptions'!$E$129,AND(AU184&gt;='Summary and Assumptions'!$G$130,AU184&lt;='Summary and Assumptions'!$H$130),'Summary and Assumptions'!$E$130,AND(AU184&gt;='Summary and Assumptions'!$G$131,AU184&lt;='Summary and Assumptions'!$H$131),'Summary and Assumptions'!$E$131,AND(AU184&gt;='Summary and Assumptions'!$G$132,AU184&lt;='Summary and Assumptions'!$H$132),'Summary and Assumptions'!$E$132,AND(AU184&gt;='Summary and Assumptions'!$G$133,AU184&lt;='Summary and Assumptions'!$H$133),'Summary and Assumptions'!$E$133,AND(AU184&gt;='Summary and Assumptions'!$G$134,AU184&lt;='Summary and Assumptions'!$H$134),'Summary and Assumptions'!$E$134,AU184&gt;='Summary and Assumptions'!$G$135,'Summary and Assumptions'!$E$135)</f>
        <v>0.5</v>
      </c>
      <c r="AV191" s="462"/>
      <c r="AW191" s="462"/>
      <c r="AX191" s="462"/>
      <c r="AY191" s="463"/>
    </row>
    <row r="192" spans="1:51" ht="15.75" customHeight="1" x14ac:dyDescent="0.2">
      <c r="A192" s="3"/>
      <c r="B192" s="466" t="s">
        <v>72</v>
      </c>
      <c r="C192" s="438"/>
      <c r="D192" s="94">
        <f ca="1">D189*'Summary and Assumptions'!$D$104</f>
        <v>0</v>
      </c>
      <c r="E192" s="94">
        <f ca="1">E189*'Summary and Assumptions'!$D$104</f>
        <v>0</v>
      </c>
      <c r="F192" s="94">
        <f ca="1">F189*'Summary and Assumptions'!$D$104</f>
        <v>0</v>
      </c>
      <c r="G192" s="95">
        <f ca="1">G189*'Summary and Assumptions'!$D$104</f>
        <v>0</v>
      </c>
      <c r="H192" s="94">
        <f ca="1">H189*'Summary and Assumptions'!$D$104</f>
        <v>0</v>
      </c>
      <c r="I192" s="94">
        <f ca="1">I189*'Summary and Assumptions'!$D$104</f>
        <v>0</v>
      </c>
      <c r="J192" s="94">
        <f ca="1">J189*'Summary and Assumptions'!$D$104</f>
        <v>0</v>
      </c>
      <c r="K192" s="95">
        <f ca="1">K189*'Summary and Assumptions'!$D$104</f>
        <v>0</v>
      </c>
      <c r="L192" s="94">
        <f ca="1">L189*'Summary and Assumptions'!$D$104</f>
        <v>0</v>
      </c>
      <c r="M192" s="94">
        <f ca="1">M189*'Summary and Assumptions'!$D$104</f>
        <v>0</v>
      </c>
      <c r="N192" s="94">
        <f ca="1">N189*'Summary and Assumptions'!$D$104</f>
        <v>0</v>
      </c>
      <c r="O192" s="95">
        <f ca="1">O189*'Summary and Assumptions'!$D$104</f>
        <v>0</v>
      </c>
      <c r="P192" s="94">
        <f ca="1">P189*'Summary and Assumptions'!$D$104</f>
        <v>313125</v>
      </c>
      <c r="Q192" s="94">
        <f ca="1">Q189*'Summary and Assumptions'!$D$104</f>
        <v>352625</v>
      </c>
      <c r="R192" s="94">
        <f ca="1">R189*'Summary and Assumptions'!$D$104</f>
        <v>375875</v>
      </c>
      <c r="S192" s="95">
        <f ca="1">S189*'Summary and Assumptions'!$D$104</f>
        <v>397625</v>
      </c>
      <c r="T192" s="94">
        <f ca="1">T189*'Summary and Assumptions'!$D$104</f>
        <v>1273875</v>
      </c>
      <c r="U192" s="94">
        <f ca="1">U189*'Summary and Assumptions'!$D$104</f>
        <v>1327875</v>
      </c>
      <c r="V192" s="94">
        <f ca="1">V189*'Summary and Assumptions'!$D$104</f>
        <v>1407187.5</v>
      </c>
      <c r="W192" s="95">
        <f ca="1">W189*'Summary and Assumptions'!$D$104</f>
        <v>1443750</v>
      </c>
      <c r="X192" s="94">
        <f ca="1">X189*'Summary and Assumptions'!$D$104</f>
        <v>1970000</v>
      </c>
      <c r="Y192" s="94">
        <f ca="1">Y189*'Summary and Assumptions'!$D$104</f>
        <v>2015000</v>
      </c>
      <c r="Z192" s="94">
        <f ca="1">Z189*'Summary and Assumptions'!$D$104</f>
        <v>2045000</v>
      </c>
      <c r="AA192" s="95">
        <f ca="1">AA189*'Summary and Assumptions'!$D$104</f>
        <v>2090000</v>
      </c>
      <c r="AB192" s="94">
        <f ca="1">AB189*'Summary and Assumptions'!$D$104</f>
        <v>2650000</v>
      </c>
      <c r="AC192" s="94">
        <f ca="1">AC189*'Summary and Assumptions'!$D$104</f>
        <v>2668750</v>
      </c>
      <c r="AD192" s="94">
        <f ca="1">AD189*'Summary and Assumptions'!$D$104</f>
        <v>2668750</v>
      </c>
      <c r="AE192" s="95">
        <f ca="1">AE189*'Summary and Assumptions'!$D$104</f>
        <v>2668750</v>
      </c>
      <c r="AF192" s="94">
        <f ca="1">AF189*'Summary and Assumptions'!$D$104</f>
        <v>6671875</v>
      </c>
      <c r="AG192" s="94">
        <f ca="1">AG189*'Summary and Assumptions'!$D$104</f>
        <v>6671875</v>
      </c>
      <c r="AH192" s="94">
        <f ca="1">AH189*'Summary and Assumptions'!$D$104</f>
        <v>6671875</v>
      </c>
      <c r="AI192" s="95">
        <f ca="1">AI189*'Summary and Assumptions'!$D$104</f>
        <v>6671875</v>
      </c>
      <c r="AJ192" s="94">
        <f ca="1">AJ189*'Summary and Assumptions'!$D$104</f>
        <v>13343750</v>
      </c>
      <c r="AK192" s="94">
        <f ca="1">AK189*'Summary and Assumptions'!$D$104</f>
        <v>13343750</v>
      </c>
      <c r="AL192" s="94">
        <f ca="1">AL189*'Summary and Assumptions'!$D$104</f>
        <v>13343750</v>
      </c>
      <c r="AM192" s="95">
        <f ca="1">AM189*'Summary and Assumptions'!$D$104</f>
        <v>13343750</v>
      </c>
      <c r="AN192" s="94">
        <f ca="1">AN189*'Summary and Assumptions'!$D$104</f>
        <v>26687500</v>
      </c>
      <c r="AO192" s="94">
        <f ca="1">AO189*'Summary and Assumptions'!$D$104</f>
        <v>26687500</v>
      </c>
      <c r="AP192" s="94">
        <f ca="1">AP189*'Summary and Assumptions'!$D$104</f>
        <v>26687500</v>
      </c>
      <c r="AQ192" s="95">
        <f ca="1">AQ189*'Summary and Assumptions'!$D$104</f>
        <v>26687500</v>
      </c>
      <c r="AR192" s="94">
        <f ca="1">AR189*'Summary and Assumptions'!$D$104</f>
        <v>13343750</v>
      </c>
      <c r="AS192" s="94">
        <f ca="1">AS189*'Summary and Assumptions'!$D$104</f>
        <v>13343750</v>
      </c>
      <c r="AT192" s="94">
        <f ca="1">AT189*'Summary and Assumptions'!$D$104</f>
        <v>13343750</v>
      </c>
      <c r="AU192" s="95">
        <f ca="1">AU189*'Summary and Assumptions'!$D$104</f>
        <v>13343750</v>
      </c>
      <c r="AV192" s="98"/>
      <c r="AW192" s="98"/>
      <c r="AX192" s="98"/>
      <c r="AY192" s="99"/>
    </row>
    <row r="193" spans="1:51" ht="15.75" customHeight="1" x14ac:dyDescent="0.2">
      <c r="A193" s="3"/>
      <c r="B193" s="396"/>
      <c r="C193" s="438"/>
      <c r="D193" s="439"/>
      <c r="E193" s="439"/>
      <c r="F193" s="439"/>
      <c r="G193" s="440"/>
      <c r="H193" s="439"/>
      <c r="I193" s="439"/>
      <c r="J193" s="439"/>
      <c r="K193" s="440"/>
      <c r="L193" s="439"/>
      <c r="M193" s="439"/>
      <c r="N193" s="439"/>
      <c r="O193" s="440"/>
      <c r="P193" s="439"/>
      <c r="Q193" s="439"/>
      <c r="R193" s="439"/>
      <c r="S193" s="440"/>
      <c r="T193" s="439"/>
      <c r="U193" s="439"/>
      <c r="V193" s="439"/>
      <c r="W193" s="440"/>
      <c r="X193" s="439"/>
      <c r="Y193" s="439"/>
      <c r="Z193" s="439"/>
      <c r="AA193" s="440"/>
      <c r="AB193" s="439"/>
      <c r="AC193" s="439"/>
      <c r="AD193" s="439"/>
      <c r="AE193" s="440"/>
      <c r="AF193" s="439"/>
      <c r="AG193" s="439"/>
      <c r="AH193" s="439"/>
      <c r="AI193" s="440"/>
      <c r="AJ193" s="439"/>
      <c r="AK193" s="439"/>
      <c r="AL193" s="439"/>
      <c r="AM193" s="440"/>
      <c r="AN193" s="439"/>
      <c r="AO193" s="439"/>
      <c r="AP193" s="439"/>
      <c r="AQ193" s="440"/>
      <c r="AR193" s="439"/>
      <c r="AS193" s="439"/>
      <c r="AT193" s="439"/>
      <c r="AU193" s="440"/>
      <c r="AV193" s="441"/>
      <c r="AW193" s="441"/>
      <c r="AX193" s="441"/>
      <c r="AY193" s="442"/>
    </row>
    <row r="194" spans="1:51" ht="15.75" customHeight="1" x14ac:dyDescent="0.2">
      <c r="A194" s="457"/>
      <c r="B194" s="443" t="str">
        <f t="shared" ref="B194:B195" si="71">B167</f>
        <v>Cash Balance</v>
      </c>
      <c r="C194" s="459"/>
      <c r="D194" s="464"/>
      <c r="E194" s="464"/>
      <c r="F194" s="464"/>
      <c r="G194" s="465"/>
      <c r="H194" s="464"/>
      <c r="I194" s="464"/>
      <c r="J194" s="464"/>
      <c r="K194" s="465"/>
      <c r="L194" s="464"/>
      <c r="M194" s="464"/>
      <c r="N194" s="464"/>
      <c r="O194" s="465"/>
      <c r="P194" s="464"/>
      <c r="Q194" s="464"/>
      <c r="R194" s="464"/>
      <c r="S194" s="465"/>
      <c r="T194" s="464"/>
      <c r="U194" s="464"/>
      <c r="V194" s="464"/>
      <c r="W194" s="465"/>
      <c r="X194" s="464"/>
      <c r="Y194" s="464"/>
      <c r="Z194" s="464"/>
      <c r="AA194" s="465"/>
      <c r="AB194" s="464"/>
      <c r="AC194" s="464"/>
      <c r="AD194" s="464"/>
      <c r="AE194" s="465"/>
      <c r="AF194" s="464"/>
      <c r="AG194" s="464"/>
      <c r="AH194" s="464"/>
      <c r="AI194" s="465"/>
      <c r="AJ194" s="464"/>
      <c r="AK194" s="464"/>
      <c r="AL194" s="464"/>
      <c r="AM194" s="465"/>
      <c r="AN194" s="464"/>
      <c r="AO194" s="464"/>
      <c r="AP194" s="464"/>
      <c r="AQ194" s="465"/>
      <c r="AR194" s="464"/>
      <c r="AS194" s="464"/>
      <c r="AT194" s="464"/>
      <c r="AU194" s="465"/>
      <c r="AV194" s="462"/>
      <c r="AW194" s="462"/>
      <c r="AX194" s="462"/>
      <c r="AY194" s="463"/>
    </row>
    <row r="195" spans="1:51" ht="15.75" customHeight="1" x14ac:dyDescent="0.2">
      <c r="B195" s="3" t="str">
        <f t="shared" si="71"/>
        <v>Beginning balance</v>
      </c>
      <c r="C195" s="73"/>
      <c r="D195" s="402">
        <f>D168</f>
        <v>100000000</v>
      </c>
      <c r="E195" s="264">
        <f t="shared" ref="E195:AU195" ca="1" si="72">D200</f>
        <v>96850000</v>
      </c>
      <c r="F195" s="264">
        <f t="shared" ca="1" si="72"/>
        <v>92450000</v>
      </c>
      <c r="G195" s="399">
        <f t="shared" ca="1" si="72"/>
        <v>89300000</v>
      </c>
      <c r="H195" s="264">
        <f t="shared" ca="1" si="72"/>
        <v>84900000</v>
      </c>
      <c r="I195" s="264">
        <f t="shared" ca="1" si="72"/>
        <v>81750000</v>
      </c>
      <c r="J195" s="264">
        <f t="shared" ca="1" si="72"/>
        <v>77125000</v>
      </c>
      <c r="K195" s="399">
        <f t="shared" ca="1" si="72"/>
        <v>69575000</v>
      </c>
      <c r="L195" s="264">
        <f t="shared" ca="1" si="72"/>
        <v>64325000</v>
      </c>
      <c r="M195" s="264">
        <f t="shared" ca="1" si="72"/>
        <v>56775000</v>
      </c>
      <c r="N195" s="264">
        <f t="shared" ca="1" si="72"/>
        <v>49225000</v>
      </c>
      <c r="O195" s="399">
        <f t="shared" ca="1" si="72"/>
        <v>43975000</v>
      </c>
      <c r="P195" s="264">
        <f t="shared" ca="1" si="72"/>
        <v>35675000</v>
      </c>
      <c r="Q195" s="264">
        <f t="shared" ca="1" si="72"/>
        <v>29238125</v>
      </c>
      <c r="R195" s="264">
        <f t="shared" ca="1" si="72"/>
        <v>21053250</v>
      </c>
      <c r="S195" s="399">
        <f t="shared" ca="1" si="72"/>
        <v>16154125</v>
      </c>
      <c r="T195" s="264">
        <f t="shared" ca="1" si="72"/>
        <v>11589250</v>
      </c>
      <c r="U195" s="264">
        <f t="shared" ca="1" si="72"/>
        <v>6863125</v>
      </c>
      <c r="V195" s="264">
        <f t="shared" ca="1" si="72"/>
        <v>4003500</v>
      </c>
      <c r="W195" s="399">
        <f t="shared" ca="1" si="72"/>
        <v>-451812.5</v>
      </c>
      <c r="X195" s="264">
        <f t="shared" ca="1" si="72"/>
        <v>-2008062.5</v>
      </c>
      <c r="Y195" s="264">
        <f t="shared" ca="1" si="72"/>
        <v>-2838062.5</v>
      </c>
      <c r="Z195" s="264">
        <f t="shared" ca="1" si="72"/>
        <v>-3610562.5</v>
      </c>
      <c r="AA195" s="399">
        <f t="shared" ca="1" si="72"/>
        <v>-3590562.5</v>
      </c>
      <c r="AB195" s="264">
        <f t="shared" ca="1" si="72"/>
        <v>-4263062.5</v>
      </c>
      <c r="AC195" s="264">
        <f t="shared" ca="1" si="72"/>
        <v>-3613062.5</v>
      </c>
      <c r="AD195" s="264">
        <f t="shared" ca="1" si="72"/>
        <v>-2181812.5</v>
      </c>
      <c r="AE195" s="399">
        <f t="shared" ca="1" si="72"/>
        <v>11937.5</v>
      </c>
      <c r="AF195" s="264">
        <f t="shared" ca="1" si="72"/>
        <v>2218187.5</v>
      </c>
      <c r="AG195" s="264">
        <f t="shared" ca="1" si="72"/>
        <v>8440062.5</v>
      </c>
      <c r="AH195" s="264">
        <f t="shared" ca="1" si="72"/>
        <v>14674437.5</v>
      </c>
      <c r="AI195" s="399">
        <f t="shared" ca="1" si="72"/>
        <v>20921312.5</v>
      </c>
      <c r="AJ195" s="264">
        <f t="shared" ca="1" si="72"/>
        <v>27180687.5</v>
      </c>
      <c r="AK195" s="264">
        <f t="shared" ca="1" si="72"/>
        <v>40124437.5</v>
      </c>
      <c r="AL195" s="264">
        <f t="shared" ca="1" si="72"/>
        <v>53068187.5</v>
      </c>
      <c r="AM195" s="399">
        <f t="shared" ca="1" si="72"/>
        <v>66011937.5</v>
      </c>
      <c r="AN195" s="264">
        <f t="shared" ca="1" si="72"/>
        <v>78955687.5</v>
      </c>
      <c r="AO195" s="264">
        <f t="shared" ca="1" si="72"/>
        <v>105243187.5</v>
      </c>
      <c r="AP195" s="264">
        <f t="shared" ca="1" si="72"/>
        <v>131530687.5</v>
      </c>
      <c r="AQ195" s="399">
        <f t="shared" ca="1" si="72"/>
        <v>157818187.5</v>
      </c>
      <c r="AR195" s="264">
        <f t="shared" ca="1" si="72"/>
        <v>184105687.5</v>
      </c>
      <c r="AS195" s="264">
        <f t="shared" ca="1" si="72"/>
        <v>197049437.5</v>
      </c>
      <c r="AT195" s="264">
        <f t="shared" ca="1" si="72"/>
        <v>209993187.5</v>
      </c>
      <c r="AU195" s="399">
        <f t="shared" ca="1" si="72"/>
        <v>222936937.5</v>
      </c>
      <c r="AV195" s="400"/>
      <c r="AW195" s="400"/>
      <c r="AX195" s="400"/>
      <c r="AY195" s="401"/>
    </row>
    <row r="196" spans="1:51" ht="15.75" customHeight="1" x14ac:dyDescent="0.2">
      <c r="B196" s="287"/>
      <c r="C196" s="73" t="str">
        <f t="shared" ref="C196:AU196" si="73">C169</f>
        <v>Investment outflows</v>
      </c>
      <c r="D196" s="264">
        <f t="shared" ca="1" si="73"/>
        <v>-2500000</v>
      </c>
      <c r="E196" s="264">
        <f t="shared" ca="1" si="73"/>
        <v>-3750000</v>
      </c>
      <c r="F196" s="264">
        <f t="shared" ca="1" si="73"/>
        <v>-2500000</v>
      </c>
      <c r="G196" s="399">
        <f t="shared" ca="1" si="73"/>
        <v>-3750000</v>
      </c>
      <c r="H196" s="264">
        <f t="shared" ca="1" si="73"/>
        <v>-2500000</v>
      </c>
      <c r="I196" s="264">
        <f t="shared" ca="1" si="73"/>
        <v>-3975000</v>
      </c>
      <c r="J196" s="264">
        <f t="shared" ca="1" si="73"/>
        <v>-6900000</v>
      </c>
      <c r="K196" s="399">
        <f t="shared" ca="1" si="73"/>
        <v>-4600000</v>
      </c>
      <c r="L196" s="264">
        <f t="shared" ca="1" si="73"/>
        <v>-6900000</v>
      </c>
      <c r="M196" s="264">
        <f t="shared" ca="1" si="73"/>
        <v>-6900000</v>
      </c>
      <c r="N196" s="264">
        <f t="shared" ca="1" si="73"/>
        <v>-4600000</v>
      </c>
      <c r="O196" s="399">
        <f t="shared" ca="1" si="73"/>
        <v>-7650000</v>
      </c>
      <c r="P196" s="264">
        <f t="shared" ca="1" si="73"/>
        <v>-6100000</v>
      </c>
      <c r="Q196" s="264">
        <f t="shared" ca="1" si="73"/>
        <v>-7900000</v>
      </c>
      <c r="R196" s="264">
        <f t="shared" ca="1" si="73"/>
        <v>-4650000</v>
      </c>
      <c r="S196" s="399">
        <f t="shared" ca="1" si="73"/>
        <v>-4350000</v>
      </c>
      <c r="T196" s="264">
        <f t="shared" ca="1" si="73"/>
        <v>-5400000</v>
      </c>
      <c r="U196" s="264">
        <f t="shared" ca="1" si="73"/>
        <v>-3600000</v>
      </c>
      <c r="V196" s="264">
        <f t="shared" ca="1" si="73"/>
        <v>-5287500</v>
      </c>
      <c r="W196" s="399">
        <f t="shared" ca="1" si="73"/>
        <v>-2437500</v>
      </c>
      <c r="X196" s="264">
        <f t="shared" ca="1" si="73"/>
        <v>-2250000</v>
      </c>
      <c r="Y196" s="264">
        <f t="shared" ca="1" si="73"/>
        <v>-2250000</v>
      </c>
      <c r="Z196" s="264">
        <f t="shared" ca="1" si="73"/>
        <v>-1500000</v>
      </c>
      <c r="AA196" s="399">
        <f t="shared" ca="1" si="73"/>
        <v>-2250000</v>
      </c>
      <c r="AB196" s="264">
        <f t="shared" ca="1" si="73"/>
        <v>-1500000</v>
      </c>
      <c r="AC196" s="264">
        <f t="shared" ca="1" si="73"/>
        <v>-750000</v>
      </c>
      <c r="AD196" s="264">
        <f t="shared" ca="1" si="73"/>
        <v>0</v>
      </c>
      <c r="AE196" s="399">
        <f t="shared" ca="1" si="73"/>
        <v>0</v>
      </c>
      <c r="AF196" s="264">
        <f t="shared" ca="1" si="73"/>
        <v>0</v>
      </c>
      <c r="AG196" s="264">
        <f t="shared" ca="1" si="73"/>
        <v>0</v>
      </c>
      <c r="AH196" s="264">
        <f t="shared" ca="1" si="73"/>
        <v>0</v>
      </c>
      <c r="AI196" s="399">
        <f t="shared" ca="1" si="73"/>
        <v>0</v>
      </c>
      <c r="AJ196" s="264">
        <f t="shared" ca="1" si="73"/>
        <v>0</v>
      </c>
      <c r="AK196" s="264">
        <f t="shared" ca="1" si="73"/>
        <v>0</v>
      </c>
      <c r="AL196" s="264">
        <f t="shared" ca="1" si="73"/>
        <v>0</v>
      </c>
      <c r="AM196" s="399">
        <f t="shared" ca="1" si="73"/>
        <v>0</v>
      </c>
      <c r="AN196" s="264">
        <f t="shared" ca="1" si="73"/>
        <v>0</v>
      </c>
      <c r="AO196" s="264">
        <f t="shared" ca="1" si="73"/>
        <v>0</v>
      </c>
      <c r="AP196" s="264">
        <f t="shared" ca="1" si="73"/>
        <v>0</v>
      </c>
      <c r="AQ196" s="399">
        <f t="shared" ca="1" si="73"/>
        <v>0</v>
      </c>
      <c r="AR196" s="264">
        <f t="shared" ca="1" si="73"/>
        <v>0</v>
      </c>
      <c r="AS196" s="264">
        <f t="shared" ca="1" si="73"/>
        <v>0</v>
      </c>
      <c r="AT196" s="264">
        <f t="shared" ca="1" si="73"/>
        <v>0</v>
      </c>
      <c r="AU196" s="399">
        <f t="shared" ca="1" si="73"/>
        <v>0</v>
      </c>
      <c r="AV196" s="400"/>
      <c r="AW196" s="400"/>
      <c r="AX196" s="400"/>
      <c r="AY196" s="401"/>
    </row>
    <row r="197" spans="1:51" ht="15.75" customHeight="1" x14ac:dyDescent="0.2">
      <c r="B197" s="287"/>
      <c r="C197" s="73" t="str">
        <f t="shared" ref="C197:AU197" si="74">C170</f>
        <v>Net fees</v>
      </c>
      <c r="D197" s="264">
        <f t="shared" si="74"/>
        <v>-650000</v>
      </c>
      <c r="E197" s="264">
        <f t="shared" ca="1" si="74"/>
        <v>-650000</v>
      </c>
      <c r="F197" s="264">
        <f t="shared" ca="1" si="74"/>
        <v>-650000</v>
      </c>
      <c r="G197" s="399">
        <f t="shared" ca="1" si="74"/>
        <v>-650000</v>
      </c>
      <c r="H197" s="264">
        <f t="shared" ca="1" si="74"/>
        <v>-650000</v>
      </c>
      <c r="I197" s="264">
        <f t="shared" ca="1" si="74"/>
        <v>-650000</v>
      </c>
      <c r="J197" s="264">
        <f t="shared" ca="1" si="74"/>
        <v>-650000</v>
      </c>
      <c r="K197" s="399">
        <f t="shared" ca="1" si="74"/>
        <v>-650000</v>
      </c>
      <c r="L197" s="264">
        <f t="shared" ca="1" si="74"/>
        <v>-650000</v>
      </c>
      <c r="M197" s="264">
        <f t="shared" ca="1" si="74"/>
        <v>-650000</v>
      </c>
      <c r="N197" s="264">
        <f t="shared" ca="1" si="74"/>
        <v>-650000</v>
      </c>
      <c r="O197" s="399">
        <f t="shared" ca="1" si="74"/>
        <v>-650000</v>
      </c>
      <c r="P197" s="264">
        <f t="shared" ca="1" si="74"/>
        <v>-650000</v>
      </c>
      <c r="Q197" s="264">
        <f t="shared" ca="1" si="74"/>
        <v>-637500</v>
      </c>
      <c r="R197" s="264">
        <f t="shared" ca="1" si="74"/>
        <v>-625000</v>
      </c>
      <c r="S197" s="399">
        <f t="shared" ca="1" si="74"/>
        <v>-612500</v>
      </c>
      <c r="T197" s="264">
        <f t="shared" ca="1" si="74"/>
        <v>-600000</v>
      </c>
      <c r="U197" s="264">
        <f t="shared" ca="1" si="74"/>
        <v>-587500</v>
      </c>
      <c r="V197" s="264">
        <f t="shared" ca="1" si="74"/>
        <v>-575000</v>
      </c>
      <c r="W197" s="399">
        <f t="shared" ca="1" si="74"/>
        <v>-562500</v>
      </c>
      <c r="X197" s="264">
        <f t="shared" ca="1" si="74"/>
        <v>-550000</v>
      </c>
      <c r="Y197" s="264">
        <f t="shared" ca="1" si="74"/>
        <v>-537500</v>
      </c>
      <c r="Z197" s="264">
        <f t="shared" ca="1" si="74"/>
        <v>-525000</v>
      </c>
      <c r="AA197" s="399">
        <f t="shared" ca="1" si="74"/>
        <v>-512499.99999999988</v>
      </c>
      <c r="AB197" s="264">
        <f t="shared" ca="1" si="74"/>
        <v>-499999.99999999988</v>
      </c>
      <c r="AC197" s="264">
        <f t="shared" ca="1" si="74"/>
        <v>-487499.99999999988</v>
      </c>
      <c r="AD197" s="264">
        <f t="shared" ca="1" si="74"/>
        <v>-474999.99999999988</v>
      </c>
      <c r="AE197" s="399">
        <f t="shared" ca="1" si="74"/>
        <v>-462499.99999999988</v>
      </c>
      <c r="AF197" s="264">
        <f t="shared" ca="1" si="74"/>
        <v>-449999.99999999988</v>
      </c>
      <c r="AG197" s="264">
        <f t="shared" ca="1" si="74"/>
        <v>-437499.99999999983</v>
      </c>
      <c r="AH197" s="264">
        <f t="shared" ca="1" si="74"/>
        <v>-424999.99999999983</v>
      </c>
      <c r="AI197" s="399">
        <f t="shared" ca="1" si="74"/>
        <v>-412499.99999999983</v>
      </c>
      <c r="AJ197" s="264">
        <f t="shared" ca="1" si="74"/>
        <v>-400000</v>
      </c>
      <c r="AK197" s="264">
        <f t="shared" ca="1" si="74"/>
        <v>-400000</v>
      </c>
      <c r="AL197" s="264">
        <f t="shared" ca="1" si="74"/>
        <v>-400000</v>
      </c>
      <c r="AM197" s="399">
        <f t="shared" ca="1" si="74"/>
        <v>-400000</v>
      </c>
      <c r="AN197" s="264">
        <f t="shared" ca="1" si="74"/>
        <v>-400000</v>
      </c>
      <c r="AO197" s="264">
        <f t="shared" ca="1" si="74"/>
        <v>-400000</v>
      </c>
      <c r="AP197" s="264">
        <f t="shared" ca="1" si="74"/>
        <v>-400000</v>
      </c>
      <c r="AQ197" s="399">
        <f t="shared" ca="1" si="74"/>
        <v>-400000</v>
      </c>
      <c r="AR197" s="264">
        <f t="shared" ca="1" si="74"/>
        <v>-400000</v>
      </c>
      <c r="AS197" s="264">
        <f t="shared" ca="1" si="74"/>
        <v>-400000</v>
      </c>
      <c r="AT197" s="264">
        <f t="shared" ca="1" si="74"/>
        <v>-400000</v>
      </c>
      <c r="AU197" s="399">
        <f t="shared" ca="1" si="74"/>
        <v>-400000</v>
      </c>
      <c r="AV197" s="400"/>
      <c r="AW197" s="400"/>
      <c r="AX197" s="400"/>
      <c r="AY197" s="401"/>
    </row>
    <row r="198" spans="1:51" ht="15.75" customHeight="1" x14ac:dyDescent="0.2">
      <c r="B198" s="287"/>
      <c r="C198" s="73" t="str">
        <f t="shared" ref="C198:C199" si="75">C171</f>
        <v>Distributions</v>
      </c>
      <c r="D198" s="264">
        <f t="shared" ref="D198:AU198" ca="1" si="76">IF(D$4&lt;=$C$4,-D$131,(D192-D189))</f>
        <v>0</v>
      </c>
      <c r="E198" s="264">
        <f t="shared" ca="1" si="76"/>
        <v>0</v>
      </c>
      <c r="F198" s="264">
        <f t="shared" ca="1" si="76"/>
        <v>0</v>
      </c>
      <c r="G198" s="399">
        <f t="shared" ca="1" si="76"/>
        <v>0</v>
      </c>
      <c r="H198" s="264">
        <f t="shared" ca="1" si="76"/>
        <v>0</v>
      </c>
      <c r="I198" s="264">
        <f t="shared" ca="1" si="76"/>
        <v>0</v>
      </c>
      <c r="J198" s="264">
        <f t="shared" ca="1" si="76"/>
        <v>0</v>
      </c>
      <c r="K198" s="399">
        <f t="shared" ca="1" si="76"/>
        <v>0</v>
      </c>
      <c r="L198" s="264">
        <f t="shared" ca="1" si="76"/>
        <v>0</v>
      </c>
      <c r="M198" s="264">
        <f t="shared" ca="1" si="76"/>
        <v>0</v>
      </c>
      <c r="N198" s="264">
        <f t="shared" ca="1" si="76"/>
        <v>0</v>
      </c>
      <c r="O198" s="399">
        <f t="shared" ca="1" si="76"/>
        <v>0</v>
      </c>
      <c r="P198" s="264">
        <f t="shared" ca="1" si="76"/>
        <v>0</v>
      </c>
      <c r="Q198" s="264">
        <f t="shared" ca="1" si="76"/>
        <v>0</v>
      </c>
      <c r="R198" s="264">
        <f t="shared" ca="1" si="76"/>
        <v>0</v>
      </c>
      <c r="S198" s="399">
        <f t="shared" ca="1" si="76"/>
        <v>0</v>
      </c>
      <c r="T198" s="264">
        <f t="shared" ca="1" si="76"/>
        <v>0</v>
      </c>
      <c r="U198" s="264">
        <f t="shared" ca="1" si="76"/>
        <v>0</v>
      </c>
      <c r="V198" s="264">
        <f t="shared" ca="1" si="76"/>
        <v>0</v>
      </c>
      <c r="W198" s="399">
        <f t="shared" ca="1" si="76"/>
        <v>0</v>
      </c>
      <c r="X198" s="264">
        <f t="shared" ca="1" si="76"/>
        <v>0</v>
      </c>
      <c r="Y198" s="264">
        <f t="shared" ca="1" si="76"/>
        <v>0</v>
      </c>
      <c r="Z198" s="264">
        <f t="shared" ca="1" si="76"/>
        <v>0</v>
      </c>
      <c r="AA198" s="399">
        <f t="shared" ca="1" si="76"/>
        <v>0</v>
      </c>
      <c r="AB198" s="264">
        <f t="shared" ca="1" si="76"/>
        <v>0</v>
      </c>
      <c r="AC198" s="264">
        <f t="shared" ca="1" si="76"/>
        <v>0</v>
      </c>
      <c r="AD198" s="264">
        <f t="shared" ca="1" si="76"/>
        <v>0</v>
      </c>
      <c r="AE198" s="399">
        <f t="shared" ca="1" si="76"/>
        <v>0</v>
      </c>
      <c r="AF198" s="264">
        <f t="shared" ca="1" si="76"/>
        <v>0</v>
      </c>
      <c r="AG198" s="264">
        <f t="shared" ca="1" si="76"/>
        <v>0</v>
      </c>
      <c r="AH198" s="264">
        <f t="shared" ca="1" si="76"/>
        <v>0</v>
      </c>
      <c r="AI198" s="399">
        <f t="shared" ca="1" si="76"/>
        <v>0</v>
      </c>
      <c r="AJ198" s="264">
        <f t="shared" ca="1" si="76"/>
        <v>0</v>
      </c>
      <c r="AK198" s="264">
        <f t="shared" ca="1" si="76"/>
        <v>0</v>
      </c>
      <c r="AL198" s="264">
        <f t="shared" ca="1" si="76"/>
        <v>0</v>
      </c>
      <c r="AM198" s="399">
        <f t="shared" ca="1" si="76"/>
        <v>0</v>
      </c>
      <c r="AN198" s="264">
        <f t="shared" ca="1" si="76"/>
        <v>0</v>
      </c>
      <c r="AO198" s="264">
        <f t="shared" ca="1" si="76"/>
        <v>0</v>
      </c>
      <c r="AP198" s="264">
        <f t="shared" ca="1" si="76"/>
        <v>0</v>
      </c>
      <c r="AQ198" s="399">
        <f t="shared" ca="1" si="76"/>
        <v>0</v>
      </c>
      <c r="AR198" s="264">
        <f t="shared" ca="1" si="76"/>
        <v>0</v>
      </c>
      <c r="AS198" s="264">
        <f t="shared" ca="1" si="76"/>
        <v>0</v>
      </c>
      <c r="AT198" s="264">
        <f t="shared" ca="1" si="76"/>
        <v>0</v>
      </c>
      <c r="AU198" s="399">
        <f t="shared" ca="1" si="76"/>
        <v>0</v>
      </c>
      <c r="AV198" s="400"/>
      <c r="AW198" s="400"/>
      <c r="AX198" s="400"/>
      <c r="AY198" s="401"/>
    </row>
    <row r="199" spans="1:51" ht="15.75" customHeight="1" x14ac:dyDescent="0.2">
      <c r="B199" s="287"/>
      <c r="C199" s="403" t="str">
        <f t="shared" si="75"/>
        <v>Returns</v>
      </c>
      <c r="D199" s="264">
        <f t="shared" ref="D199:AU199" ca="1" si="77">IF(D$4&lt;=$C$4,D$137,D189)</f>
        <v>0</v>
      </c>
      <c r="E199" s="264">
        <f t="shared" ca="1" si="77"/>
        <v>0</v>
      </c>
      <c r="F199" s="264">
        <f t="shared" ca="1" si="77"/>
        <v>0</v>
      </c>
      <c r="G199" s="399">
        <f t="shared" ca="1" si="77"/>
        <v>0</v>
      </c>
      <c r="H199" s="264">
        <f t="shared" ca="1" si="77"/>
        <v>0</v>
      </c>
      <c r="I199" s="264">
        <f t="shared" ca="1" si="77"/>
        <v>0</v>
      </c>
      <c r="J199" s="264">
        <f t="shared" ca="1" si="77"/>
        <v>0</v>
      </c>
      <c r="K199" s="399">
        <f t="shared" ca="1" si="77"/>
        <v>0</v>
      </c>
      <c r="L199" s="264">
        <f t="shared" ca="1" si="77"/>
        <v>0</v>
      </c>
      <c r="M199" s="264">
        <f t="shared" ca="1" si="77"/>
        <v>0</v>
      </c>
      <c r="N199" s="264">
        <f t="shared" ca="1" si="77"/>
        <v>0</v>
      </c>
      <c r="O199" s="399">
        <f t="shared" ca="1" si="77"/>
        <v>0</v>
      </c>
      <c r="P199" s="264">
        <f t="shared" ca="1" si="77"/>
        <v>313125</v>
      </c>
      <c r="Q199" s="264">
        <f t="shared" ca="1" si="77"/>
        <v>352625</v>
      </c>
      <c r="R199" s="264">
        <f t="shared" ca="1" si="77"/>
        <v>375875</v>
      </c>
      <c r="S199" s="399">
        <f t="shared" ca="1" si="77"/>
        <v>397625</v>
      </c>
      <c r="T199" s="264">
        <f t="shared" ca="1" si="77"/>
        <v>1273875</v>
      </c>
      <c r="U199" s="264">
        <f t="shared" ca="1" si="77"/>
        <v>1327875</v>
      </c>
      <c r="V199" s="264">
        <f t="shared" ca="1" si="77"/>
        <v>1407187.5</v>
      </c>
      <c r="W199" s="399">
        <f t="shared" ca="1" si="77"/>
        <v>1443750</v>
      </c>
      <c r="X199" s="264">
        <f t="shared" ca="1" si="77"/>
        <v>1970000</v>
      </c>
      <c r="Y199" s="264">
        <f t="shared" ca="1" si="77"/>
        <v>2015000</v>
      </c>
      <c r="Z199" s="264">
        <f t="shared" ca="1" si="77"/>
        <v>2045000</v>
      </c>
      <c r="AA199" s="399">
        <f t="shared" ca="1" si="77"/>
        <v>2090000</v>
      </c>
      <c r="AB199" s="264">
        <f t="shared" ca="1" si="77"/>
        <v>2650000</v>
      </c>
      <c r="AC199" s="264">
        <f t="shared" ca="1" si="77"/>
        <v>2668750</v>
      </c>
      <c r="AD199" s="264">
        <f t="shared" ca="1" si="77"/>
        <v>2668750</v>
      </c>
      <c r="AE199" s="399">
        <f t="shared" ca="1" si="77"/>
        <v>2668750</v>
      </c>
      <c r="AF199" s="264">
        <f t="shared" ca="1" si="77"/>
        <v>6671875</v>
      </c>
      <c r="AG199" s="264">
        <f t="shared" ca="1" si="77"/>
        <v>6671875</v>
      </c>
      <c r="AH199" s="264">
        <f t="shared" ca="1" si="77"/>
        <v>6671875</v>
      </c>
      <c r="AI199" s="399">
        <f t="shared" ca="1" si="77"/>
        <v>6671875</v>
      </c>
      <c r="AJ199" s="264">
        <f t="shared" ca="1" si="77"/>
        <v>13343750</v>
      </c>
      <c r="AK199" s="264">
        <f t="shared" ca="1" si="77"/>
        <v>13343750</v>
      </c>
      <c r="AL199" s="264">
        <f t="shared" ca="1" si="77"/>
        <v>13343750</v>
      </c>
      <c r="AM199" s="399">
        <f t="shared" ca="1" si="77"/>
        <v>13343750</v>
      </c>
      <c r="AN199" s="264">
        <f t="shared" ca="1" si="77"/>
        <v>26687500</v>
      </c>
      <c r="AO199" s="264">
        <f t="shared" ca="1" si="77"/>
        <v>26687500</v>
      </c>
      <c r="AP199" s="264">
        <f t="shared" ca="1" si="77"/>
        <v>26687500</v>
      </c>
      <c r="AQ199" s="399">
        <f t="shared" ca="1" si="77"/>
        <v>26687500</v>
      </c>
      <c r="AR199" s="264">
        <f t="shared" ca="1" si="77"/>
        <v>13343750</v>
      </c>
      <c r="AS199" s="264">
        <f t="shared" ca="1" si="77"/>
        <v>13343750</v>
      </c>
      <c r="AT199" s="264">
        <f t="shared" ca="1" si="77"/>
        <v>13343750</v>
      </c>
      <c r="AU199" s="399">
        <f t="shared" ca="1" si="77"/>
        <v>13343750</v>
      </c>
      <c r="AV199" s="400"/>
      <c r="AW199" s="400"/>
      <c r="AX199" s="400"/>
      <c r="AY199" s="401"/>
    </row>
    <row r="200" spans="1:51" ht="15.75" customHeight="1" x14ac:dyDescent="0.2">
      <c r="A200" s="3"/>
      <c r="B200" s="262" t="s">
        <v>178</v>
      </c>
      <c r="C200" s="275"/>
      <c r="D200" s="412">
        <f t="shared" ref="D200:AU200" ca="1" si="78">D195+D196+D198+D197+D199</f>
        <v>96850000</v>
      </c>
      <c r="E200" s="412">
        <f t="shared" ca="1" si="78"/>
        <v>92450000</v>
      </c>
      <c r="F200" s="412">
        <f t="shared" ca="1" si="78"/>
        <v>89300000</v>
      </c>
      <c r="G200" s="413">
        <f t="shared" ca="1" si="78"/>
        <v>84900000</v>
      </c>
      <c r="H200" s="412">
        <f t="shared" ca="1" si="78"/>
        <v>81750000</v>
      </c>
      <c r="I200" s="412">
        <f t="shared" ca="1" si="78"/>
        <v>77125000</v>
      </c>
      <c r="J200" s="412">
        <f t="shared" ca="1" si="78"/>
        <v>69575000</v>
      </c>
      <c r="K200" s="413">
        <f t="shared" ca="1" si="78"/>
        <v>64325000</v>
      </c>
      <c r="L200" s="412">
        <f t="shared" ca="1" si="78"/>
        <v>56775000</v>
      </c>
      <c r="M200" s="412">
        <f t="shared" ca="1" si="78"/>
        <v>49225000</v>
      </c>
      <c r="N200" s="412">
        <f t="shared" ca="1" si="78"/>
        <v>43975000</v>
      </c>
      <c r="O200" s="413">
        <f t="shared" ca="1" si="78"/>
        <v>35675000</v>
      </c>
      <c r="P200" s="412">
        <f t="shared" ca="1" si="78"/>
        <v>29238125</v>
      </c>
      <c r="Q200" s="412">
        <f t="shared" ca="1" si="78"/>
        <v>21053250</v>
      </c>
      <c r="R200" s="412">
        <f t="shared" ca="1" si="78"/>
        <v>16154125</v>
      </c>
      <c r="S200" s="413">
        <f t="shared" ca="1" si="78"/>
        <v>11589250</v>
      </c>
      <c r="T200" s="412">
        <f t="shared" ca="1" si="78"/>
        <v>6863125</v>
      </c>
      <c r="U200" s="412">
        <f t="shared" ca="1" si="78"/>
        <v>4003500</v>
      </c>
      <c r="V200" s="412">
        <f t="shared" ca="1" si="78"/>
        <v>-451812.5</v>
      </c>
      <c r="W200" s="413">
        <f t="shared" ca="1" si="78"/>
        <v>-2008062.5</v>
      </c>
      <c r="X200" s="412">
        <f t="shared" ca="1" si="78"/>
        <v>-2838062.5</v>
      </c>
      <c r="Y200" s="412">
        <f t="shared" ca="1" si="78"/>
        <v>-3610562.5</v>
      </c>
      <c r="Z200" s="412">
        <f t="shared" ca="1" si="78"/>
        <v>-3590562.5</v>
      </c>
      <c r="AA200" s="413">
        <f t="shared" ca="1" si="78"/>
        <v>-4263062.5</v>
      </c>
      <c r="AB200" s="412">
        <f t="shared" ca="1" si="78"/>
        <v>-3613062.5</v>
      </c>
      <c r="AC200" s="412">
        <f t="shared" ca="1" si="78"/>
        <v>-2181812.5</v>
      </c>
      <c r="AD200" s="412">
        <f t="shared" ca="1" si="78"/>
        <v>11937.5</v>
      </c>
      <c r="AE200" s="413">
        <f t="shared" ca="1" si="78"/>
        <v>2218187.5</v>
      </c>
      <c r="AF200" s="412">
        <f t="shared" ca="1" si="78"/>
        <v>8440062.5</v>
      </c>
      <c r="AG200" s="412">
        <f t="shared" ca="1" si="78"/>
        <v>14674437.5</v>
      </c>
      <c r="AH200" s="412">
        <f t="shared" ca="1" si="78"/>
        <v>20921312.5</v>
      </c>
      <c r="AI200" s="413">
        <f t="shared" ca="1" si="78"/>
        <v>27180687.5</v>
      </c>
      <c r="AJ200" s="412">
        <f t="shared" ca="1" si="78"/>
        <v>40124437.5</v>
      </c>
      <c r="AK200" s="412">
        <f t="shared" ca="1" si="78"/>
        <v>53068187.5</v>
      </c>
      <c r="AL200" s="412">
        <f t="shared" ca="1" si="78"/>
        <v>66011937.5</v>
      </c>
      <c r="AM200" s="413">
        <f t="shared" ca="1" si="78"/>
        <v>78955687.5</v>
      </c>
      <c r="AN200" s="412">
        <f t="shared" ca="1" si="78"/>
        <v>105243187.5</v>
      </c>
      <c r="AO200" s="412">
        <f t="shared" ca="1" si="78"/>
        <v>131530687.5</v>
      </c>
      <c r="AP200" s="412">
        <f t="shared" ca="1" si="78"/>
        <v>157818187.5</v>
      </c>
      <c r="AQ200" s="413">
        <f t="shared" ca="1" si="78"/>
        <v>184105687.5</v>
      </c>
      <c r="AR200" s="412">
        <f t="shared" ca="1" si="78"/>
        <v>197049437.5</v>
      </c>
      <c r="AS200" s="412">
        <f t="shared" ca="1" si="78"/>
        <v>209993187.5</v>
      </c>
      <c r="AT200" s="412">
        <f t="shared" ca="1" si="78"/>
        <v>222936937.5</v>
      </c>
      <c r="AU200" s="413">
        <f t="shared" ca="1" si="78"/>
        <v>235880687.5</v>
      </c>
      <c r="AV200" s="468"/>
      <c r="AW200" s="468"/>
      <c r="AX200" s="468"/>
      <c r="AY200" s="469"/>
    </row>
    <row r="201" spans="1:51" ht="15.75" customHeight="1" x14ac:dyDescent="0.2">
      <c r="A201" s="470"/>
      <c r="B201" s="471" t="s">
        <v>168</v>
      </c>
      <c r="C201" s="472"/>
      <c r="D201" s="473">
        <f t="shared" ref="D201:AU201" ca="1" si="79">D200/$C$5</f>
        <v>0.96850000000000003</v>
      </c>
      <c r="E201" s="473">
        <f t="shared" ca="1" si="79"/>
        <v>0.92449999999999999</v>
      </c>
      <c r="F201" s="473">
        <f t="shared" ca="1" si="79"/>
        <v>0.89300000000000002</v>
      </c>
      <c r="G201" s="391">
        <f t="shared" ca="1" si="79"/>
        <v>0.84899999999999998</v>
      </c>
      <c r="H201" s="473">
        <f t="shared" ca="1" si="79"/>
        <v>0.8175</v>
      </c>
      <c r="I201" s="473">
        <f t="shared" ca="1" si="79"/>
        <v>0.77124999999999999</v>
      </c>
      <c r="J201" s="473">
        <f t="shared" ca="1" si="79"/>
        <v>0.69574999999999998</v>
      </c>
      <c r="K201" s="391">
        <f t="shared" ca="1" si="79"/>
        <v>0.64324999999999999</v>
      </c>
      <c r="L201" s="473">
        <f t="shared" ca="1" si="79"/>
        <v>0.56774999999999998</v>
      </c>
      <c r="M201" s="473">
        <f t="shared" ca="1" si="79"/>
        <v>0.49225000000000002</v>
      </c>
      <c r="N201" s="473">
        <f t="shared" ca="1" si="79"/>
        <v>0.43974999999999997</v>
      </c>
      <c r="O201" s="391">
        <f t="shared" ca="1" si="79"/>
        <v>0.35675000000000001</v>
      </c>
      <c r="P201" s="473">
        <f t="shared" ca="1" si="79"/>
        <v>0.29238124999999998</v>
      </c>
      <c r="Q201" s="473">
        <f t="shared" ca="1" si="79"/>
        <v>0.21053250000000001</v>
      </c>
      <c r="R201" s="473">
        <f t="shared" ca="1" si="79"/>
        <v>0.16154125</v>
      </c>
      <c r="S201" s="391">
        <f t="shared" ca="1" si="79"/>
        <v>0.1158925</v>
      </c>
      <c r="T201" s="473">
        <f t="shared" ca="1" si="79"/>
        <v>6.8631250000000005E-2</v>
      </c>
      <c r="U201" s="473">
        <f t="shared" ca="1" si="79"/>
        <v>4.0035000000000001E-2</v>
      </c>
      <c r="V201" s="473">
        <f t="shared" ca="1" si="79"/>
        <v>-4.5181249999999996E-3</v>
      </c>
      <c r="W201" s="391">
        <f t="shared" ca="1" si="79"/>
        <v>-2.0080625000000001E-2</v>
      </c>
      <c r="X201" s="473">
        <f t="shared" ca="1" si="79"/>
        <v>-2.8380625E-2</v>
      </c>
      <c r="Y201" s="473">
        <f t="shared" ca="1" si="79"/>
        <v>-3.6105625000000002E-2</v>
      </c>
      <c r="Z201" s="473">
        <f t="shared" ca="1" si="79"/>
        <v>-3.5905624999999997E-2</v>
      </c>
      <c r="AA201" s="391">
        <f t="shared" ca="1" si="79"/>
        <v>-4.2630624999999998E-2</v>
      </c>
      <c r="AB201" s="473">
        <f t="shared" ca="1" si="79"/>
        <v>-3.6130625E-2</v>
      </c>
      <c r="AC201" s="473">
        <f t="shared" ca="1" si="79"/>
        <v>-2.1818125000000001E-2</v>
      </c>
      <c r="AD201" s="473">
        <f t="shared" ca="1" si="79"/>
        <v>1.19375E-4</v>
      </c>
      <c r="AE201" s="391">
        <f t="shared" ca="1" si="79"/>
        <v>2.2181875E-2</v>
      </c>
      <c r="AF201" s="473">
        <f t="shared" ca="1" si="79"/>
        <v>8.4400625000000007E-2</v>
      </c>
      <c r="AG201" s="473">
        <f t="shared" ca="1" si="79"/>
        <v>0.14674437500000001</v>
      </c>
      <c r="AH201" s="473">
        <f t="shared" ca="1" si="79"/>
        <v>0.209213125</v>
      </c>
      <c r="AI201" s="391">
        <f t="shared" ca="1" si="79"/>
        <v>0.271806875</v>
      </c>
      <c r="AJ201" s="473">
        <f t="shared" ca="1" si="79"/>
        <v>0.40124437499999999</v>
      </c>
      <c r="AK201" s="473">
        <f t="shared" ca="1" si="79"/>
        <v>0.53068187499999997</v>
      </c>
      <c r="AL201" s="473">
        <f t="shared" ca="1" si="79"/>
        <v>0.66011937499999995</v>
      </c>
      <c r="AM201" s="391">
        <f t="shared" ca="1" si="79"/>
        <v>0.78955687500000005</v>
      </c>
      <c r="AN201" s="473">
        <f t="shared" ca="1" si="79"/>
        <v>1.0524318749999999</v>
      </c>
      <c r="AO201" s="473">
        <f t="shared" ca="1" si="79"/>
        <v>1.3153068750000001</v>
      </c>
      <c r="AP201" s="473">
        <f t="shared" ca="1" si="79"/>
        <v>1.5781818750000001</v>
      </c>
      <c r="AQ201" s="391">
        <f t="shared" ca="1" si="79"/>
        <v>1.841056875</v>
      </c>
      <c r="AR201" s="473">
        <f t="shared" ca="1" si="79"/>
        <v>1.9704943749999999</v>
      </c>
      <c r="AS201" s="473">
        <f t="shared" ca="1" si="79"/>
        <v>2.0999318749999998</v>
      </c>
      <c r="AT201" s="473">
        <f t="shared" ca="1" si="79"/>
        <v>2.2293693750000001</v>
      </c>
      <c r="AU201" s="391">
        <f t="shared" ca="1" si="79"/>
        <v>2.358806875</v>
      </c>
      <c r="AV201" s="474"/>
      <c r="AW201" s="474"/>
      <c r="AX201" s="474"/>
      <c r="AY201" s="393"/>
    </row>
    <row r="202" spans="1:51" ht="15.75" customHeight="1" x14ac:dyDescent="0.2">
      <c r="A202" s="83"/>
      <c r="B202" s="389" t="s">
        <v>169</v>
      </c>
      <c r="C202" s="93"/>
      <c r="D202" s="390" t="str">
        <f t="shared" ref="D202:F202" ca="1" si="80">IFERROR(D200/#REF!-1,"NA")</f>
        <v>NA</v>
      </c>
      <c r="E202" s="390" t="str">
        <f t="shared" ca="1" si="80"/>
        <v>NA</v>
      </c>
      <c r="F202" s="390" t="str">
        <f t="shared" ca="1" si="80"/>
        <v>NA</v>
      </c>
      <c r="G202" s="391" t="str">
        <f t="shared" ref="G202:AU202" ca="1" si="81">IFERROR(G200/C200-1,"NA")</f>
        <v>NA</v>
      </c>
      <c r="H202" s="390">
        <f t="shared" ca="1" si="81"/>
        <v>-0.15591120289106863</v>
      </c>
      <c r="I202" s="390">
        <f t="shared" ca="1" si="81"/>
        <v>-0.16576527852893452</v>
      </c>
      <c r="J202" s="390">
        <f t="shared" ca="1" si="81"/>
        <v>-0.22088465845464722</v>
      </c>
      <c r="K202" s="391">
        <f t="shared" ca="1" si="81"/>
        <v>-0.24234393404004706</v>
      </c>
      <c r="L202" s="390">
        <f t="shared" ca="1" si="81"/>
        <v>-0.30550458715596329</v>
      </c>
      <c r="M202" s="390">
        <f t="shared" ca="1" si="81"/>
        <v>-0.36175040518638579</v>
      </c>
      <c r="N202" s="390">
        <f t="shared" ca="1" si="81"/>
        <v>-0.36794825727632052</v>
      </c>
      <c r="O202" s="391">
        <f t="shared" ca="1" si="81"/>
        <v>-0.44539448115040814</v>
      </c>
      <c r="P202" s="390">
        <f t="shared" ca="1" si="81"/>
        <v>-0.48501761338617344</v>
      </c>
      <c r="Q202" s="390">
        <f t="shared" ca="1" si="81"/>
        <v>-0.57230573895378367</v>
      </c>
      <c r="R202" s="390">
        <f t="shared" ca="1" si="81"/>
        <v>-0.63265207504263787</v>
      </c>
      <c r="S202" s="391">
        <f t="shared" ca="1" si="81"/>
        <v>-0.67514365802382614</v>
      </c>
      <c r="T202" s="390">
        <f t="shared" ca="1" si="81"/>
        <v>-0.76526795066373099</v>
      </c>
      <c r="U202" s="390">
        <f t="shared" ca="1" si="81"/>
        <v>-0.80983933596950586</v>
      </c>
      <c r="V202" s="390">
        <f t="shared" ca="1" si="81"/>
        <v>-1.0279688624422554</v>
      </c>
      <c r="W202" s="391">
        <f t="shared" ca="1" si="81"/>
        <v>-1.1732694091507216</v>
      </c>
      <c r="X202" s="390">
        <f t="shared" ca="1" si="81"/>
        <v>-1.4135233585283671</v>
      </c>
      <c r="Y202" s="390">
        <f t="shared" ca="1" si="81"/>
        <v>-1.9018515049331834</v>
      </c>
      <c r="Z202" s="390">
        <f t="shared" ca="1" si="81"/>
        <v>6.9470189514455667</v>
      </c>
      <c r="AA202" s="391">
        <f t="shared" ca="1" si="81"/>
        <v>1.1229730150331476</v>
      </c>
      <c r="AB202" s="390">
        <f t="shared" ca="1" si="81"/>
        <v>0.2730736197670065</v>
      </c>
      <c r="AC202" s="390">
        <f t="shared" ca="1" si="81"/>
        <v>-0.39571396423687444</v>
      </c>
      <c r="AD202" s="390">
        <f t="shared" ca="1" si="81"/>
        <v>-1.0033246879841251</v>
      </c>
      <c r="AE202" s="391">
        <f t="shared" ca="1" si="81"/>
        <v>-1.5203272295444883</v>
      </c>
      <c r="AF202" s="390">
        <f t="shared" ca="1" si="81"/>
        <v>-3.3359857461640923</v>
      </c>
      <c r="AG202" s="390">
        <f t="shared" ca="1" si="81"/>
        <v>-7.7258013692743992</v>
      </c>
      <c r="AH202" s="390">
        <f t="shared" ca="1" si="81"/>
        <v>1751.5706806282722</v>
      </c>
      <c r="AI202" s="391">
        <f t="shared" ca="1" si="81"/>
        <v>11.253557239863627</v>
      </c>
      <c r="AJ202" s="390">
        <f t="shared" ca="1" si="81"/>
        <v>3.7540450677942259</v>
      </c>
      <c r="AK202" s="390">
        <f t="shared" ca="1" si="81"/>
        <v>2.6163694519806979</v>
      </c>
      <c r="AL202" s="390">
        <f t="shared" ca="1" si="81"/>
        <v>2.1552483860656446</v>
      </c>
      <c r="AM202" s="391">
        <f t="shared" ca="1" si="81"/>
        <v>1.9048451221110576</v>
      </c>
      <c r="AN202" s="390">
        <f t="shared" ca="1" si="81"/>
        <v>1.6229199474758991</v>
      </c>
      <c r="AO202" s="390">
        <f t="shared" ca="1" si="81"/>
        <v>1.4785223256400077</v>
      </c>
      <c r="AP202" s="390">
        <f t="shared" ca="1" si="81"/>
        <v>1.3907522408352277</v>
      </c>
      <c r="AQ202" s="391">
        <f t="shared" ca="1" si="81"/>
        <v>1.3317596658252135</v>
      </c>
      <c r="AR202" s="390">
        <f t="shared" ca="1" si="81"/>
        <v>0.8723248713841929</v>
      </c>
      <c r="AS202" s="390">
        <f t="shared" ca="1" si="81"/>
        <v>0.59653379368217774</v>
      </c>
      <c r="AT202" s="390">
        <f t="shared" ca="1" si="81"/>
        <v>0.41261879274845947</v>
      </c>
      <c r="AU202" s="391">
        <f t="shared" ca="1" si="81"/>
        <v>0.28122433751537423</v>
      </c>
      <c r="AV202" s="392"/>
      <c r="AW202" s="392"/>
      <c r="AX202" s="392"/>
      <c r="AY202" s="393"/>
    </row>
    <row r="203" spans="1:51" ht="15.75" customHeight="1" x14ac:dyDescent="0.2">
      <c r="A203" s="3"/>
      <c r="B203" s="396"/>
      <c r="C203" s="438"/>
      <c r="D203" s="439"/>
      <c r="E203" s="439"/>
      <c r="F203" s="439"/>
      <c r="G203" s="440"/>
      <c r="H203" s="439"/>
      <c r="I203" s="439"/>
      <c r="J203" s="439"/>
      <c r="K203" s="440"/>
      <c r="L203" s="439"/>
      <c r="M203" s="439"/>
      <c r="N203" s="439"/>
      <c r="O203" s="440"/>
      <c r="P203" s="439"/>
      <c r="Q203" s="439"/>
      <c r="R203" s="439"/>
      <c r="S203" s="440"/>
      <c r="T203" s="439"/>
      <c r="U203" s="439"/>
      <c r="V203" s="439"/>
      <c r="W203" s="440"/>
      <c r="X203" s="439"/>
      <c r="Y203" s="439"/>
      <c r="Z203" s="439"/>
      <c r="AA203" s="440"/>
      <c r="AB203" s="439"/>
      <c r="AC203" s="439"/>
      <c r="AD203" s="439"/>
      <c r="AE203" s="440"/>
      <c r="AF203" s="439"/>
      <c r="AG203" s="439"/>
      <c r="AH203" s="439"/>
      <c r="AI203" s="440"/>
      <c r="AJ203" s="439"/>
      <c r="AK203" s="439"/>
      <c r="AL203" s="439"/>
      <c r="AM203" s="440"/>
      <c r="AN203" s="439"/>
      <c r="AO203" s="439"/>
      <c r="AP203" s="439"/>
      <c r="AQ203" s="440"/>
      <c r="AR203" s="439"/>
      <c r="AS203" s="439"/>
      <c r="AT203" s="439"/>
      <c r="AU203" s="440"/>
      <c r="AV203" s="441"/>
      <c r="AW203" s="441"/>
      <c r="AX203" s="392"/>
      <c r="AY203" s="393"/>
    </row>
    <row r="204" spans="1:51" ht="15.75" customHeight="1" x14ac:dyDescent="0.2">
      <c r="A204" s="83"/>
      <c r="B204" s="458" t="s">
        <v>183</v>
      </c>
      <c r="C204" s="419"/>
      <c r="D204" s="432"/>
      <c r="E204" s="432"/>
      <c r="F204" s="433"/>
      <c r="G204" s="452">
        <f t="shared" ref="G204:AU204" ca="1" si="82">IFERROR(SUM(D199:G199)/G186,"NA")</f>
        <v>0</v>
      </c>
      <c r="H204" s="475">
        <f t="shared" ca="1" si="82"/>
        <v>0</v>
      </c>
      <c r="I204" s="475">
        <f t="shared" ca="1" si="82"/>
        <v>0</v>
      </c>
      <c r="J204" s="475">
        <f t="shared" ca="1" si="82"/>
        <v>0</v>
      </c>
      <c r="K204" s="452">
        <f t="shared" ca="1" si="82"/>
        <v>0</v>
      </c>
      <c r="L204" s="475">
        <f t="shared" ca="1" si="82"/>
        <v>0</v>
      </c>
      <c r="M204" s="475">
        <f t="shared" ca="1" si="82"/>
        <v>0</v>
      </c>
      <c r="N204" s="475">
        <f t="shared" ca="1" si="82"/>
        <v>0</v>
      </c>
      <c r="O204" s="452">
        <f t="shared" ca="1" si="82"/>
        <v>0</v>
      </c>
      <c r="P204" s="475">
        <f t="shared" ca="1" si="82"/>
        <v>5.0000000000000001E-3</v>
      </c>
      <c r="Q204" s="475">
        <f t="shared" ca="1" si="82"/>
        <v>9.4399149237858922E-3</v>
      </c>
      <c r="R204" s="475">
        <f t="shared" ca="1" si="82"/>
        <v>1.385600266045893E-2</v>
      </c>
      <c r="S204" s="452">
        <f t="shared" ca="1" si="82"/>
        <v>1.8098082364036466E-2</v>
      </c>
      <c r="T204" s="475">
        <f t="shared" ca="1" si="82"/>
        <v>2.8260229614365615E-2</v>
      </c>
      <c r="U204" s="475">
        <f t="shared" ca="1" si="82"/>
        <v>3.8127647557187234E-2</v>
      </c>
      <c r="V204" s="475">
        <f t="shared" ca="1" si="82"/>
        <v>4.6972018654230514E-2</v>
      </c>
      <c r="W204" s="452">
        <f t="shared" ca="1" si="82"/>
        <v>5.6651298701298702E-2</v>
      </c>
      <c r="X204" s="475">
        <f t="shared" ca="1" si="82"/>
        <v>6.2424492385786803E-2</v>
      </c>
      <c r="Y204" s="475">
        <f t="shared" ca="1" si="82"/>
        <v>6.7850496277915631E-2</v>
      </c>
      <c r="Z204" s="475">
        <f t="shared" ca="1" si="82"/>
        <v>7.3092909535452319E-2</v>
      </c>
      <c r="AA204" s="452">
        <f t="shared" ca="1" si="82"/>
        <v>7.7703349282296649E-2</v>
      </c>
      <c r="AB204" s="475">
        <f t="shared" ca="1" si="82"/>
        <v>8.3018867924528297E-2</v>
      </c>
      <c r="AC204" s="475">
        <f t="shared" ca="1" si="82"/>
        <v>8.8559718969555029E-2</v>
      </c>
      <c r="AD204" s="475">
        <f t="shared" ca="1" si="82"/>
        <v>9.440281030444965E-2</v>
      </c>
      <c r="AE204" s="452">
        <f t="shared" ca="1" si="82"/>
        <v>9.9824355971896955E-2</v>
      </c>
      <c r="AF204" s="475">
        <f t="shared" ca="1" si="82"/>
        <v>0.13750000000000001</v>
      </c>
      <c r="AG204" s="475">
        <f t="shared" ca="1" si="82"/>
        <v>0.17499999999999999</v>
      </c>
      <c r="AH204" s="475">
        <f t="shared" ca="1" si="82"/>
        <v>0.21249999999999999</v>
      </c>
      <c r="AI204" s="452">
        <f t="shared" ca="1" si="82"/>
        <v>0.25</v>
      </c>
      <c r="AJ204" s="475">
        <f t="shared" ca="1" si="82"/>
        <v>0.3125</v>
      </c>
      <c r="AK204" s="475">
        <f t="shared" ca="1" si="82"/>
        <v>0.375</v>
      </c>
      <c r="AL204" s="475">
        <f t="shared" ca="1" si="82"/>
        <v>0.4375</v>
      </c>
      <c r="AM204" s="452">
        <f t="shared" ca="1" si="82"/>
        <v>0.5</v>
      </c>
      <c r="AN204" s="475">
        <f t="shared" ca="1" si="82"/>
        <v>0.625</v>
      </c>
      <c r="AO204" s="475">
        <f t="shared" ca="1" si="82"/>
        <v>0.75</v>
      </c>
      <c r="AP204" s="475">
        <f t="shared" ca="1" si="82"/>
        <v>0.875</v>
      </c>
      <c r="AQ204" s="452">
        <f t="shared" ca="1" si="82"/>
        <v>1</v>
      </c>
      <c r="AR204" s="475">
        <f t="shared" ca="1" si="82"/>
        <v>0.875</v>
      </c>
      <c r="AS204" s="475">
        <f t="shared" ca="1" si="82"/>
        <v>0.75</v>
      </c>
      <c r="AT204" s="475">
        <f t="shared" ca="1" si="82"/>
        <v>0.625</v>
      </c>
      <c r="AU204" s="452">
        <f t="shared" ca="1" si="82"/>
        <v>0.5</v>
      </c>
      <c r="AV204" s="429"/>
      <c r="AW204" s="429"/>
      <c r="AX204" s="392"/>
      <c r="AY204" s="393"/>
    </row>
    <row r="205" spans="1:51" ht="15.75" customHeight="1" x14ac:dyDescent="0.2">
      <c r="A205" s="83"/>
      <c r="B205" s="458" t="s">
        <v>184</v>
      </c>
      <c r="C205" s="419"/>
      <c r="D205" s="436">
        <f t="shared" ref="D205:AU205" ca="1" si="83">IFERROR(D199/D186,"NA")</f>
        <v>0</v>
      </c>
      <c r="E205" s="436">
        <f t="shared" ca="1" si="83"/>
        <v>0</v>
      </c>
      <c r="F205" s="436">
        <f t="shared" ca="1" si="83"/>
        <v>0</v>
      </c>
      <c r="G205" s="437">
        <f t="shared" ca="1" si="83"/>
        <v>0</v>
      </c>
      <c r="H205" s="436">
        <f t="shared" ca="1" si="83"/>
        <v>0</v>
      </c>
      <c r="I205" s="436">
        <f t="shared" ca="1" si="83"/>
        <v>0</v>
      </c>
      <c r="J205" s="436">
        <f t="shared" ca="1" si="83"/>
        <v>0</v>
      </c>
      <c r="K205" s="437">
        <f t="shared" ca="1" si="83"/>
        <v>0</v>
      </c>
      <c r="L205" s="450">
        <f t="shared" ca="1" si="83"/>
        <v>0</v>
      </c>
      <c r="M205" s="436">
        <f t="shared" ca="1" si="83"/>
        <v>0</v>
      </c>
      <c r="N205" s="436">
        <f t="shared" ca="1" si="83"/>
        <v>0</v>
      </c>
      <c r="O205" s="437">
        <f t="shared" ca="1" si="83"/>
        <v>0</v>
      </c>
      <c r="P205" s="450">
        <f t="shared" ca="1" si="83"/>
        <v>5.0000000000000001E-3</v>
      </c>
      <c r="Q205" s="436">
        <f t="shared" ca="1" si="83"/>
        <v>5.0000000000000001E-3</v>
      </c>
      <c r="R205" s="435">
        <f t="shared" ca="1" si="83"/>
        <v>5.0000000000000001E-3</v>
      </c>
      <c r="S205" s="437">
        <f t="shared" ca="1" si="83"/>
        <v>5.0000000000000001E-3</v>
      </c>
      <c r="T205" s="450">
        <f t="shared" ca="1" si="83"/>
        <v>1.4999999999999999E-2</v>
      </c>
      <c r="U205" s="436">
        <f t="shared" ca="1" si="83"/>
        <v>1.4999999999999999E-2</v>
      </c>
      <c r="V205" s="435">
        <f t="shared" ca="1" si="83"/>
        <v>1.4999999999999999E-2</v>
      </c>
      <c r="W205" s="437">
        <f t="shared" ca="1" si="83"/>
        <v>1.4999999999999999E-2</v>
      </c>
      <c r="X205" s="450">
        <f t="shared" ca="1" si="83"/>
        <v>0.02</v>
      </c>
      <c r="Y205" s="436">
        <f t="shared" ca="1" si="83"/>
        <v>0.02</v>
      </c>
      <c r="Z205" s="435">
        <f t="shared" ca="1" si="83"/>
        <v>0.02</v>
      </c>
      <c r="AA205" s="437">
        <f t="shared" ca="1" si="83"/>
        <v>0.02</v>
      </c>
      <c r="AB205" s="450">
        <f t="shared" ca="1" si="83"/>
        <v>2.5000000000000001E-2</v>
      </c>
      <c r="AC205" s="436">
        <f t="shared" ca="1" si="83"/>
        <v>2.5000000000000001E-2</v>
      </c>
      <c r="AD205" s="435">
        <f t="shared" ca="1" si="83"/>
        <v>2.5000000000000001E-2</v>
      </c>
      <c r="AE205" s="437">
        <f t="shared" ca="1" si="83"/>
        <v>2.5000000000000001E-2</v>
      </c>
      <c r="AF205" s="450">
        <f t="shared" ca="1" si="83"/>
        <v>6.25E-2</v>
      </c>
      <c r="AG205" s="436">
        <f t="shared" ca="1" si="83"/>
        <v>6.25E-2</v>
      </c>
      <c r="AH205" s="435">
        <f t="shared" ca="1" si="83"/>
        <v>6.25E-2</v>
      </c>
      <c r="AI205" s="437">
        <f t="shared" ca="1" si="83"/>
        <v>6.25E-2</v>
      </c>
      <c r="AJ205" s="450">
        <f t="shared" ca="1" si="83"/>
        <v>0.125</v>
      </c>
      <c r="AK205" s="436">
        <f t="shared" ca="1" si="83"/>
        <v>0.125</v>
      </c>
      <c r="AL205" s="435">
        <f t="shared" ca="1" si="83"/>
        <v>0.125</v>
      </c>
      <c r="AM205" s="437">
        <f t="shared" ca="1" si="83"/>
        <v>0.125</v>
      </c>
      <c r="AN205" s="450">
        <f t="shared" ca="1" si="83"/>
        <v>0.25</v>
      </c>
      <c r="AO205" s="436">
        <f t="shared" ca="1" si="83"/>
        <v>0.25</v>
      </c>
      <c r="AP205" s="435">
        <f t="shared" ca="1" si="83"/>
        <v>0.25</v>
      </c>
      <c r="AQ205" s="437">
        <f t="shared" ca="1" si="83"/>
        <v>0.25</v>
      </c>
      <c r="AR205" s="450">
        <f t="shared" ca="1" si="83"/>
        <v>0.125</v>
      </c>
      <c r="AS205" s="436">
        <f t="shared" ca="1" si="83"/>
        <v>0.125</v>
      </c>
      <c r="AT205" s="435">
        <f t="shared" ca="1" si="83"/>
        <v>0.125</v>
      </c>
      <c r="AU205" s="437">
        <f t="shared" ca="1" si="83"/>
        <v>0.125</v>
      </c>
      <c r="AV205" s="429"/>
      <c r="AW205" s="429"/>
      <c r="AX205" s="392"/>
      <c r="AY205" s="393"/>
    </row>
    <row r="206" spans="1:51" ht="15.75" customHeight="1" x14ac:dyDescent="0.2">
      <c r="A206" s="83"/>
      <c r="B206" s="458" t="s">
        <v>196</v>
      </c>
      <c r="C206" s="419"/>
      <c r="D206" s="436">
        <f t="shared" ref="D206:AU206" ca="1" si="84">IFERROR(D205*4,"NA")</f>
        <v>0</v>
      </c>
      <c r="E206" s="436">
        <f t="shared" ca="1" si="84"/>
        <v>0</v>
      </c>
      <c r="F206" s="436">
        <f t="shared" ca="1" si="84"/>
        <v>0</v>
      </c>
      <c r="G206" s="437">
        <f t="shared" ca="1" si="84"/>
        <v>0</v>
      </c>
      <c r="H206" s="436">
        <f t="shared" ca="1" si="84"/>
        <v>0</v>
      </c>
      <c r="I206" s="436">
        <f t="shared" ca="1" si="84"/>
        <v>0</v>
      </c>
      <c r="J206" s="436">
        <f t="shared" ca="1" si="84"/>
        <v>0</v>
      </c>
      <c r="K206" s="437">
        <f t="shared" ca="1" si="84"/>
        <v>0</v>
      </c>
      <c r="L206" s="450">
        <f t="shared" ca="1" si="84"/>
        <v>0</v>
      </c>
      <c r="M206" s="436">
        <f t="shared" ca="1" si="84"/>
        <v>0</v>
      </c>
      <c r="N206" s="436">
        <f t="shared" ca="1" si="84"/>
        <v>0</v>
      </c>
      <c r="O206" s="437">
        <f t="shared" ca="1" si="84"/>
        <v>0</v>
      </c>
      <c r="P206" s="450">
        <f t="shared" ca="1" si="84"/>
        <v>0.02</v>
      </c>
      <c r="Q206" s="436">
        <f t="shared" ca="1" si="84"/>
        <v>0.02</v>
      </c>
      <c r="R206" s="435">
        <f t="shared" ca="1" si="84"/>
        <v>0.02</v>
      </c>
      <c r="S206" s="437">
        <f t="shared" ca="1" si="84"/>
        <v>0.02</v>
      </c>
      <c r="T206" s="450">
        <f t="shared" ca="1" si="84"/>
        <v>0.06</v>
      </c>
      <c r="U206" s="436">
        <f t="shared" ca="1" si="84"/>
        <v>0.06</v>
      </c>
      <c r="V206" s="435">
        <f t="shared" ca="1" si="84"/>
        <v>0.06</v>
      </c>
      <c r="W206" s="437">
        <f t="shared" ca="1" si="84"/>
        <v>0.06</v>
      </c>
      <c r="X206" s="450">
        <f t="shared" ca="1" si="84"/>
        <v>0.08</v>
      </c>
      <c r="Y206" s="436">
        <f t="shared" ca="1" si="84"/>
        <v>0.08</v>
      </c>
      <c r="Z206" s="435">
        <f t="shared" ca="1" si="84"/>
        <v>0.08</v>
      </c>
      <c r="AA206" s="437">
        <f t="shared" ca="1" si="84"/>
        <v>0.08</v>
      </c>
      <c r="AB206" s="450">
        <f t="shared" ca="1" si="84"/>
        <v>0.1</v>
      </c>
      <c r="AC206" s="436">
        <f t="shared" ca="1" si="84"/>
        <v>0.1</v>
      </c>
      <c r="AD206" s="435">
        <f t="shared" ca="1" si="84"/>
        <v>0.1</v>
      </c>
      <c r="AE206" s="437">
        <f t="shared" ca="1" si="84"/>
        <v>0.1</v>
      </c>
      <c r="AF206" s="450">
        <f t="shared" ca="1" si="84"/>
        <v>0.25</v>
      </c>
      <c r="AG206" s="436">
        <f t="shared" ca="1" si="84"/>
        <v>0.25</v>
      </c>
      <c r="AH206" s="435">
        <f t="shared" ca="1" si="84"/>
        <v>0.25</v>
      </c>
      <c r="AI206" s="437">
        <f t="shared" ca="1" si="84"/>
        <v>0.25</v>
      </c>
      <c r="AJ206" s="450">
        <f t="shared" ca="1" si="84"/>
        <v>0.5</v>
      </c>
      <c r="AK206" s="436">
        <f t="shared" ca="1" si="84"/>
        <v>0.5</v>
      </c>
      <c r="AL206" s="435">
        <f t="shared" ca="1" si="84"/>
        <v>0.5</v>
      </c>
      <c r="AM206" s="437">
        <f t="shared" ca="1" si="84"/>
        <v>0.5</v>
      </c>
      <c r="AN206" s="450">
        <f t="shared" ca="1" si="84"/>
        <v>1</v>
      </c>
      <c r="AO206" s="436">
        <f t="shared" ca="1" si="84"/>
        <v>1</v>
      </c>
      <c r="AP206" s="435">
        <f t="shared" ca="1" si="84"/>
        <v>1</v>
      </c>
      <c r="AQ206" s="437">
        <f t="shared" ca="1" si="84"/>
        <v>1</v>
      </c>
      <c r="AR206" s="450">
        <f t="shared" ca="1" si="84"/>
        <v>0.5</v>
      </c>
      <c r="AS206" s="436">
        <f t="shared" ca="1" si="84"/>
        <v>0.5</v>
      </c>
      <c r="AT206" s="435">
        <f t="shared" ca="1" si="84"/>
        <v>0.5</v>
      </c>
      <c r="AU206" s="437">
        <f t="shared" ca="1" si="84"/>
        <v>0.5</v>
      </c>
      <c r="AV206" s="429"/>
      <c r="AW206" s="429"/>
      <c r="AX206" s="392"/>
      <c r="AY206" s="393"/>
    </row>
    <row r="207" spans="1:51" ht="15.75" customHeight="1" x14ac:dyDescent="0.2">
      <c r="A207" s="83"/>
      <c r="B207" s="458" t="s">
        <v>185</v>
      </c>
      <c r="C207" s="419"/>
      <c r="D207" s="435">
        <f t="shared" ref="D207:AU207" ca="1" si="85">IFERROR(SUM($D199:D199)/D186,"NA")</f>
        <v>0</v>
      </c>
      <c r="E207" s="435">
        <f t="shared" ca="1" si="85"/>
        <v>0</v>
      </c>
      <c r="F207" s="435">
        <f t="shared" ca="1" si="85"/>
        <v>0</v>
      </c>
      <c r="G207" s="434">
        <f t="shared" ca="1" si="85"/>
        <v>0</v>
      </c>
      <c r="H207" s="435">
        <f t="shared" ca="1" si="85"/>
        <v>0</v>
      </c>
      <c r="I207" s="435">
        <f t="shared" ca="1" si="85"/>
        <v>0</v>
      </c>
      <c r="J207" s="435">
        <f t="shared" ca="1" si="85"/>
        <v>0</v>
      </c>
      <c r="K207" s="434">
        <f t="shared" ca="1" si="85"/>
        <v>0</v>
      </c>
      <c r="L207" s="450">
        <f t="shared" ca="1" si="85"/>
        <v>0</v>
      </c>
      <c r="M207" s="435">
        <f t="shared" ca="1" si="85"/>
        <v>0</v>
      </c>
      <c r="N207" s="435">
        <f t="shared" ca="1" si="85"/>
        <v>0</v>
      </c>
      <c r="O207" s="437">
        <f t="shared" ca="1" si="85"/>
        <v>0</v>
      </c>
      <c r="P207" s="450">
        <f t="shared" ca="1" si="85"/>
        <v>5.0000000000000001E-3</v>
      </c>
      <c r="Q207" s="435">
        <f t="shared" ca="1" si="85"/>
        <v>9.4399149237858922E-3</v>
      </c>
      <c r="R207" s="435">
        <f t="shared" ca="1" si="85"/>
        <v>1.385600266045893E-2</v>
      </c>
      <c r="S207" s="437">
        <f t="shared" ca="1" si="85"/>
        <v>1.8098082364036466E-2</v>
      </c>
      <c r="T207" s="450">
        <f t="shared" ca="1" si="85"/>
        <v>3.194730644686488E-2</v>
      </c>
      <c r="U207" s="435">
        <f t="shared" ca="1" si="85"/>
        <v>4.5648121999435187E-2</v>
      </c>
      <c r="V207" s="435">
        <f t="shared" ca="1" si="85"/>
        <v>5.8075283144570285E-2</v>
      </c>
      <c r="W207" s="437">
        <f t="shared" ca="1" si="85"/>
        <v>7.1604545454545449E-2</v>
      </c>
      <c r="X207" s="450">
        <f t="shared" ca="1" si="85"/>
        <v>8.9968908629441624E-2</v>
      </c>
      <c r="Y207" s="435">
        <f t="shared" ca="1" si="85"/>
        <v>0.10795967741935483</v>
      </c>
      <c r="Z207" s="435">
        <f t="shared" ca="1" si="85"/>
        <v>0.12637591687041566</v>
      </c>
      <c r="AA207" s="437">
        <f t="shared" ca="1" si="85"/>
        <v>0.1436549043062201</v>
      </c>
      <c r="AB207" s="450">
        <f t="shared" ca="1" si="85"/>
        <v>0.16662205188679247</v>
      </c>
      <c r="AC207" s="435">
        <f t="shared" ca="1" si="85"/>
        <v>0.19045140515222483</v>
      </c>
      <c r="AD207" s="435">
        <f t="shared" ca="1" si="85"/>
        <v>0.21545140515222483</v>
      </c>
      <c r="AE207" s="437">
        <f t="shared" ca="1" si="85"/>
        <v>0.24045140515222482</v>
      </c>
      <c r="AF207" s="450">
        <f t="shared" ca="1" si="85"/>
        <v>0.30295140515222485</v>
      </c>
      <c r="AG207" s="435">
        <f t="shared" ca="1" si="85"/>
        <v>0.36545140515222485</v>
      </c>
      <c r="AH207" s="435">
        <f t="shared" ca="1" si="85"/>
        <v>0.42795140515222485</v>
      </c>
      <c r="AI207" s="437">
        <f t="shared" ca="1" si="85"/>
        <v>0.49045140515222485</v>
      </c>
      <c r="AJ207" s="450">
        <f t="shared" ca="1" si="85"/>
        <v>0.61545140515222485</v>
      </c>
      <c r="AK207" s="435">
        <f t="shared" ca="1" si="85"/>
        <v>0.74045140515222485</v>
      </c>
      <c r="AL207" s="435">
        <f t="shared" ca="1" si="85"/>
        <v>0.86545140515222485</v>
      </c>
      <c r="AM207" s="437">
        <f t="shared" ca="1" si="85"/>
        <v>0.99045140515222485</v>
      </c>
      <c r="AN207" s="450">
        <f t="shared" ca="1" si="85"/>
        <v>1.2404514051522249</v>
      </c>
      <c r="AO207" s="435">
        <f t="shared" ca="1" si="85"/>
        <v>1.4904514051522249</v>
      </c>
      <c r="AP207" s="435">
        <f t="shared" ca="1" si="85"/>
        <v>1.7404514051522249</v>
      </c>
      <c r="AQ207" s="437">
        <f t="shared" ca="1" si="85"/>
        <v>1.9904514051522249</v>
      </c>
      <c r="AR207" s="450">
        <f t="shared" ca="1" si="85"/>
        <v>2.1154514051522249</v>
      </c>
      <c r="AS207" s="435">
        <f t="shared" ca="1" si="85"/>
        <v>2.2404514051522249</v>
      </c>
      <c r="AT207" s="435">
        <f t="shared" ca="1" si="85"/>
        <v>2.3654514051522249</v>
      </c>
      <c r="AU207" s="437">
        <f t="shared" ca="1" si="85"/>
        <v>2.4904514051522249</v>
      </c>
      <c r="AV207" s="429"/>
      <c r="AW207" s="429"/>
      <c r="AX207" s="392"/>
      <c r="AY207" s="393"/>
    </row>
    <row r="208" spans="1:51" ht="15.75" customHeight="1" x14ac:dyDescent="0.2">
      <c r="A208" s="83"/>
      <c r="B208" s="39"/>
      <c r="C208" s="438"/>
      <c r="D208" s="439"/>
      <c r="E208" s="439"/>
      <c r="F208" s="439"/>
      <c r="G208" s="440"/>
      <c r="H208" s="439"/>
      <c r="I208" s="439"/>
      <c r="J208" s="439"/>
      <c r="K208" s="440"/>
      <c r="L208" s="439"/>
      <c r="M208" s="439"/>
      <c r="N208" s="439"/>
      <c r="O208" s="440"/>
      <c r="P208" s="439"/>
      <c r="Q208" s="439"/>
      <c r="R208" s="439"/>
      <c r="S208" s="440"/>
      <c r="T208" s="439"/>
      <c r="U208" s="439"/>
      <c r="V208" s="439"/>
      <c r="W208" s="440"/>
      <c r="X208" s="439"/>
      <c r="Y208" s="439"/>
      <c r="Z208" s="439"/>
      <c r="AA208" s="440"/>
      <c r="AB208" s="439"/>
      <c r="AC208" s="439"/>
      <c r="AD208" s="439"/>
      <c r="AE208" s="440"/>
      <c r="AF208" s="439"/>
      <c r="AG208" s="439"/>
      <c r="AH208" s="439"/>
      <c r="AI208" s="440"/>
      <c r="AJ208" s="439"/>
      <c r="AK208" s="439"/>
      <c r="AL208" s="439"/>
      <c r="AM208" s="440"/>
      <c r="AN208" s="439"/>
      <c r="AO208" s="439"/>
      <c r="AP208" s="439"/>
      <c r="AQ208" s="440"/>
      <c r="AR208" s="439"/>
      <c r="AS208" s="439"/>
      <c r="AT208" s="439"/>
      <c r="AU208" s="440"/>
      <c r="AV208" s="441"/>
      <c r="AW208" s="441"/>
      <c r="AX208" s="392"/>
      <c r="AY208" s="393"/>
    </row>
    <row r="209" spans="1:51" ht="15.75" customHeight="1" x14ac:dyDescent="0.2">
      <c r="A209" s="83" t="s">
        <v>30</v>
      </c>
      <c r="B209" s="39" t="s">
        <v>198</v>
      </c>
      <c r="C209" s="438"/>
      <c r="D209" s="439"/>
      <c r="E209" s="439"/>
      <c r="F209" s="439"/>
      <c r="G209" s="440"/>
      <c r="H209" s="439"/>
      <c r="I209" s="439"/>
      <c r="J209" s="439"/>
      <c r="K209" s="440"/>
      <c r="L209" s="439"/>
      <c r="M209" s="439"/>
      <c r="N209" s="439"/>
      <c r="O209" s="440"/>
      <c r="P209" s="439"/>
      <c r="Q209" s="439"/>
      <c r="R209" s="439"/>
      <c r="S209" s="440"/>
      <c r="T209" s="439"/>
      <c r="U209" s="439"/>
      <c r="V209" s="439"/>
      <c r="W209" s="440"/>
      <c r="X209" s="439"/>
      <c r="Y209" s="439"/>
      <c r="Z209" s="439"/>
      <c r="AA209" s="440"/>
      <c r="AB209" s="439"/>
      <c r="AC209" s="439"/>
      <c r="AD209" s="439"/>
      <c r="AE209" s="440"/>
      <c r="AF209" s="439"/>
      <c r="AG209" s="439"/>
      <c r="AH209" s="439"/>
      <c r="AI209" s="440"/>
      <c r="AJ209" s="439"/>
      <c r="AK209" s="439"/>
      <c r="AL209" s="439"/>
      <c r="AM209" s="440"/>
      <c r="AN209" s="439"/>
      <c r="AO209" s="439"/>
      <c r="AP209" s="439"/>
      <c r="AQ209" s="440"/>
      <c r="AR209" s="439"/>
      <c r="AS209" s="439"/>
      <c r="AT209" s="439"/>
      <c r="AU209" s="440"/>
      <c r="AV209" s="441"/>
      <c r="AW209" s="441"/>
      <c r="AX209" s="392"/>
      <c r="AY209" s="393"/>
    </row>
    <row r="210" spans="1:51" ht="15.75" customHeight="1" x14ac:dyDescent="0.2">
      <c r="A210" s="83"/>
      <c r="B210" s="476" t="str">
        <f t="shared" ref="B210:B213" si="86">B183</f>
        <v>Returns</v>
      </c>
      <c r="C210" s="438"/>
      <c r="D210" s="439"/>
      <c r="E210" s="439"/>
      <c r="F210" s="439"/>
      <c r="G210" s="440"/>
      <c r="H210" s="439"/>
      <c r="I210" s="439"/>
      <c r="J210" s="439"/>
      <c r="K210" s="440"/>
      <c r="L210" s="439"/>
      <c r="M210" s="439"/>
      <c r="N210" s="439"/>
      <c r="O210" s="440"/>
      <c r="P210" s="439"/>
      <c r="Q210" s="439"/>
      <c r="R210" s="439"/>
      <c r="S210" s="440"/>
      <c r="T210" s="439"/>
      <c r="U210" s="439"/>
      <c r="V210" s="439"/>
      <c r="W210" s="440"/>
      <c r="X210" s="439"/>
      <c r="Y210" s="439"/>
      <c r="Z210" s="439"/>
      <c r="AA210" s="440"/>
      <c r="AB210" s="439"/>
      <c r="AC210" s="439"/>
      <c r="AD210" s="439"/>
      <c r="AE210" s="440"/>
      <c r="AF210" s="439"/>
      <c r="AG210" s="439"/>
      <c r="AH210" s="439"/>
      <c r="AI210" s="440"/>
      <c r="AJ210" s="439"/>
      <c r="AK210" s="439"/>
      <c r="AL210" s="439"/>
      <c r="AM210" s="440"/>
      <c r="AN210" s="439"/>
      <c r="AO210" s="439"/>
      <c r="AP210" s="439"/>
      <c r="AQ210" s="440"/>
      <c r="AR210" s="439"/>
      <c r="AS210" s="439"/>
      <c r="AT210" s="439"/>
      <c r="AU210" s="440"/>
      <c r="AV210" s="441"/>
      <c r="AW210" s="441"/>
      <c r="AX210" s="392"/>
      <c r="AY210" s="393"/>
    </row>
    <row r="211" spans="1:51" ht="15.75" customHeight="1" x14ac:dyDescent="0.2">
      <c r="A211" s="3"/>
      <c r="B211" s="396" t="str">
        <f t="shared" si="86"/>
        <v>Year</v>
      </c>
      <c r="C211" s="438"/>
      <c r="D211" s="330">
        <f t="shared" ref="D211:AU211" si="87">D184</f>
        <v>0</v>
      </c>
      <c r="E211" s="330">
        <f t="shared" si="87"/>
        <v>0</v>
      </c>
      <c r="F211" s="330">
        <f t="shared" si="87"/>
        <v>0</v>
      </c>
      <c r="G211" s="446">
        <f t="shared" si="87"/>
        <v>0</v>
      </c>
      <c r="H211" s="330">
        <f t="shared" si="87"/>
        <v>1</v>
      </c>
      <c r="I211" s="330">
        <f t="shared" si="87"/>
        <v>1</v>
      </c>
      <c r="J211" s="330">
        <f t="shared" si="87"/>
        <v>1</v>
      </c>
      <c r="K211" s="446">
        <f t="shared" si="87"/>
        <v>1</v>
      </c>
      <c r="L211" s="330">
        <f t="shared" si="87"/>
        <v>2</v>
      </c>
      <c r="M211" s="330">
        <f t="shared" si="87"/>
        <v>2</v>
      </c>
      <c r="N211" s="330">
        <f t="shared" si="87"/>
        <v>2</v>
      </c>
      <c r="O211" s="446">
        <f t="shared" si="87"/>
        <v>2</v>
      </c>
      <c r="P211" s="330">
        <f t="shared" si="87"/>
        <v>3</v>
      </c>
      <c r="Q211" s="330">
        <f t="shared" si="87"/>
        <v>3</v>
      </c>
      <c r="R211" s="330">
        <f t="shared" si="87"/>
        <v>3</v>
      </c>
      <c r="S211" s="446">
        <f t="shared" si="87"/>
        <v>3</v>
      </c>
      <c r="T211" s="330">
        <f t="shared" si="87"/>
        <v>4</v>
      </c>
      <c r="U211" s="330">
        <f t="shared" si="87"/>
        <v>4</v>
      </c>
      <c r="V211" s="330">
        <f t="shared" si="87"/>
        <v>4</v>
      </c>
      <c r="W211" s="446">
        <f t="shared" si="87"/>
        <v>4</v>
      </c>
      <c r="X211" s="330">
        <f t="shared" si="87"/>
        <v>5</v>
      </c>
      <c r="Y211" s="330">
        <f t="shared" si="87"/>
        <v>5</v>
      </c>
      <c r="Z211" s="330">
        <f t="shared" si="87"/>
        <v>5</v>
      </c>
      <c r="AA211" s="446">
        <f t="shared" si="87"/>
        <v>5</v>
      </c>
      <c r="AB211" s="330">
        <f t="shared" si="87"/>
        <v>6</v>
      </c>
      <c r="AC211" s="330">
        <f t="shared" si="87"/>
        <v>6</v>
      </c>
      <c r="AD211" s="330">
        <f t="shared" si="87"/>
        <v>6</v>
      </c>
      <c r="AE211" s="446">
        <f t="shared" si="87"/>
        <v>6</v>
      </c>
      <c r="AF211" s="330">
        <f t="shared" si="87"/>
        <v>7</v>
      </c>
      <c r="AG211" s="330">
        <f t="shared" si="87"/>
        <v>7</v>
      </c>
      <c r="AH211" s="330">
        <f t="shared" si="87"/>
        <v>7</v>
      </c>
      <c r="AI211" s="446">
        <f t="shared" si="87"/>
        <v>7</v>
      </c>
      <c r="AJ211" s="330">
        <f t="shared" si="87"/>
        <v>8</v>
      </c>
      <c r="AK211" s="330">
        <f t="shared" si="87"/>
        <v>8</v>
      </c>
      <c r="AL211" s="330">
        <f t="shared" si="87"/>
        <v>8</v>
      </c>
      <c r="AM211" s="446">
        <f t="shared" si="87"/>
        <v>8</v>
      </c>
      <c r="AN211" s="330">
        <f t="shared" si="87"/>
        <v>9</v>
      </c>
      <c r="AO211" s="330">
        <f t="shared" si="87"/>
        <v>9</v>
      </c>
      <c r="AP211" s="330">
        <f t="shared" si="87"/>
        <v>9</v>
      </c>
      <c r="AQ211" s="446">
        <f t="shared" si="87"/>
        <v>9</v>
      </c>
      <c r="AR211" s="330">
        <f t="shared" si="87"/>
        <v>10</v>
      </c>
      <c r="AS211" s="330">
        <f t="shared" si="87"/>
        <v>10</v>
      </c>
      <c r="AT211" s="330">
        <f t="shared" si="87"/>
        <v>10</v>
      </c>
      <c r="AU211" s="446">
        <f t="shared" si="87"/>
        <v>10</v>
      </c>
      <c r="AV211" s="447"/>
      <c r="AW211" s="447"/>
      <c r="AX211" s="447"/>
      <c r="AY211" s="448"/>
    </row>
    <row r="212" spans="1:51" ht="15.75" customHeight="1" x14ac:dyDescent="0.2">
      <c r="A212" s="3"/>
      <c r="B212" s="396" t="str">
        <f t="shared" si="86"/>
        <v>Invested capital</v>
      </c>
      <c r="C212" s="438"/>
      <c r="D212" s="330">
        <f t="shared" ref="D212:AU212" ca="1" si="88">D185</f>
        <v>2500000</v>
      </c>
      <c r="E212" s="330">
        <f t="shared" ca="1" si="88"/>
        <v>3750000</v>
      </c>
      <c r="F212" s="330">
        <f t="shared" ca="1" si="88"/>
        <v>2500000</v>
      </c>
      <c r="G212" s="446">
        <f t="shared" ca="1" si="88"/>
        <v>3750000</v>
      </c>
      <c r="H212" s="330">
        <f t="shared" ca="1" si="88"/>
        <v>2500000</v>
      </c>
      <c r="I212" s="330">
        <f t="shared" ca="1" si="88"/>
        <v>3975000</v>
      </c>
      <c r="J212" s="330">
        <f t="shared" ca="1" si="88"/>
        <v>6900000</v>
      </c>
      <c r="K212" s="446">
        <f t="shared" ca="1" si="88"/>
        <v>4600000</v>
      </c>
      <c r="L212" s="330">
        <f t="shared" ca="1" si="88"/>
        <v>6900000</v>
      </c>
      <c r="M212" s="330">
        <f t="shared" ca="1" si="88"/>
        <v>6900000</v>
      </c>
      <c r="N212" s="330">
        <f t="shared" ca="1" si="88"/>
        <v>4600000</v>
      </c>
      <c r="O212" s="446">
        <f t="shared" ca="1" si="88"/>
        <v>7650000</v>
      </c>
      <c r="P212" s="330">
        <f t="shared" ca="1" si="88"/>
        <v>6100000</v>
      </c>
      <c r="Q212" s="330">
        <f t="shared" ca="1" si="88"/>
        <v>7900000</v>
      </c>
      <c r="R212" s="330">
        <f t="shared" ca="1" si="88"/>
        <v>4650000</v>
      </c>
      <c r="S212" s="446">
        <f t="shared" ca="1" si="88"/>
        <v>4350000</v>
      </c>
      <c r="T212" s="330">
        <f t="shared" ca="1" si="88"/>
        <v>5400000</v>
      </c>
      <c r="U212" s="330">
        <f t="shared" ca="1" si="88"/>
        <v>3600000</v>
      </c>
      <c r="V212" s="330">
        <f t="shared" ca="1" si="88"/>
        <v>5287500</v>
      </c>
      <c r="W212" s="446">
        <f t="shared" ca="1" si="88"/>
        <v>2437500</v>
      </c>
      <c r="X212" s="330">
        <f t="shared" ca="1" si="88"/>
        <v>2250000</v>
      </c>
      <c r="Y212" s="330">
        <f t="shared" ca="1" si="88"/>
        <v>2250000</v>
      </c>
      <c r="Z212" s="330">
        <f t="shared" ca="1" si="88"/>
        <v>1500000</v>
      </c>
      <c r="AA212" s="446">
        <f t="shared" ca="1" si="88"/>
        <v>2250000</v>
      </c>
      <c r="AB212" s="330">
        <f t="shared" ca="1" si="88"/>
        <v>1500000</v>
      </c>
      <c r="AC212" s="330">
        <f t="shared" ca="1" si="88"/>
        <v>750000</v>
      </c>
      <c r="AD212" s="330">
        <f t="shared" ca="1" si="88"/>
        <v>0</v>
      </c>
      <c r="AE212" s="446">
        <f t="shared" ca="1" si="88"/>
        <v>0</v>
      </c>
      <c r="AF212" s="330">
        <f t="shared" ca="1" si="88"/>
        <v>0</v>
      </c>
      <c r="AG212" s="330">
        <f t="shared" ca="1" si="88"/>
        <v>0</v>
      </c>
      <c r="AH212" s="330">
        <f t="shared" ca="1" si="88"/>
        <v>0</v>
      </c>
      <c r="AI212" s="446">
        <f t="shared" ca="1" si="88"/>
        <v>0</v>
      </c>
      <c r="AJ212" s="330">
        <f t="shared" ca="1" si="88"/>
        <v>0</v>
      </c>
      <c r="AK212" s="330">
        <f t="shared" ca="1" si="88"/>
        <v>0</v>
      </c>
      <c r="AL212" s="330">
        <f t="shared" ca="1" si="88"/>
        <v>0</v>
      </c>
      <c r="AM212" s="446">
        <f t="shared" ca="1" si="88"/>
        <v>0</v>
      </c>
      <c r="AN212" s="330">
        <f t="shared" ca="1" si="88"/>
        <v>0</v>
      </c>
      <c r="AO212" s="330">
        <f t="shared" ca="1" si="88"/>
        <v>0</v>
      </c>
      <c r="AP212" s="330">
        <f t="shared" ca="1" si="88"/>
        <v>0</v>
      </c>
      <c r="AQ212" s="446">
        <f t="shared" ca="1" si="88"/>
        <v>0</v>
      </c>
      <c r="AR212" s="330">
        <f t="shared" ca="1" si="88"/>
        <v>0</v>
      </c>
      <c r="AS212" s="330">
        <f t="shared" ca="1" si="88"/>
        <v>0</v>
      </c>
      <c r="AT212" s="330">
        <f t="shared" ca="1" si="88"/>
        <v>0</v>
      </c>
      <c r="AU212" s="446">
        <f t="shared" ca="1" si="88"/>
        <v>0</v>
      </c>
      <c r="AV212" s="447"/>
      <c r="AW212" s="447"/>
      <c r="AX212" s="447"/>
      <c r="AY212" s="448"/>
    </row>
    <row r="213" spans="1:51" ht="15.75" customHeight="1" x14ac:dyDescent="0.2">
      <c r="A213" s="3"/>
      <c r="B213" s="396" t="str">
        <f t="shared" si="86"/>
        <v>Cumulative invested capital</v>
      </c>
      <c r="C213" s="438"/>
      <c r="D213" s="330">
        <f ca="1">SUM(D212)</f>
        <v>2500000</v>
      </c>
      <c r="E213" s="330">
        <f t="shared" ref="E213:AU213" ca="1" si="89">SUM($D212:E212)</f>
        <v>6250000</v>
      </c>
      <c r="F213" s="330">
        <f t="shared" ca="1" si="89"/>
        <v>8750000</v>
      </c>
      <c r="G213" s="446">
        <f t="shared" ca="1" si="89"/>
        <v>12500000</v>
      </c>
      <c r="H213" s="330">
        <f t="shared" ca="1" si="89"/>
        <v>15000000</v>
      </c>
      <c r="I213" s="330">
        <f t="shared" ca="1" si="89"/>
        <v>18975000</v>
      </c>
      <c r="J213" s="330">
        <f t="shared" ca="1" si="89"/>
        <v>25875000</v>
      </c>
      <c r="K213" s="446">
        <f t="shared" ca="1" si="89"/>
        <v>30475000</v>
      </c>
      <c r="L213" s="330">
        <f t="shared" ca="1" si="89"/>
        <v>37375000</v>
      </c>
      <c r="M213" s="330">
        <f t="shared" ca="1" si="89"/>
        <v>44275000</v>
      </c>
      <c r="N213" s="330">
        <f t="shared" ca="1" si="89"/>
        <v>48875000</v>
      </c>
      <c r="O213" s="446">
        <f t="shared" ca="1" si="89"/>
        <v>56525000</v>
      </c>
      <c r="P213" s="330">
        <f t="shared" ca="1" si="89"/>
        <v>62625000</v>
      </c>
      <c r="Q213" s="330">
        <f t="shared" ca="1" si="89"/>
        <v>70525000</v>
      </c>
      <c r="R213" s="330">
        <f t="shared" ca="1" si="89"/>
        <v>75175000</v>
      </c>
      <c r="S213" s="446">
        <f t="shared" ca="1" si="89"/>
        <v>79525000</v>
      </c>
      <c r="T213" s="330">
        <f t="shared" ca="1" si="89"/>
        <v>84925000</v>
      </c>
      <c r="U213" s="330">
        <f t="shared" ca="1" si="89"/>
        <v>88525000</v>
      </c>
      <c r="V213" s="330">
        <f t="shared" ca="1" si="89"/>
        <v>93812500</v>
      </c>
      <c r="W213" s="446">
        <f t="shared" ca="1" si="89"/>
        <v>96250000</v>
      </c>
      <c r="X213" s="330">
        <f t="shared" ca="1" si="89"/>
        <v>98500000</v>
      </c>
      <c r="Y213" s="330">
        <f t="shared" ca="1" si="89"/>
        <v>100750000</v>
      </c>
      <c r="Z213" s="330">
        <f t="shared" ca="1" si="89"/>
        <v>102250000</v>
      </c>
      <c r="AA213" s="446">
        <f t="shared" ca="1" si="89"/>
        <v>104500000</v>
      </c>
      <c r="AB213" s="330">
        <f t="shared" ca="1" si="89"/>
        <v>106000000</v>
      </c>
      <c r="AC213" s="330">
        <f t="shared" ca="1" si="89"/>
        <v>106750000</v>
      </c>
      <c r="AD213" s="330">
        <f t="shared" ca="1" si="89"/>
        <v>106750000</v>
      </c>
      <c r="AE213" s="446">
        <f t="shared" ca="1" si="89"/>
        <v>106750000</v>
      </c>
      <c r="AF213" s="330">
        <f t="shared" ca="1" si="89"/>
        <v>106750000</v>
      </c>
      <c r="AG213" s="330">
        <f t="shared" ca="1" si="89"/>
        <v>106750000</v>
      </c>
      <c r="AH213" s="330">
        <f t="shared" ca="1" si="89"/>
        <v>106750000</v>
      </c>
      <c r="AI213" s="446">
        <f t="shared" ca="1" si="89"/>
        <v>106750000</v>
      </c>
      <c r="AJ213" s="330">
        <f t="shared" ca="1" si="89"/>
        <v>106750000</v>
      </c>
      <c r="AK213" s="330">
        <f t="shared" ca="1" si="89"/>
        <v>106750000</v>
      </c>
      <c r="AL213" s="330">
        <f t="shared" ca="1" si="89"/>
        <v>106750000</v>
      </c>
      <c r="AM213" s="446">
        <f t="shared" ca="1" si="89"/>
        <v>106750000</v>
      </c>
      <c r="AN213" s="330">
        <f t="shared" ca="1" si="89"/>
        <v>106750000</v>
      </c>
      <c r="AO213" s="330">
        <f t="shared" ca="1" si="89"/>
        <v>106750000</v>
      </c>
      <c r="AP213" s="330">
        <f t="shared" ca="1" si="89"/>
        <v>106750000</v>
      </c>
      <c r="AQ213" s="446">
        <f t="shared" ca="1" si="89"/>
        <v>106750000</v>
      </c>
      <c r="AR213" s="330">
        <f t="shared" ca="1" si="89"/>
        <v>106750000</v>
      </c>
      <c r="AS213" s="330">
        <f t="shared" ca="1" si="89"/>
        <v>106750000</v>
      </c>
      <c r="AT213" s="330">
        <f t="shared" ca="1" si="89"/>
        <v>106750000</v>
      </c>
      <c r="AU213" s="446">
        <f t="shared" ca="1" si="89"/>
        <v>106750000</v>
      </c>
      <c r="AV213" s="447"/>
      <c r="AW213" s="447"/>
      <c r="AX213" s="447"/>
      <c r="AY213" s="448"/>
    </row>
    <row r="214" spans="1:51" ht="15.75" customHeight="1" x14ac:dyDescent="0.2">
      <c r="A214" s="425"/>
      <c r="B214" s="449" t="s">
        <v>191</v>
      </c>
      <c r="C214" s="419"/>
      <c r="D214" s="450">
        <f t="shared" ref="D214:AU214" ca="1" si="90">D213/$C$5</f>
        <v>2.5000000000000001E-2</v>
      </c>
      <c r="E214" s="450">
        <f t="shared" ca="1" si="90"/>
        <v>6.25E-2</v>
      </c>
      <c r="F214" s="451">
        <f t="shared" ca="1" si="90"/>
        <v>8.7499999999999994E-2</v>
      </c>
      <c r="G214" s="452">
        <f t="shared" ca="1" si="90"/>
        <v>0.125</v>
      </c>
      <c r="H214" s="450">
        <f t="shared" ca="1" si="90"/>
        <v>0.15</v>
      </c>
      <c r="I214" s="450">
        <f t="shared" ca="1" si="90"/>
        <v>0.18975</v>
      </c>
      <c r="J214" s="451">
        <f t="shared" ca="1" si="90"/>
        <v>0.25874999999999998</v>
      </c>
      <c r="K214" s="452">
        <f t="shared" ca="1" si="90"/>
        <v>0.30475000000000002</v>
      </c>
      <c r="L214" s="450">
        <f t="shared" ca="1" si="90"/>
        <v>0.37375000000000003</v>
      </c>
      <c r="M214" s="450">
        <f t="shared" ca="1" si="90"/>
        <v>0.44274999999999998</v>
      </c>
      <c r="N214" s="451">
        <f t="shared" ca="1" si="90"/>
        <v>0.48875000000000002</v>
      </c>
      <c r="O214" s="452">
        <f t="shared" ca="1" si="90"/>
        <v>0.56525000000000003</v>
      </c>
      <c r="P214" s="450">
        <f t="shared" ca="1" si="90"/>
        <v>0.62624999999999997</v>
      </c>
      <c r="Q214" s="450">
        <f t="shared" ca="1" si="90"/>
        <v>0.70525000000000004</v>
      </c>
      <c r="R214" s="451">
        <f t="shared" ca="1" si="90"/>
        <v>0.75175000000000003</v>
      </c>
      <c r="S214" s="452">
        <f t="shared" ca="1" si="90"/>
        <v>0.79525000000000001</v>
      </c>
      <c r="T214" s="450">
        <f t="shared" ca="1" si="90"/>
        <v>0.84924999999999995</v>
      </c>
      <c r="U214" s="450">
        <f t="shared" ca="1" si="90"/>
        <v>0.88524999999999998</v>
      </c>
      <c r="V214" s="451">
        <f t="shared" ca="1" si="90"/>
        <v>0.93812499999999999</v>
      </c>
      <c r="W214" s="452">
        <f t="shared" ca="1" si="90"/>
        <v>0.96250000000000002</v>
      </c>
      <c r="X214" s="450">
        <f t="shared" ca="1" si="90"/>
        <v>0.98499999999999999</v>
      </c>
      <c r="Y214" s="450">
        <f t="shared" ca="1" si="90"/>
        <v>1.0075000000000001</v>
      </c>
      <c r="Z214" s="451">
        <f t="shared" ca="1" si="90"/>
        <v>1.0225</v>
      </c>
      <c r="AA214" s="452">
        <f t="shared" ca="1" si="90"/>
        <v>1.0449999999999999</v>
      </c>
      <c r="AB214" s="450">
        <f t="shared" ca="1" si="90"/>
        <v>1.06</v>
      </c>
      <c r="AC214" s="450">
        <f t="shared" ca="1" si="90"/>
        <v>1.0674999999999999</v>
      </c>
      <c r="AD214" s="451">
        <f t="shared" ca="1" si="90"/>
        <v>1.0674999999999999</v>
      </c>
      <c r="AE214" s="452">
        <f t="shared" ca="1" si="90"/>
        <v>1.0674999999999999</v>
      </c>
      <c r="AF214" s="450">
        <f t="shared" ca="1" si="90"/>
        <v>1.0674999999999999</v>
      </c>
      <c r="AG214" s="450">
        <f t="shared" ca="1" si="90"/>
        <v>1.0674999999999999</v>
      </c>
      <c r="AH214" s="451">
        <f t="shared" ca="1" si="90"/>
        <v>1.0674999999999999</v>
      </c>
      <c r="AI214" s="452">
        <f t="shared" ca="1" si="90"/>
        <v>1.0674999999999999</v>
      </c>
      <c r="AJ214" s="450">
        <f t="shared" ca="1" si="90"/>
        <v>1.0674999999999999</v>
      </c>
      <c r="AK214" s="450">
        <f t="shared" ca="1" si="90"/>
        <v>1.0674999999999999</v>
      </c>
      <c r="AL214" s="451">
        <f t="shared" ca="1" si="90"/>
        <v>1.0674999999999999</v>
      </c>
      <c r="AM214" s="452">
        <f t="shared" ca="1" si="90"/>
        <v>1.0674999999999999</v>
      </c>
      <c r="AN214" s="450">
        <f t="shared" ca="1" si="90"/>
        <v>1.0674999999999999</v>
      </c>
      <c r="AO214" s="450">
        <f t="shared" ca="1" si="90"/>
        <v>1.0674999999999999</v>
      </c>
      <c r="AP214" s="451">
        <f t="shared" ca="1" si="90"/>
        <v>1.0674999999999999</v>
      </c>
      <c r="AQ214" s="452">
        <f t="shared" ca="1" si="90"/>
        <v>1.0674999999999999</v>
      </c>
      <c r="AR214" s="450">
        <f t="shared" ca="1" si="90"/>
        <v>1.0674999999999999</v>
      </c>
      <c r="AS214" s="450">
        <f t="shared" ca="1" si="90"/>
        <v>1.0674999999999999</v>
      </c>
      <c r="AT214" s="451">
        <f t="shared" ca="1" si="90"/>
        <v>1.0674999999999999</v>
      </c>
      <c r="AU214" s="452">
        <f t="shared" ca="1" si="90"/>
        <v>1.0674999999999999</v>
      </c>
      <c r="AV214" s="453"/>
      <c r="AW214" s="453"/>
      <c r="AX214" s="454"/>
      <c r="AY214" s="455"/>
    </row>
    <row r="215" spans="1:51" ht="15.75" customHeight="1" x14ac:dyDescent="0.2">
      <c r="A215" s="3"/>
      <c r="B215" s="396"/>
      <c r="C215" s="438"/>
      <c r="D215" s="330"/>
      <c r="E215" s="330"/>
      <c r="F215" s="330"/>
      <c r="G215" s="446"/>
      <c r="H215" s="330"/>
      <c r="I215" s="330"/>
      <c r="J215" s="330"/>
      <c r="K215" s="446"/>
      <c r="L215" s="330"/>
      <c r="M215" s="330"/>
      <c r="N215" s="330"/>
      <c r="O215" s="446"/>
      <c r="P215" s="330"/>
      <c r="Q215" s="330"/>
      <c r="R215" s="330"/>
      <c r="S215" s="446"/>
      <c r="T215" s="330"/>
      <c r="U215" s="330"/>
      <c r="V215" s="330"/>
      <c r="W215" s="446"/>
      <c r="X215" s="330"/>
      <c r="Y215" s="330"/>
      <c r="Z215" s="330"/>
      <c r="AA215" s="446"/>
      <c r="AB215" s="330"/>
      <c r="AC215" s="330"/>
      <c r="AD215" s="330"/>
      <c r="AE215" s="446"/>
      <c r="AF215" s="330"/>
      <c r="AG215" s="330"/>
      <c r="AH215" s="330"/>
      <c r="AI215" s="446"/>
      <c r="AJ215" s="330"/>
      <c r="AK215" s="330"/>
      <c r="AL215" s="330"/>
      <c r="AM215" s="446"/>
      <c r="AN215" s="330"/>
      <c r="AO215" s="330"/>
      <c r="AP215" s="330"/>
      <c r="AQ215" s="446"/>
      <c r="AR215" s="330"/>
      <c r="AS215" s="330"/>
      <c r="AT215" s="330"/>
      <c r="AU215" s="446"/>
      <c r="AV215" s="447"/>
      <c r="AW215" s="447"/>
      <c r="AX215" s="447"/>
      <c r="AY215" s="448"/>
    </row>
    <row r="216" spans="1:51" ht="15.75" customHeight="1" x14ac:dyDescent="0.2">
      <c r="A216" s="3"/>
      <c r="B216" s="396" t="str">
        <f t="shared" ref="B216:B218" si="91">B189</f>
        <v>Forecasted returns (only after today's date)</v>
      </c>
      <c r="C216" s="438"/>
      <c r="D216" s="330">
        <f t="shared" ref="D216:AU216" ca="1" si="92">D213*D217</f>
        <v>0</v>
      </c>
      <c r="E216" s="330">
        <f t="shared" ca="1" si="92"/>
        <v>0</v>
      </c>
      <c r="F216" s="330">
        <f t="shared" ca="1" si="92"/>
        <v>0</v>
      </c>
      <c r="G216" s="446">
        <f t="shared" ca="1" si="92"/>
        <v>0</v>
      </c>
      <c r="H216" s="330">
        <f t="shared" ca="1" si="92"/>
        <v>0</v>
      </c>
      <c r="I216" s="330">
        <f t="shared" ca="1" si="92"/>
        <v>0</v>
      </c>
      <c r="J216" s="330">
        <f t="shared" ca="1" si="92"/>
        <v>0</v>
      </c>
      <c r="K216" s="446">
        <f t="shared" ca="1" si="92"/>
        <v>0</v>
      </c>
      <c r="L216" s="330">
        <f t="shared" ca="1" si="92"/>
        <v>93437.5</v>
      </c>
      <c r="M216" s="330">
        <f t="shared" ca="1" si="92"/>
        <v>110687.5</v>
      </c>
      <c r="N216" s="330">
        <f t="shared" ca="1" si="92"/>
        <v>122187.5</v>
      </c>
      <c r="O216" s="446">
        <f t="shared" ca="1" si="92"/>
        <v>141312.5</v>
      </c>
      <c r="P216" s="330">
        <f t="shared" ca="1" si="92"/>
        <v>1095937.5</v>
      </c>
      <c r="Q216" s="330">
        <f t="shared" ca="1" si="92"/>
        <v>1234187.5000000002</v>
      </c>
      <c r="R216" s="330">
        <f t="shared" ca="1" si="92"/>
        <v>1315562.5000000002</v>
      </c>
      <c r="S216" s="446">
        <f t="shared" ca="1" si="92"/>
        <v>1391687.5000000002</v>
      </c>
      <c r="T216" s="330">
        <f t="shared" ca="1" si="92"/>
        <v>3184687.5</v>
      </c>
      <c r="U216" s="330">
        <f t="shared" ca="1" si="92"/>
        <v>3319687.5</v>
      </c>
      <c r="V216" s="330">
        <f t="shared" ca="1" si="92"/>
        <v>3517968.75</v>
      </c>
      <c r="W216" s="446">
        <f t="shared" ca="1" si="92"/>
        <v>3609375</v>
      </c>
      <c r="X216" s="330">
        <f t="shared" ca="1" si="92"/>
        <v>4925000</v>
      </c>
      <c r="Y216" s="330">
        <f t="shared" ca="1" si="92"/>
        <v>5037500</v>
      </c>
      <c r="Z216" s="330">
        <f t="shared" ca="1" si="92"/>
        <v>5112500</v>
      </c>
      <c r="AA216" s="446">
        <f t="shared" ca="1" si="92"/>
        <v>5225000</v>
      </c>
      <c r="AB216" s="330">
        <f t="shared" ca="1" si="92"/>
        <v>6625000</v>
      </c>
      <c r="AC216" s="330">
        <f t="shared" ca="1" si="92"/>
        <v>6671875</v>
      </c>
      <c r="AD216" s="330">
        <f t="shared" ca="1" si="92"/>
        <v>6671875</v>
      </c>
      <c r="AE216" s="446">
        <f t="shared" ca="1" si="92"/>
        <v>6671875</v>
      </c>
      <c r="AF216" s="330">
        <f t="shared" ca="1" si="92"/>
        <v>9340625</v>
      </c>
      <c r="AG216" s="330">
        <f t="shared" ca="1" si="92"/>
        <v>9340625</v>
      </c>
      <c r="AH216" s="330">
        <f t="shared" ca="1" si="92"/>
        <v>9340625</v>
      </c>
      <c r="AI216" s="446">
        <f t="shared" ca="1" si="92"/>
        <v>9340625</v>
      </c>
      <c r="AJ216" s="330">
        <f t="shared" ca="1" si="92"/>
        <v>26687500</v>
      </c>
      <c r="AK216" s="330">
        <f t="shared" ca="1" si="92"/>
        <v>26687500</v>
      </c>
      <c r="AL216" s="330">
        <f t="shared" ca="1" si="92"/>
        <v>26687500</v>
      </c>
      <c r="AM216" s="446">
        <f t="shared" ca="1" si="92"/>
        <v>26687500</v>
      </c>
      <c r="AN216" s="330">
        <f t="shared" ca="1" si="92"/>
        <v>40031250</v>
      </c>
      <c r="AO216" s="330">
        <f t="shared" ca="1" si="92"/>
        <v>40031250</v>
      </c>
      <c r="AP216" s="330">
        <f t="shared" ca="1" si="92"/>
        <v>40031250</v>
      </c>
      <c r="AQ216" s="446">
        <f t="shared" ca="1" si="92"/>
        <v>40031250</v>
      </c>
      <c r="AR216" s="330">
        <f t="shared" ca="1" si="92"/>
        <v>26687500</v>
      </c>
      <c r="AS216" s="330">
        <f t="shared" ca="1" si="92"/>
        <v>26687500</v>
      </c>
      <c r="AT216" s="330">
        <f t="shared" ca="1" si="92"/>
        <v>26687500</v>
      </c>
      <c r="AU216" s="446">
        <f t="shared" ca="1" si="92"/>
        <v>26687500</v>
      </c>
      <c r="AV216" s="447"/>
      <c r="AW216" s="447"/>
      <c r="AX216" s="447"/>
      <c r="AY216" s="448"/>
    </row>
    <row r="217" spans="1:51" ht="15.75" customHeight="1" x14ac:dyDescent="0.2">
      <c r="A217" s="457"/>
      <c r="B217" s="389" t="str">
        <f t="shared" si="91"/>
        <v xml:space="preserve">  Quarterly Rate of Return</v>
      </c>
      <c r="C217" s="459"/>
      <c r="D217" s="460">
        <f t="shared" ref="D217:AU217" si="93">D218/4</f>
        <v>0</v>
      </c>
      <c r="E217" s="460">
        <f t="shared" si="93"/>
        <v>0</v>
      </c>
      <c r="F217" s="460">
        <f t="shared" si="93"/>
        <v>0</v>
      </c>
      <c r="G217" s="461">
        <f t="shared" si="93"/>
        <v>0</v>
      </c>
      <c r="H217" s="460">
        <f t="shared" si="93"/>
        <v>0</v>
      </c>
      <c r="I217" s="460">
        <f t="shared" si="93"/>
        <v>0</v>
      </c>
      <c r="J217" s="460">
        <f t="shared" si="93"/>
        <v>0</v>
      </c>
      <c r="K217" s="461">
        <f t="shared" si="93"/>
        <v>0</v>
      </c>
      <c r="L217" s="460">
        <f t="shared" si="93"/>
        <v>2.5000000000000001E-3</v>
      </c>
      <c r="M217" s="460">
        <f t="shared" si="93"/>
        <v>2.5000000000000001E-3</v>
      </c>
      <c r="N217" s="460">
        <f t="shared" si="93"/>
        <v>2.5000000000000001E-3</v>
      </c>
      <c r="O217" s="461">
        <f t="shared" si="93"/>
        <v>2.5000000000000001E-3</v>
      </c>
      <c r="P217" s="460">
        <f t="shared" si="93"/>
        <v>1.7500000000000002E-2</v>
      </c>
      <c r="Q217" s="460">
        <f t="shared" si="93"/>
        <v>1.7500000000000002E-2</v>
      </c>
      <c r="R217" s="460">
        <f t="shared" si="93"/>
        <v>1.7500000000000002E-2</v>
      </c>
      <c r="S217" s="461">
        <f t="shared" si="93"/>
        <v>1.7500000000000002E-2</v>
      </c>
      <c r="T217" s="460">
        <f t="shared" si="93"/>
        <v>3.7499999999999999E-2</v>
      </c>
      <c r="U217" s="460">
        <f t="shared" si="93"/>
        <v>3.7499999999999999E-2</v>
      </c>
      <c r="V217" s="460">
        <f t="shared" si="93"/>
        <v>3.7499999999999999E-2</v>
      </c>
      <c r="W217" s="461">
        <f t="shared" si="93"/>
        <v>3.7499999999999999E-2</v>
      </c>
      <c r="X217" s="460">
        <f t="shared" si="93"/>
        <v>0.05</v>
      </c>
      <c r="Y217" s="460">
        <f t="shared" si="93"/>
        <v>0.05</v>
      </c>
      <c r="Z217" s="460">
        <f t="shared" si="93"/>
        <v>0.05</v>
      </c>
      <c r="AA217" s="461">
        <f t="shared" si="93"/>
        <v>0.05</v>
      </c>
      <c r="AB217" s="460">
        <f t="shared" si="93"/>
        <v>6.25E-2</v>
      </c>
      <c r="AC217" s="460">
        <f t="shared" si="93"/>
        <v>6.25E-2</v>
      </c>
      <c r="AD217" s="460">
        <f t="shared" si="93"/>
        <v>6.25E-2</v>
      </c>
      <c r="AE217" s="461">
        <f t="shared" si="93"/>
        <v>6.25E-2</v>
      </c>
      <c r="AF217" s="460">
        <f t="shared" si="93"/>
        <v>8.7499999999999994E-2</v>
      </c>
      <c r="AG217" s="460">
        <f t="shared" si="93"/>
        <v>8.7499999999999994E-2</v>
      </c>
      <c r="AH217" s="460">
        <f t="shared" si="93"/>
        <v>8.7499999999999994E-2</v>
      </c>
      <c r="AI217" s="461">
        <f t="shared" si="93"/>
        <v>8.7499999999999994E-2</v>
      </c>
      <c r="AJ217" s="460">
        <f t="shared" si="93"/>
        <v>0.25</v>
      </c>
      <c r="AK217" s="460">
        <f t="shared" si="93"/>
        <v>0.25</v>
      </c>
      <c r="AL217" s="460">
        <f t="shared" si="93"/>
        <v>0.25</v>
      </c>
      <c r="AM217" s="461">
        <f t="shared" si="93"/>
        <v>0.25</v>
      </c>
      <c r="AN217" s="460">
        <f t="shared" si="93"/>
        <v>0.375</v>
      </c>
      <c r="AO217" s="460">
        <f t="shared" si="93"/>
        <v>0.375</v>
      </c>
      <c r="AP217" s="460">
        <f t="shared" si="93"/>
        <v>0.375</v>
      </c>
      <c r="AQ217" s="461">
        <f t="shared" si="93"/>
        <v>0.375</v>
      </c>
      <c r="AR217" s="460">
        <f t="shared" si="93"/>
        <v>0.25</v>
      </c>
      <c r="AS217" s="460">
        <f t="shared" si="93"/>
        <v>0.25</v>
      </c>
      <c r="AT217" s="460">
        <f t="shared" si="93"/>
        <v>0.25</v>
      </c>
      <c r="AU217" s="461">
        <f t="shared" si="93"/>
        <v>0.25</v>
      </c>
      <c r="AV217" s="462"/>
      <c r="AW217" s="462"/>
      <c r="AX217" s="462"/>
      <c r="AY217" s="463"/>
    </row>
    <row r="218" spans="1:51" ht="15.75" customHeight="1" x14ac:dyDescent="0.2">
      <c r="A218" s="457"/>
      <c r="B218" s="389" t="str">
        <f t="shared" si="91"/>
        <v xml:space="preserve">  Annualized Rate of Return</v>
      </c>
      <c r="C218" s="459"/>
      <c r="D218" s="464">
        <f>_xlfn.IFS(AND(D211&gt;='Summary and Assumptions'!$G$124,D211&lt;='Summary and Assumptions'!$H$124),'Summary and Assumptions'!$F$124,AND(D211&gt;='Summary and Assumptions'!$G$125,D211&lt;='Summary and Assumptions'!$H$125),'Summary and Assumptions'!$F$125,AND(D211&gt;='Summary and Assumptions'!$G$126,D211&lt;='Summary and Assumptions'!$H$126),'Summary and Assumptions'!$F$126,AND(D211&gt;='Summary and Assumptions'!$G$127,D211&lt;='Summary and Assumptions'!$H$127),'Summary and Assumptions'!$F$127,AND(D211&gt;='Summary and Assumptions'!$G$128,D211&lt;='Summary and Assumptions'!$H$128),'Summary and Assumptions'!$F$128,AND(D211&gt;='Summary and Assumptions'!$G$129,D211&lt;='Summary and Assumptions'!$H$129),'Summary and Assumptions'!$F$129,AND(D211&gt;='Summary and Assumptions'!$G$130,D211&lt;='Summary and Assumptions'!$H$130),'Summary and Assumptions'!$F$130,AND(D211&gt;='Summary and Assumptions'!$G$131,D211&lt;='Summary and Assumptions'!$H$131),'Summary and Assumptions'!$F$131,AND(D211&gt;='Summary and Assumptions'!$G$132,D211&lt;='Summary and Assumptions'!$H$132),'Summary and Assumptions'!$F$132,AND(D211&gt;='Summary and Assumptions'!$G$133,D211&lt;='Summary and Assumptions'!$H$133),'Summary and Assumptions'!$F$133,AND(D211&gt;='Summary and Assumptions'!$G$134,D211&lt;='Summary and Assumptions'!$H$134),'Summary and Assumptions'!$F$134,D211&gt;='Summary and Assumptions'!$G$135,'Summary and Assumptions'!$F$135)</f>
        <v>0</v>
      </c>
      <c r="E218" s="464">
        <f>_xlfn.IFS(AND(E211&gt;='Summary and Assumptions'!$G$124,E211&lt;='Summary and Assumptions'!$H$124),'Summary and Assumptions'!$F$124,AND(E211&gt;='Summary and Assumptions'!$G$125,E211&lt;='Summary and Assumptions'!$H$125),'Summary and Assumptions'!$F$125,AND(E211&gt;='Summary and Assumptions'!$G$126,E211&lt;='Summary and Assumptions'!$H$126),'Summary and Assumptions'!$F$126,AND(E211&gt;='Summary and Assumptions'!$G$127,E211&lt;='Summary and Assumptions'!$H$127),'Summary and Assumptions'!$F$127,AND(E211&gt;='Summary and Assumptions'!$G$128,E211&lt;='Summary and Assumptions'!$H$128),'Summary and Assumptions'!$F$128,AND(E211&gt;='Summary and Assumptions'!$G$129,E211&lt;='Summary and Assumptions'!$H$129),'Summary and Assumptions'!$F$129,AND(E211&gt;='Summary and Assumptions'!$G$130,E211&lt;='Summary and Assumptions'!$H$130),'Summary and Assumptions'!$F$130,AND(E211&gt;='Summary and Assumptions'!$G$131,E211&lt;='Summary and Assumptions'!$H$131),'Summary and Assumptions'!$F$131,AND(E211&gt;='Summary and Assumptions'!$G$132,E211&lt;='Summary and Assumptions'!$H$132),'Summary and Assumptions'!$F$132,AND(E211&gt;='Summary and Assumptions'!$G$133,E211&lt;='Summary and Assumptions'!$H$133),'Summary and Assumptions'!$F$133,AND(E211&gt;='Summary and Assumptions'!$G$134,E211&lt;='Summary and Assumptions'!$H$134),'Summary and Assumptions'!$F$134,E211&gt;='Summary and Assumptions'!$G$135,'Summary and Assumptions'!$F$135)</f>
        <v>0</v>
      </c>
      <c r="F218" s="464">
        <f>_xlfn.IFS(AND(F211&gt;='Summary and Assumptions'!$G$124,F211&lt;='Summary and Assumptions'!$H$124),'Summary and Assumptions'!$F$124,AND(F211&gt;='Summary and Assumptions'!$G$125,F211&lt;='Summary and Assumptions'!$H$125),'Summary and Assumptions'!$F$125,AND(F211&gt;='Summary and Assumptions'!$G$126,F211&lt;='Summary and Assumptions'!$H$126),'Summary and Assumptions'!$F$126,AND(F211&gt;='Summary and Assumptions'!$G$127,F211&lt;='Summary and Assumptions'!$H$127),'Summary and Assumptions'!$F$127,AND(F211&gt;='Summary and Assumptions'!$G$128,F211&lt;='Summary and Assumptions'!$H$128),'Summary and Assumptions'!$F$128,AND(F211&gt;='Summary and Assumptions'!$G$129,F211&lt;='Summary and Assumptions'!$H$129),'Summary and Assumptions'!$F$129,AND(F211&gt;='Summary and Assumptions'!$G$130,F211&lt;='Summary and Assumptions'!$H$130),'Summary and Assumptions'!$F$130,AND(F211&gt;='Summary and Assumptions'!$G$131,F211&lt;='Summary and Assumptions'!$H$131),'Summary and Assumptions'!$F$131,AND(F211&gt;='Summary and Assumptions'!$G$132,F211&lt;='Summary and Assumptions'!$H$132),'Summary and Assumptions'!$F$132,AND(F211&gt;='Summary and Assumptions'!$G$133,F211&lt;='Summary and Assumptions'!$H$133),'Summary and Assumptions'!$F$133,AND(F211&gt;='Summary and Assumptions'!$G$134,F211&lt;='Summary and Assumptions'!$H$134),'Summary and Assumptions'!$F$134,F211&gt;='Summary and Assumptions'!$G$135,'Summary and Assumptions'!$F$135)</f>
        <v>0</v>
      </c>
      <c r="G218" s="465">
        <f>_xlfn.IFS(AND(G211&gt;='Summary and Assumptions'!$G$124,G211&lt;='Summary and Assumptions'!$H$124),'Summary and Assumptions'!$F$124,AND(G211&gt;='Summary and Assumptions'!$G$125,G211&lt;='Summary and Assumptions'!$H$125),'Summary and Assumptions'!$F$125,AND(G211&gt;='Summary and Assumptions'!$G$126,G211&lt;='Summary and Assumptions'!$H$126),'Summary and Assumptions'!$F$126,AND(G211&gt;='Summary and Assumptions'!$G$127,G211&lt;='Summary and Assumptions'!$H$127),'Summary and Assumptions'!$F$127,AND(G211&gt;='Summary and Assumptions'!$G$128,G211&lt;='Summary and Assumptions'!$H$128),'Summary and Assumptions'!$F$128,AND(G211&gt;='Summary and Assumptions'!$G$129,G211&lt;='Summary and Assumptions'!$H$129),'Summary and Assumptions'!$F$129,AND(G211&gt;='Summary and Assumptions'!$G$130,G211&lt;='Summary and Assumptions'!$H$130),'Summary and Assumptions'!$F$130,AND(G211&gt;='Summary and Assumptions'!$G$131,G211&lt;='Summary and Assumptions'!$H$131),'Summary and Assumptions'!$F$131,AND(G211&gt;='Summary and Assumptions'!$G$132,G211&lt;='Summary and Assumptions'!$H$132),'Summary and Assumptions'!$F$132,AND(G211&gt;='Summary and Assumptions'!$G$133,G211&lt;='Summary and Assumptions'!$H$133),'Summary and Assumptions'!$F$133,AND(G211&gt;='Summary and Assumptions'!$G$134,G211&lt;='Summary and Assumptions'!$H$134),'Summary and Assumptions'!$F$134,G211&gt;='Summary and Assumptions'!$G$135,'Summary and Assumptions'!$F$135)</f>
        <v>0</v>
      </c>
      <c r="H218" s="464">
        <f>_xlfn.IFS(AND(H211&gt;='Summary and Assumptions'!$G$124,H211&lt;='Summary and Assumptions'!$H$124),'Summary and Assumptions'!$F$124,AND(H211&gt;='Summary and Assumptions'!$G$125,H211&lt;='Summary and Assumptions'!$H$125),'Summary and Assumptions'!$F$125,AND(H211&gt;='Summary and Assumptions'!$G$126,H211&lt;='Summary and Assumptions'!$H$126),'Summary and Assumptions'!$F$126,AND(H211&gt;='Summary and Assumptions'!$G$127,H211&lt;='Summary and Assumptions'!$H$127),'Summary and Assumptions'!$F$127,AND(H211&gt;='Summary and Assumptions'!$G$128,H211&lt;='Summary and Assumptions'!$H$128),'Summary and Assumptions'!$F$128,AND(H211&gt;='Summary and Assumptions'!$G$129,H211&lt;='Summary and Assumptions'!$H$129),'Summary and Assumptions'!$F$129,AND(H211&gt;='Summary and Assumptions'!$G$130,H211&lt;='Summary and Assumptions'!$H$130),'Summary and Assumptions'!$F$130,AND(H211&gt;='Summary and Assumptions'!$G$131,H211&lt;='Summary and Assumptions'!$H$131),'Summary and Assumptions'!$F$131,AND(H211&gt;='Summary and Assumptions'!$G$132,H211&lt;='Summary and Assumptions'!$H$132),'Summary and Assumptions'!$F$132,AND(H211&gt;='Summary and Assumptions'!$G$133,H211&lt;='Summary and Assumptions'!$H$133),'Summary and Assumptions'!$F$133,AND(H211&gt;='Summary and Assumptions'!$G$134,H211&lt;='Summary and Assumptions'!$H$134),'Summary and Assumptions'!$F$134,H211&gt;='Summary and Assumptions'!$G$135,'Summary and Assumptions'!$F$135)</f>
        <v>0</v>
      </c>
      <c r="I218" s="464">
        <f>_xlfn.IFS(AND(I211&gt;='Summary and Assumptions'!$G$124,I211&lt;='Summary and Assumptions'!$H$124),'Summary and Assumptions'!$F$124,AND(I211&gt;='Summary and Assumptions'!$G$125,I211&lt;='Summary and Assumptions'!$H$125),'Summary and Assumptions'!$F$125,AND(I211&gt;='Summary and Assumptions'!$G$126,I211&lt;='Summary and Assumptions'!$H$126),'Summary and Assumptions'!$F$126,AND(I211&gt;='Summary and Assumptions'!$G$127,I211&lt;='Summary and Assumptions'!$H$127),'Summary and Assumptions'!$F$127,AND(I211&gt;='Summary and Assumptions'!$G$128,I211&lt;='Summary and Assumptions'!$H$128),'Summary and Assumptions'!$F$128,AND(I211&gt;='Summary and Assumptions'!$G$129,I211&lt;='Summary and Assumptions'!$H$129),'Summary and Assumptions'!$F$129,AND(I211&gt;='Summary and Assumptions'!$G$130,I211&lt;='Summary and Assumptions'!$H$130),'Summary and Assumptions'!$F$130,AND(I211&gt;='Summary and Assumptions'!$G$131,I211&lt;='Summary and Assumptions'!$H$131),'Summary and Assumptions'!$F$131,AND(I211&gt;='Summary and Assumptions'!$G$132,I211&lt;='Summary and Assumptions'!$H$132),'Summary and Assumptions'!$F$132,AND(I211&gt;='Summary and Assumptions'!$G$133,I211&lt;='Summary and Assumptions'!$H$133),'Summary and Assumptions'!$F$133,AND(I211&gt;='Summary and Assumptions'!$G$134,I211&lt;='Summary and Assumptions'!$H$134),'Summary and Assumptions'!$F$134,I211&gt;='Summary and Assumptions'!$G$135,'Summary and Assumptions'!$F$135)</f>
        <v>0</v>
      </c>
      <c r="J218" s="464">
        <f>_xlfn.IFS(AND(J211&gt;='Summary and Assumptions'!$G$124,J211&lt;='Summary and Assumptions'!$H$124),'Summary and Assumptions'!$F$124,AND(J211&gt;='Summary and Assumptions'!$G$125,J211&lt;='Summary and Assumptions'!$H$125),'Summary and Assumptions'!$F$125,AND(J211&gt;='Summary and Assumptions'!$G$126,J211&lt;='Summary and Assumptions'!$H$126),'Summary and Assumptions'!$F$126,AND(J211&gt;='Summary and Assumptions'!$G$127,J211&lt;='Summary and Assumptions'!$H$127),'Summary and Assumptions'!$F$127,AND(J211&gt;='Summary and Assumptions'!$G$128,J211&lt;='Summary and Assumptions'!$H$128),'Summary and Assumptions'!$F$128,AND(J211&gt;='Summary and Assumptions'!$G$129,J211&lt;='Summary and Assumptions'!$H$129),'Summary and Assumptions'!$F$129,AND(J211&gt;='Summary and Assumptions'!$G$130,J211&lt;='Summary and Assumptions'!$H$130),'Summary and Assumptions'!$F$130,AND(J211&gt;='Summary and Assumptions'!$G$131,J211&lt;='Summary and Assumptions'!$H$131),'Summary and Assumptions'!$F$131,AND(J211&gt;='Summary and Assumptions'!$G$132,J211&lt;='Summary and Assumptions'!$H$132),'Summary and Assumptions'!$F$132,AND(J211&gt;='Summary and Assumptions'!$G$133,J211&lt;='Summary and Assumptions'!$H$133),'Summary and Assumptions'!$F$133,AND(J211&gt;='Summary and Assumptions'!$G$134,J211&lt;='Summary and Assumptions'!$H$134),'Summary and Assumptions'!$F$134,J211&gt;='Summary and Assumptions'!$G$135,'Summary and Assumptions'!$F$135)</f>
        <v>0</v>
      </c>
      <c r="K218" s="465">
        <f>_xlfn.IFS(AND(K211&gt;='Summary and Assumptions'!$G$124,K211&lt;='Summary and Assumptions'!$H$124),'Summary and Assumptions'!$F$124,AND(K211&gt;='Summary and Assumptions'!$G$125,K211&lt;='Summary and Assumptions'!$H$125),'Summary and Assumptions'!$F$125,AND(K211&gt;='Summary and Assumptions'!$G$126,K211&lt;='Summary and Assumptions'!$H$126),'Summary and Assumptions'!$F$126,AND(K211&gt;='Summary and Assumptions'!$G$127,K211&lt;='Summary and Assumptions'!$H$127),'Summary and Assumptions'!$F$127,AND(K211&gt;='Summary and Assumptions'!$G$128,K211&lt;='Summary and Assumptions'!$H$128),'Summary and Assumptions'!$F$128,AND(K211&gt;='Summary and Assumptions'!$G$129,K211&lt;='Summary and Assumptions'!$H$129),'Summary and Assumptions'!$F$129,AND(K211&gt;='Summary and Assumptions'!$G$130,K211&lt;='Summary and Assumptions'!$H$130),'Summary and Assumptions'!$F$130,AND(K211&gt;='Summary and Assumptions'!$G$131,K211&lt;='Summary and Assumptions'!$H$131),'Summary and Assumptions'!$F$131,AND(K211&gt;='Summary and Assumptions'!$G$132,K211&lt;='Summary and Assumptions'!$H$132),'Summary and Assumptions'!$F$132,AND(K211&gt;='Summary and Assumptions'!$G$133,K211&lt;='Summary and Assumptions'!$H$133),'Summary and Assumptions'!$F$133,AND(K211&gt;='Summary and Assumptions'!$G$134,K211&lt;='Summary and Assumptions'!$H$134),'Summary and Assumptions'!$F$134,K211&gt;='Summary and Assumptions'!$G$135,'Summary and Assumptions'!$F$135)</f>
        <v>0</v>
      </c>
      <c r="L218" s="464">
        <f>_xlfn.IFS(AND(L211&gt;='Summary and Assumptions'!$G$124,L211&lt;='Summary and Assumptions'!$H$124),'Summary and Assumptions'!$F$124,AND(L211&gt;='Summary and Assumptions'!$G$125,L211&lt;='Summary and Assumptions'!$H$125),'Summary and Assumptions'!$F$125,AND(L211&gt;='Summary and Assumptions'!$G$126,L211&lt;='Summary and Assumptions'!$H$126),'Summary and Assumptions'!$F$126,AND(L211&gt;='Summary and Assumptions'!$G$127,L211&lt;='Summary and Assumptions'!$H$127),'Summary and Assumptions'!$F$127,AND(L211&gt;='Summary and Assumptions'!$G$128,L211&lt;='Summary and Assumptions'!$H$128),'Summary and Assumptions'!$F$128,AND(L211&gt;='Summary and Assumptions'!$G$129,L211&lt;='Summary and Assumptions'!$H$129),'Summary and Assumptions'!$F$129,AND(L211&gt;='Summary and Assumptions'!$G$130,L211&lt;='Summary and Assumptions'!$H$130),'Summary and Assumptions'!$F$130,AND(L211&gt;='Summary and Assumptions'!$G$131,L211&lt;='Summary and Assumptions'!$H$131),'Summary and Assumptions'!$F$131,AND(L211&gt;='Summary and Assumptions'!$G$132,L211&lt;='Summary and Assumptions'!$H$132),'Summary and Assumptions'!$F$132,AND(L211&gt;='Summary and Assumptions'!$G$133,L211&lt;='Summary and Assumptions'!$H$133),'Summary and Assumptions'!$F$133,AND(L211&gt;='Summary and Assumptions'!$G$134,L211&lt;='Summary and Assumptions'!$H$134),'Summary and Assumptions'!$F$134,L211&gt;='Summary and Assumptions'!$G$135,'Summary and Assumptions'!$F$135)</f>
        <v>0.01</v>
      </c>
      <c r="M218" s="464">
        <f>_xlfn.IFS(AND(M211&gt;='Summary and Assumptions'!$G$124,M211&lt;='Summary and Assumptions'!$H$124),'Summary and Assumptions'!$F$124,AND(M211&gt;='Summary and Assumptions'!$G$125,M211&lt;='Summary and Assumptions'!$H$125),'Summary and Assumptions'!$F$125,AND(M211&gt;='Summary and Assumptions'!$G$126,M211&lt;='Summary and Assumptions'!$H$126),'Summary and Assumptions'!$F$126,AND(M211&gt;='Summary and Assumptions'!$G$127,M211&lt;='Summary and Assumptions'!$H$127),'Summary and Assumptions'!$F$127,AND(M211&gt;='Summary and Assumptions'!$G$128,M211&lt;='Summary and Assumptions'!$H$128),'Summary and Assumptions'!$F$128,AND(M211&gt;='Summary and Assumptions'!$G$129,M211&lt;='Summary and Assumptions'!$H$129),'Summary and Assumptions'!$F$129,AND(M211&gt;='Summary and Assumptions'!$G$130,M211&lt;='Summary and Assumptions'!$H$130),'Summary and Assumptions'!$F$130,AND(M211&gt;='Summary and Assumptions'!$G$131,M211&lt;='Summary and Assumptions'!$H$131),'Summary and Assumptions'!$F$131,AND(M211&gt;='Summary and Assumptions'!$G$132,M211&lt;='Summary and Assumptions'!$H$132),'Summary and Assumptions'!$F$132,AND(M211&gt;='Summary and Assumptions'!$G$133,M211&lt;='Summary and Assumptions'!$H$133),'Summary and Assumptions'!$F$133,AND(M211&gt;='Summary and Assumptions'!$G$134,M211&lt;='Summary and Assumptions'!$H$134),'Summary and Assumptions'!$F$134,M211&gt;='Summary and Assumptions'!$G$135,'Summary and Assumptions'!$F$135)</f>
        <v>0.01</v>
      </c>
      <c r="N218" s="464">
        <f>_xlfn.IFS(AND(N211&gt;='Summary and Assumptions'!$G$124,N211&lt;='Summary and Assumptions'!$H$124),'Summary and Assumptions'!$F$124,AND(N211&gt;='Summary and Assumptions'!$G$125,N211&lt;='Summary and Assumptions'!$H$125),'Summary and Assumptions'!$F$125,AND(N211&gt;='Summary and Assumptions'!$G$126,N211&lt;='Summary and Assumptions'!$H$126),'Summary and Assumptions'!$F$126,AND(N211&gt;='Summary and Assumptions'!$G$127,N211&lt;='Summary and Assumptions'!$H$127),'Summary and Assumptions'!$F$127,AND(N211&gt;='Summary and Assumptions'!$G$128,N211&lt;='Summary and Assumptions'!$H$128),'Summary and Assumptions'!$F$128,AND(N211&gt;='Summary and Assumptions'!$G$129,N211&lt;='Summary and Assumptions'!$H$129),'Summary and Assumptions'!$F$129,AND(N211&gt;='Summary and Assumptions'!$G$130,N211&lt;='Summary and Assumptions'!$H$130),'Summary and Assumptions'!$F$130,AND(N211&gt;='Summary and Assumptions'!$G$131,N211&lt;='Summary and Assumptions'!$H$131),'Summary and Assumptions'!$F$131,AND(N211&gt;='Summary and Assumptions'!$G$132,N211&lt;='Summary and Assumptions'!$H$132),'Summary and Assumptions'!$F$132,AND(N211&gt;='Summary and Assumptions'!$G$133,N211&lt;='Summary and Assumptions'!$H$133),'Summary and Assumptions'!$F$133,AND(N211&gt;='Summary and Assumptions'!$G$134,N211&lt;='Summary and Assumptions'!$H$134),'Summary and Assumptions'!$F$134,N211&gt;='Summary and Assumptions'!$G$135,'Summary and Assumptions'!$F$135)</f>
        <v>0.01</v>
      </c>
      <c r="O218" s="465">
        <f>_xlfn.IFS(AND(O211&gt;='Summary and Assumptions'!$G$124,O211&lt;='Summary and Assumptions'!$H$124),'Summary and Assumptions'!$F$124,AND(O211&gt;='Summary and Assumptions'!$G$125,O211&lt;='Summary and Assumptions'!$H$125),'Summary and Assumptions'!$F$125,AND(O211&gt;='Summary and Assumptions'!$G$126,O211&lt;='Summary and Assumptions'!$H$126),'Summary and Assumptions'!$F$126,AND(O211&gt;='Summary and Assumptions'!$G$127,O211&lt;='Summary and Assumptions'!$H$127),'Summary and Assumptions'!$F$127,AND(O211&gt;='Summary and Assumptions'!$G$128,O211&lt;='Summary and Assumptions'!$H$128),'Summary and Assumptions'!$F$128,AND(O211&gt;='Summary and Assumptions'!$G$129,O211&lt;='Summary and Assumptions'!$H$129),'Summary and Assumptions'!$F$129,AND(O211&gt;='Summary and Assumptions'!$G$130,O211&lt;='Summary and Assumptions'!$H$130),'Summary and Assumptions'!$F$130,AND(O211&gt;='Summary and Assumptions'!$G$131,O211&lt;='Summary and Assumptions'!$H$131),'Summary and Assumptions'!$F$131,AND(O211&gt;='Summary and Assumptions'!$G$132,O211&lt;='Summary and Assumptions'!$H$132),'Summary and Assumptions'!$F$132,AND(O211&gt;='Summary and Assumptions'!$G$133,O211&lt;='Summary and Assumptions'!$H$133),'Summary and Assumptions'!$F$133,AND(O211&gt;='Summary and Assumptions'!$G$134,O211&lt;='Summary and Assumptions'!$H$134),'Summary and Assumptions'!$F$134,O211&gt;='Summary and Assumptions'!$G$135,'Summary and Assumptions'!$F$135)</f>
        <v>0.01</v>
      </c>
      <c r="P218" s="464">
        <f>_xlfn.IFS(AND(P211&gt;='Summary and Assumptions'!$G$124,P211&lt;='Summary and Assumptions'!$H$124),'Summary and Assumptions'!$F$124,AND(P211&gt;='Summary and Assumptions'!$G$125,P211&lt;='Summary and Assumptions'!$H$125),'Summary and Assumptions'!$F$125,AND(P211&gt;='Summary and Assumptions'!$G$126,P211&lt;='Summary and Assumptions'!$H$126),'Summary and Assumptions'!$F$126,AND(P211&gt;='Summary and Assumptions'!$G$127,P211&lt;='Summary and Assumptions'!$H$127),'Summary and Assumptions'!$F$127,AND(P211&gt;='Summary and Assumptions'!$G$128,P211&lt;='Summary and Assumptions'!$H$128),'Summary and Assumptions'!$F$128,AND(P211&gt;='Summary and Assumptions'!$G$129,P211&lt;='Summary and Assumptions'!$H$129),'Summary and Assumptions'!$F$129,AND(P211&gt;='Summary and Assumptions'!$G$130,P211&lt;='Summary and Assumptions'!$H$130),'Summary and Assumptions'!$F$130,AND(P211&gt;='Summary and Assumptions'!$G$131,P211&lt;='Summary and Assumptions'!$H$131),'Summary and Assumptions'!$F$131,AND(P211&gt;='Summary and Assumptions'!$G$132,P211&lt;='Summary and Assumptions'!$H$132),'Summary and Assumptions'!$F$132,AND(P211&gt;='Summary and Assumptions'!$G$133,P211&lt;='Summary and Assumptions'!$H$133),'Summary and Assumptions'!$F$133,AND(P211&gt;='Summary and Assumptions'!$G$134,P211&lt;='Summary and Assumptions'!$H$134),'Summary and Assumptions'!$F$134,P211&gt;='Summary and Assumptions'!$G$135,'Summary and Assumptions'!$F$135)</f>
        <v>7.0000000000000007E-2</v>
      </c>
      <c r="Q218" s="464">
        <f>_xlfn.IFS(AND(Q211&gt;='Summary and Assumptions'!$G$124,Q211&lt;='Summary and Assumptions'!$H$124),'Summary and Assumptions'!$F$124,AND(Q211&gt;='Summary and Assumptions'!$G$125,Q211&lt;='Summary and Assumptions'!$H$125),'Summary and Assumptions'!$F$125,AND(Q211&gt;='Summary and Assumptions'!$G$126,Q211&lt;='Summary and Assumptions'!$H$126),'Summary and Assumptions'!$F$126,AND(Q211&gt;='Summary and Assumptions'!$G$127,Q211&lt;='Summary and Assumptions'!$H$127),'Summary and Assumptions'!$F$127,AND(Q211&gt;='Summary and Assumptions'!$G$128,Q211&lt;='Summary and Assumptions'!$H$128),'Summary and Assumptions'!$F$128,AND(Q211&gt;='Summary and Assumptions'!$G$129,Q211&lt;='Summary and Assumptions'!$H$129),'Summary and Assumptions'!$F$129,AND(Q211&gt;='Summary and Assumptions'!$G$130,Q211&lt;='Summary and Assumptions'!$H$130),'Summary and Assumptions'!$F$130,AND(Q211&gt;='Summary and Assumptions'!$G$131,Q211&lt;='Summary and Assumptions'!$H$131),'Summary and Assumptions'!$F$131,AND(Q211&gt;='Summary and Assumptions'!$G$132,Q211&lt;='Summary and Assumptions'!$H$132),'Summary and Assumptions'!$F$132,AND(Q211&gt;='Summary and Assumptions'!$G$133,Q211&lt;='Summary and Assumptions'!$H$133),'Summary and Assumptions'!$F$133,AND(Q211&gt;='Summary and Assumptions'!$G$134,Q211&lt;='Summary and Assumptions'!$H$134),'Summary and Assumptions'!$F$134,Q211&gt;='Summary and Assumptions'!$G$135,'Summary and Assumptions'!$F$135)</f>
        <v>7.0000000000000007E-2</v>
      </c>
      <c r="R218" s="464">
        <f>_xlfn.IFS(AND(R211&gt;='Summary and Assumptions'!$G$124,R211&lt;='Summary and Assumptions'!$H$124),'Summary and Assumptions'!$F$124,AND(R211&gt;='Summary and Assumptions'!$G$125,R211&lt;='Summary and Assumptions'!$H$125),'Summary and Assumptions'!$F$125,AND(R211&gt;='Summary and Assumptions'!$G$126,R211&lt;='Summary and Assumptions'!$H$126),'Summary and Assumptions'!$F$126,AND(R211&gt;='Summary and Assumptions'!$G$127,R211&lt;='Summary and Assumptions'!$H$127),'Summary and Assumptions'!$F$127,AND(R211&gt;='Summary and Assumptions'!$G$128,R211&lt;='Summary and Assumptions'!$H$128),'Summary and Assumptions'!$F$128,AND(R211&gt;='Summary and Assumptions'!$G$129,R211&lt;='Summary and Assumptions'!$H$129),'Summary and Assumptions'!$F$129,AND(R211&gt;='Summary and Assumptions'!$G$130,R211&lt;='Summary and Assumptions'!$H$130),'Summary and Assumptions'!$F$130,AND(R211&gt;='Summary and Assumptions'!$G$131,R211&lt;='Summary and Assumptions'!$H$131),'Summary and Assumptions'!$F$131,AND(R211&gt;='Summary and Assumptions'!$G$132,R211&lt;='Summary and Assumptions'!$H$132),'Summary and Assumptions'!$F$132,AND(R211&gt;='Summary and Assumptions'!$G$133,R211&lt;='Summary and Assumptions'!$H$133),'Summary and Assumptions'!$F$133,AND(R211&gt;='Summary and Assumptions'!$G$134,R211&lt;='Summary and Assumptions'!$H$134),'Summary and Assumptions'!$F$134,R211&gt;='Summary and Assumptions'!$G$135,'Summary and Assumptions'!$F$135)</f>
        <v>7.0000000000000007E-2</v>
      </c>
      <c r="S218" s="465">
        <f>_xlfn.IFS(AND(S211&gt;='Summary and Assumptions'!$G$124,S211&lt;='Summary and Assumptions'!$H$124),'Summary and Assumptions'!$F$124,AND(S211&gt;='Summary and Assumptions'!$G$125,S211&lt;='Summary and Assumptions'!$H$125),'Summary and Assumptions'!$F$125,AND(S211&gt;='Summary and Assumptions'!$G$126,S211&lt;='Summary and Assumptions'!$H$126),'Summary and Assumptions'!$F$126,AND(S211&gt;='Summary and Assumptions'!$G$127,S211&lt;='Summary and Assumptions'!$H$127),'Summary and Assumptions'!$F$127,AND(S211&gt;='Summary and Assumptions'!$G$128,S211&lt;='Summary and Assumptions'!$H$128),'Summary and Assumptions'!$F$128,AND(S211&gt;='Summary and Assumptions'!$G$129,S211&lt;='Summary and Assumptions'!$H$129),'Summary and Assumptions'!$F$129,AND(S211&gt;='Summary and Assumptions'!$G$130,S211&lt;='Summary and Assumptions'!$H$130),'Summary and Assumptions'!$F$130,AND(S211&gt;='Summary and Assumptions'!$G$131,S211&lt;='Summary and Assumptions'!$H$131),'Summary and Assumptions'!$F$131,AND(S211&gt;='Summary and Assumptions'!$G$132,S211&lt;='Summary and Assumptions'!$H$132),'Summary and Assumptions'!$F$132,AND(S211&gt;='Summary and Assumptions'!$G$133,S211&lt;='Summary and Assumptions'!$H$133),'Summary and Assumptions'!$F$133,AND(S211&gt;='Summary and Assumptions'!$G$134,S211&lt;='Summary and Assumptions'!$H$134),'Summary and Assumptions'!$F$134,S211&gt;='Summary and Assumptions'!$G$135,'Summary and Assumptions'!$F$135)</f>
        <v>7.0000000000000007E-2</v>
      </c>
      <c r="T218" s="464">
        <f>_xlfn.IFS(AND(T211&gt;='Summary and Assumptions'!$G$124,T211&lt;='Summary and Assumptions'!$H$124),'Summary and Assumptions'!$F$124,AND(T211&gt;='Summary and Assumptions'!$G$125,T211&lt;='Summary and Assumptions'!$H$125),'Summary and Assumptions'!$F$125,AND(T211&gt;='Summary and Assumptions'!$G$126,T211&lt;='Summary and Assumptions'!$H$126),'Summary and Assumptions'!$F$126,AND(T211&gt;='Summary and Assumptions'!$G$127,T211&lt;='Summary and Assumptions'!$H$127),'Summary and Assumptions'!$F$127,AND(T211&gt;='Summary and Assumptions'!$G$128,T211&lt;='Summary and Assumptions'!$H$128),'Summary and Assumptions'!$F$128,AND(T211&gt;='Summary and Assumptions'!$G$129,T211&lt;='Summary and Assumptions'!$H$129),'Summary and Assumptions'!$F$129,AND(T211&gt;='Summary and Assumptions'!$G$130,T211&lt;='Summary and Assumptions'!$H$130),'Summary and Assumptions'!$F$130,AND(T211&gt;='Summary and Assumptions'!$G$131,T211&lt;='Summary and Assumptions'!$H$131),'Summary and Assumptions'!$F$131,AND(T211&gt;='Summary and Assumptions'!$G$132,T211&lt;='Summary and Assumptions'!$H$132),'Summary and Assumptions'!$F$132,AND(T211&gt;='Summary and Assumptions'!$G$133,T211&lt;='Summary and Assumptions'!$H$133),'Summary and Assumptions'!$F$133,AND(T211&gt;='Summary and Assumptions'!$G$134,T211&lt;='Summary and Assumptions'!$H$134),'Summary and Assumptions'!$F$134,T211&gt;='Summary and Assumptions'!$G$135,'Summary and Assumptions'!$F$135)</f>
        <v>0.15</v>
      </c>
      <c r="U218" s="464">
        <f>_xlfn.IFS(AND(U211&gt;='Summary and Assumptions'!$G$124,U211&lt;='Summary and Assumptions'!$H$124),'Summary and Assumptions'!$F$124,AND(U211&gt;='Summary and Assumptions'!$G$125,U211&lt;='Summary and Assumptions'!$H$125),'Summary and Assumptions'!$F$125,AND(U211&gt;='Summary and Assumptions'!$G$126,U211&lt;='Summary and Assumptions'!$H$126),'Summary and Assumptions'!$F$126,AND(U211&gt;='Summary and Assumptions'!$G$127,U211&lt;='Summary and Assumptions'!$H$127),'Summary and Assumptions'!$F$127,AND(U211&gt;='Summary and Assumptions'!$G$128,U211&lt;='Summary and Assumptions'!$H$128),'Summary and Assumptions'!$F$128,AND(U211&gt;='Summary and Assumptions'!$G$129,U211&lt;='Summary and Assumptions'!$H$129),'Summary and Assumptions'!$F$129,AND(U211&gt;='Summary and Assumptions'!$G$130,U211&lt;='Summary and Assumptions'!$H$130),'Summary and Assumptions'!$F$130,AND(U211&gt;='Summary and Assumptions'!$G$131,U211&lt;='Summary and Assumptions'!$H$131),'Summary and Assumptions'!$F$131,AND(U211&gt;='Summary and Assumptions'!$G$132,U211&lt;='Summary and Assumptions'!$H$132),'Summary and Assumptions'!$F$132,AND(U211&gt;='Summary and Assumptions'!$G$133,U211&lt;='Summary and Assumptions'!$H$133),'Summary and Assumptions'!$F$133,AND(U211&gt;='Summary and Assumptions'!$G$134,U211&lt;='Summary and Assumptions'!$H$134),'Summary and Assumptions'!$F$134,U211&gt;='Summary and Assumptions'!$G$135,'Summary and Assumptions'!$F$135)</f>
        <v>0.15</v>
      </c>
      <c r="V218" s="464">
        <f>_xlfn.IFS(AND(V211&gt;='Summary and Assumptions'!$G$124,V211&lt;='Summary and Assumptions'!$H$124),'Summary and Assumptions'!$F$124,AND(V211&gt;='Summary and Assumptions'!$G$125,V211&lt;='Summary and Assumptions'!$H$125),'Summary and Assumptions'!$F$125,AND(V211&gt;='Summary and Assumptions'!$G$126,V211&lt;='Summary and Assumptions'!$H$126),'Summary and Assumptions'!$F$126,AND(V211&gt;='Summary and Assumptions'!$G$127,V211&lt;='Summary and Assumptions'!$H$127),'Summary and Assumptions'!$F$127,AND(V211&gt;='Summary and Assumptions'!$G$128,V211&lt;='Summary and Assumptions'!$H$128),'Summary and Assumptions'!$F$128,AND(V211&gt;='Summary and Assumptions'!$G$129,V211&lt;='Summary and Assumptions'!$H$129),'Summary and Assumptions'!$F$129,AND(V211&gt;='Summary and Assumptions'!$G$130,V211&lt;='Summary and Assumptions'!$H$130),'Summary and Assumptions'!$F$130,AND(V211&gt;='Summary and Assumptions'!$G$131,V211&lt;='Summary and Assumptions'!$H$131),'Summary and Assumptions'!$F$131,AND(V211&gt;='Summary and Assumptions'!$G$132,V211&lt;='Summary and Assumptions'!$H$132),'Summary and Assumptions'!$F$132,AND(V211&gt;='Summary and Assumptions'!$G$133,V211&lt;='Summary and Assumptions'!$H$133),'Summary and Assumptions'!$F$133,AND(V211&gt;='Summary and Assumptions'!$G$134,V211&lt;='Summary and Assumptions'!$H$134),'Summary and Assumptions'!$F$134,V211&gt;='Summary and Assumptions'!$G$135,'Summary and Assumptions'!$F$135)</f>
        <v>0.15</v>
      </c>
      <c r="W218" s="465">
        <f>_xlfn.IFS(AND(W211&gt;='Summary and Assumptions'!$G$124,W211&lt;='Summary and Assumptions'!$H$124),'Summary and Assumptions'!$F$124,AND(W211&gt;='Summary and Assumptions'!$G$125,W211&lt;='Summary and Assumptions'!$H$125),'Summary and Assumptions'!$F$125,AND(W211&gt;='Summary and Assumptions'!$G$126,W211&lt;='Summary and Assumptions'!$H$126),'Summary and Assumptions'!$F$126,AND(W211&gt;='Summary and Assumptions'!$G$127,W211&lt;='Summary and Assumptions'!$H$127),'Summary and Assumptions'!$F$127,AND(W211&gt;='Summary and Assumptions'!$G$128,W211&lt;='Summary and Assumptions'!$H$128),'Summary and Assumptions'!$F$128,AND(W211&gt;='Summary and Assumptions'!$G$129,W211&lt;='Summary and Assumptions'!$H$129),'Summary and Assumptions'!$F$129,AND(W211&gt;='Summary and Assumptions'!$G$130,W211&lt;='Summary and Assumptions'!$H$130),'Summary and Assumptions'!$F$130,AND(W211&gt;='Summary and Assumptions'!$G$131,W211&lt;='Summary and Assumptions'!$H$131),'Summary and Assumptions'!$F$131,AND(W211&gt;='Summary and Assumptions'!$G$132,W211&lt;='Summary and Assumptions'!$H$132),'Summary and Assumptions'!$F$132,AND(W211&gt;='Summary and Assumptions'!$G$133,W211&lt;='Summary and Assumptions'!$H$133),'Summary and Assumptions'!$F$133,AND(W211&gt;='Summary and Assumptions'!$G$134,W211&lt;='Summary and Assumptions'!$H$134),'Summary and Assumptions'!$F$134,W211&gt;='Summary and Assumptions'!$G$135,'Summary and Assumptions'!$F$135)</f>
        <v>0.15</v>
      </c>
      <c r="X218" s="464">
        <f>_xlfn.IFS(AND(X211&gt;='Summary and Assumptions'!$G$124,X211&lt;='Summary and Assumptions'!$H$124),'Summary and Assumptions'!$F$124,AND(X211&gt;='Summary and Assumptions'!$G$125,X211&lt;='Summary and Assumptions'!$H$125),'Summary and Assumptions'!$F$125,AND(X211&gt;='Summary and Assumptions'!$G$126,X211&lt;='Summary and Assumptions'!$H$126),'Summary and Assumptions'!$F$126,AND(X211&gt;='Summary and Assumptions'!$G$127,X211&lt;='Summary and Assumptions'!$H$127),'Summary and Assumptions'!$F$127,AND(X211&gt;='Summary and Assumptions'!$G$128,X211&lt;='Summary and Assumptions'!$H$128),'Summary and Assumptions'!$F$128,AND(X211&gt;='Summary and Assumptions'!$G$129,X211&lt;='Summary and Assumptions'!$H$129),'Summary and Assumptions'!$F$129,AND(X211&gt;='Summary and Assumptions'!$G$130,X211&lt;='Summary and Assumptions'!$H$130),'Summary and Assumptions'!$F$130,AND(X211&gt;='Summary and Assumptions'!$G$131,X211&lt;='Summary and Assumptions'!$H$131),'Summary and Assumptions'!$F$131,AND(X211&gt;='Summary and Assumptions'!$G$132,X211&lt;='Summary and Assumptions'!$H$132),'Summary and Assumptions'!$F$132,AND(X211&gt;='Summary and Assumptions'!$G$133,X211&lt;='Summary and Assumptions'!$H$133),'Summary and Assumptions'!$F$133,AND(X211&gt;='Summary and Assumptions'!$G$134,X211&lt;='Summary and Assumptions'!$H$134),'Summary and Assumptions'!$F$134,X211&gt;='Summary and Assumptions'!$G$135,'Summary and Assumptions'!$F$135)</f>
        <v>0.2</v>
      </c>
      <c r="Y218" s="464">
        <f>_xlfn.IFS(AND(Y211&gt;='Summary and Assumptions'!$G$124,Y211&lt;='Summary and Assumptions'!$H$124),'Summary and Assumptions'!$F$124,AND(Y211&gt;='Summary and Assumptions'!$G$125,Y211&lt;='Summary and Assumptions'!$H$125),'Summary and Assumptions'!$F$125,AND(Y211&gt;='Summary and Assumptions'!$G$126,Y211&lt;='Summary and Assumptions'!$H$126),'Summary and Assumptions'!$F$126,AND(Y211&gt;='Summary and Assumptions'!$G$127,Y211&lt;='Summary and Assumptions'!$H$127),'Summary and Assumptions'!$F$127,AND(Y211&gt;='Summary and Assumptions'!$G$128,Y211&lt;='Summary and Assumptions'!$H$128),'Summary and Assumptions'!$F$128,AND(Y211&gt;='Summary and Assumptions'!$G$129,Y211&lt;='Summary and Assumptions'!$H$129),'Summary and Assumptions'!$F$129,AND(Y211&gt;='Summary and Assumptions'!$G$130,Y211&lt;='Summary and Assumptions'!$H$130),'Summary and Assumptions'!$F$130,AND(Y211&gt;='Summary and Assumptions'!$G$131,Y211&lt;='Summary and Assumptions'!$H$131),'Summary and Assumptions'!$F$131,AND(Y211&gt;='Summary and Assumptions'!$G$132,Y211&lt;='Summary and Assumptions'!$H$132),'Summary and Assumptions'!$F$132,AND(Y211&gt;='Summary and Assumptions'!$G$133,Y211&lt;='Summary and Assumptions'!$H$133),'Summary and Assumptions'!$F$133,AND(Y211&gt;='Summary and Assumptions'!$G$134,Y211&lt;='Summary and Assumptions'!$H$134),'Summary and Assumptions'!$F$134,Y211&gt;='Summary and Assumptions'!$G$135,'Summary and Assumptions'!$F$135)</f>
        <v>0.2</v>
      </c>
      <c r="Z218" s="464">
        <f>_xlfn.IFS(AND(Z211&gt;='Summary and Assumptions'!$G$124,Z211&lt;='Summary and Assumptions'!$H$124),'Summary and Assumptions'!$F$124,AND(Z211&gt;='Summary and Assumptions'!$G$125,Z211&lt;='Summary and Assumptions'!$H$125),'Summary and Assumptions'!$F$125,AND(Z211&gt;='Summary and Assumptions'!$G$126,Z211&lt;='Summary and Assumptions'!$H$126),'Summary and Assumptions'!$F$126,AND(Z211&gt;='Summary and Assumptions'!$G$127,Z211&lt;='Summary and Assumptions'!$H$127),'Summary and Assumptions'!$F$127,AND(Z211&gt;='Summary and Assumptions'!$G$128,Z211&lt;='Summary and Assumptions'!$H$128),'Summary and Assumptions'!$F$128,AND(Z211&gt;='Summary and Assumptions'!$G$129,Z211&lt;='Summary and Assumptions'!$H$129),'Summary and Assumptions'!$F$129,AND(Z211&gt;='Summary and Assumptions'!$G$130,Z211&lt;='Summary and Assumptions'!$H$130),'Summary and Assumptions'!$F$130,AND(Z211&gt;='Summary and Assumptions'!$G$131,Z211&lt;='Summary and Assumptions'!$H$131),'Summary and Assumptions'!$F$131,AND(Z211&gt;='Summary and Assumptions'!$G$132,Z211&lt;='Summary and Assumptions'!$H$132),'Summary and Assumptions'!$F$132,AND(Z211&gt;='Summary and Assumptions'!$G$133,Z211&lt;='Summary and Assumptions'!$H$133),'Summary and Assumptions'!$F$133,AND(Z211&gt;='Summary and Assumptions'!$G$134,Z211&lt;='Summary and Assumptions'!$H$134),'Summary and Assumptions'!$F$134,Z211&gt;='Summary and Assumptions'!$G$135,'Summary and Assumptions'!$F$135)</f>
        <v>0.2</v>
      </c>
      <c r="AA218" s="465">
        <f>_xlfn.IFS(AND(AA211&gt;='Summary and Assumptions'!$G$124,AA211&lt;='Summary and Assumptions'!$H$124),'Summary and Assumptions'!$F$124,AND(AA211&gt;='Summary and Assumptions'!$G$125,AA211&lt;='Summary and Assumptions'!$H$125),'Summary and Assumptions'!$F$125,AND(AA211&gt;='Summary and Assumptions'!$G$126,AA211&lt;='Summary and Assumptions'!$H$126),'Summary and Assumptions'!$F$126,AND(AA211&gt;='Summary and Assumptions'!$G$127,AA211&lt;='Summary and Assumptions'!$H$127),'Summary and Assumptions'!$F$127,AND(AA211&gt;='Summary and Assumptions'!$G$128,AA211&lt;='Summary and Assumptions'!$H$128),'Summary and Assumptions'!$F$128,AND(AA211&gt;='Summary and Assumptions'!$G$129,AA211&lt;='Summary and Assumptions'!$H$129),'Summary and Assumptions'!$F$129,AND(AA211&gt;='Summary and Assumptions'!$G$130,AA211&lt;='Summary and Assumptions'!$H$130),'Summary and Assumptions'!$F$130,AND(AA211&gt;='Summary and Assumptions'!$G$131,AA211&lt;='Summary and Assumptions'!$H$131),'Summary and Assumptions'!$F$131,AND(AA211&gt;='Summary and Assumptions'!$G$132,AA211&lt;='Summary and Assumptions'!$H$132),'Summary and Assumptions'!$F$132,AND(AA211&gt;='Summary and Assumptions'!$G$133,AA211&lt;='Summary and Assumptions'!$H$133),'Summary and Assumptions'!$F$133,AND(AA211&gt;='Summary and Assumptions'!$G$134,AA211&lt;='Summary and Assumptions'!$H$134),'Summary and Assumptions'!$F$134,AA211&gt;='Summary and Assumptions'!$G$135,'Summary and Assumptions'!$F$135)</f>
        <v>0.2</v>
      </c>
      <c r="AB218" s="464">
        <f>_xlfn.IFS(AND(AB211&gt;='Summary and Assumptions'!$G$124,AB211&lt;='Summary and Assumptions'!$H$124),'Summary and Assumptions'!$F$124,AND(AB211&gt;='Summary and Assumptions'!$G$125,AB211&lt;='Summary and Assumptions'!$H$125),'Summary and Assumptions'!$F$125,AND(AB211&gt;='Summary and Assumptions'!$G$126,AB211&lt;='Summary and Assumptions'!$H$126),'Summary and Assumptions'!$F$126,AND(AB211&gt;='Summary and Assumptions'!$G$127,AB211&lt;='Summary and Assumptions'!$H$127),'Summary and Assumptions'!$F$127,AND(AB211&gt;='Summary and Assumptions'!$G$128,AB211&lt;='Summary and Assumptions'!$H$128),'Summary and Assumptions'!$F$128,AND(AB211&gt;='Summary and Assumptions'!$G$129,AB211&lt;='Summary and Assumptions'!$H$129),'Summary and Assumptions'!$F$129,AND(AB211&gt;='Summary and Assumptions'!$G$130,AB211&lt;='Summary and Assumptions'!$H$130),'Summary and Assumptions'!$F$130,AND(AB211&gt;='Summary and Assumptions'!$G$131,AB211&lt;='Summary and Assumptions'!$H$131),'Summary and Assumptions'!$F$131,AND(AB211&gt;='Summary and Assumptions'!$G$132,AB211&lt;='Summary and Assumptions'!$H$132),'Summary and Assumptions'!$F$132,AND(AB211&gt;='Summary and Assumptions'!$G$133,AB211&lt;='Summary and Assumptions'!$H$133),'Summary and Assumptions'!$F$133,AND(AB211&gt;='Summary and Assumptions'!$G$134,AB211&lt;='Summary and Assumptions'!$H$134),'Summary and Assumptions'!$F$134,AB211&gt;='Summary and Assumptions'!$G$135,'Summary and Assumptions'!$F$135)</f>
        <v>0.25</v>
      </c>
      <c r="AC218" s="464">
        <f>_xlfn.IFS(AND(AC211&gt;='Summary and Assumptions'!$G$124,AC211&lt;='Summary and Assumptions'!$H$124),'Summary and Assumptions'!$F$124,AND(AC211&gt;='Summary and Assumptions'!$G$125,AC211&lt;='Summary and Assumptions'!$H$125),'Summary and Assumptions'!$F$125,AND(AC211&gt;='Summary and Assumptions'!$G$126,AC211&lt;='Summary and Assumptions'!$H$126),'Summary and Assumptions'!$F$126,AND(AC211&gt;='Summary and Assumptions'!$G$127,AC211&lt;='Summary and Assumptions'!$H$127),'Summary and Assumptions'!$F$127,AND(AC211&gt;='Summary and Assumptions'!$G$128,AC211&lt;='Summary and Assumptions'!$H$128),'Summary and Assumptions'!$F$128,AND(AC211&gt;='Summary and Assumptions'!$G$129,AC211&lt;='Summary and Assumptions'!$H$129),'Summary and Assumptions'!$F$129,AND(AC211&gt;='Summary and Assumptions'!$G$130,AC211&lt;='Summary and Assumptions'!$H$130),'Summary and Assumptions'!$F$130,AND(AC211&gt;='Summary and Assumptions'!$G$131,AC211&lt;='Summary and Assumptions'!$H$131),'Summary and Assumptions'!$F$131,AND(AC211&gt;='Summary and Assumptions'!$G$132,AC211&lt;='Summary and Assumptions'!$H$132),'Summary and Assumptions'!$F$132,AND(AC211&gt;='Summary and Assumptions'!$G$133,AC211&lt;='Summary and Assumptions'!$H$133),'Summary and Assumptions'!$F$133,AND(AC211&gt;='Summary and Assumptions'!$G$134,AC211&lt;='Summary and Assumptions'!$H$134),'Summary and Assumptions'!$F$134,AC211&gt;='Summary and Assumptions'!$G$135,'Summary and Assumptions'!$F$135)</f>
        <v>0.25</v>
      </c>
      <c r="AD218" s="464">
        <f>_xlfn.IFS(AND(AD211&gt;='Summary and Assumptions'!$G$124,AD211&lt;='Summary and Assumptions'!$H$124),'Summary and Assumptions'!$F$124,AND(AD211&gt;='Summary and Assumptions'!$G$125,AD211&lt;='Summary and Assumptions'!$H$125),'Summary and Assumptions'!$F$125,AND(AD211&gt;='Summary and Assumptions'!$G$126,AD211&lt;='Summary and Assumptions'!$H$126),'Summary and Assumptions'!$F$126,AND(AD211&gt;='Summary and Assumptions'!$G$127,AD211&lt;='Summary and Assumptions'!$H$127),'Summary and Assumptions'!$F$127,AND(AD211&gt;='Summary and Assumptions'!$G$128,AD211&lt;='Summary and Assumptions'!$H$128),'Summary and Assumptions'!$F$128,AND(AD211&gt;='Summary and Assumptions'!$G$129,AD211&lt;='Summary and Assumptions'!$H$129),'Summary and Assumptions'!$F$129,AND(AD211&gt;='Summary and Assumptions'!$G$130,AD211&lt;='Summary and Assumptions'!$H$130),'Summary and Assumptions'!$F$130,AND(AD211&gt;='Summary and Assumptions'!$G$131,AD211&lt;='Summary and Assumptions'!$H$131),'Summary and Assumptions'!$F$131,AND(AD211&gt;='Summary and Assumptions'!$G$132,AD211&lt;='Summary and Assumptions'!$H$132),'Summary and Assumptions'!$F$132,AND(AD211&gt;='Summary and Assumptions'!$G$133,AD211&lt;='Summary and Assumptions'!$H$133),'Summary and Assumptions'!$F$133,AND(AD211&gt;='Summary and Assumptions'!$G$134,AD211&lt;='Summary and Assumptions'!$H$134),'Summary and Assumptions'!$F$134,AD211&gt;='Summary and Assumptions'!$G$135,'Summary and Assumptions'!$F$135)</f>
        <v>0.25</v>
      </c>
      <c r="AE218" s="465">
        <f>_xlfn.IFS(AND(AE211&gt;='Summary and Assumptions'!$G$124,AE211&lt;='Summary and Assumptions'!$H$124),'Summary and Assumptions'!$F$124,AND(AE211&gt;='Summary and Assumptions'!$G$125,AE211&lt;='Summary and Assumptions'!$H$125),'Summary and Assumptions'!$F$125,AND(AE211&gt;='Summary and Assumptions'!$G$126,AE211&lt;='Summary and Assumptions'!$H$126),'Summary and Assumptions'!$F$126,AND(AE211&gt;='Summary and Assumptions'!$G$127,AE211&lt;='Summary and Assumptions'!$H$127),'Summary and Assumptions'!$F$127,AND(AE211&gt;='Summary and Assumptions'!$G$128,AE211&lt;='Summary and Assumptions'!$H$128),'Summary and Assumptions'!$F$128,AND(AE211&gt;='Summary and Assumptions'!$G$129,AE211&lt;='Summary and Assumptions'!$H$129),'Summary and Assumptions'!$F$129,AND(AE211&gt;='Summary and Assumptions'!$G$130,AE211&lt;='Summary and Assumptions'!$H$130),'Summary and Assumptions'!$F$130,AND(AE211&gt;='Summary and Assumptions'!$G$131,AE211&lt;='Summary and Assumptions'!$H$131),'Summary and Assumptions'!$F$131,AND(AE211&gt;='Summary and Assumptions'!$G$132,AE211&lt;='Summary and Assumptions'!$H$132),'Summary and Assumptions'!$F$132,AND(AE211&gt;='Summary and Assumptions'!$G$133,AE211&lt;='Summary and Assumptions'!$H$133),'Summary and Assumptions'!$F$133,AND(AE211&gt;='Summary and Assumptions'!$G$134,AE211&lt;='Summary and Assumptions'!$H$134),'Summary and Assumptions'!$F$134,AE211&gt;='Summary and Assumptions'!$G$135,'Summary and Assumptions'!$F$135)</f>
        <v>0.25</v>
      </c>
      <c r="AF218" s="464">
        <f>_xlfn.IFS(AND(AF211&gt;='Summary and Assumptions'!$G$124,AF211&lt;='Summary and Assumptions'!$H$124),'Summary and Assumptions'!$F$124,AND(AF211&gt;='Summary and Assumptions'!$G$125,AF211&lt;='Summary and Assumptions'!$H$125),'Summary and Assumptions'!$F$125,AND(AF211&gt;='Summary and Assumptions'!$G$126,AF211&lt;='Summary and Assumptions'!$H$126),'Summary and Assumptions'!$F$126,AND(AF211&gt;='Summary and Assumptions'!$G$127,AF211&lt;='Summary and Assumptions'!$H$127),'Summary and Assumptions'!$F$127,AND(AF211&gt;='Summary and Assumptions'!$G$128,AF211&lt;='Summary and Assumptions'!$H$128),'Summary and Assumptions'!$F$128,AND(AF211&gt;='Summary and Assumptions'!$G$129,AF211&lt;='Summary and Assumptions'!$H$129),'Summary and Assumptions'!$F$129,AND(AF211&gt;='Summary and Assumptions'!$G$130,AF211&lt;='Summary and Assumptions'!$H$130),'Summary and Assumptions'!$F$130,AND(AF211&gt;='Summary and Assumptions'!$G$131,AF211&lt;='Summary and Assumptions'!$H$131),'Summary and Assumptions'!$F$131,AND(AF211&gt;='Summary and Assumptions'!$G$132,AF211&lt;='Summary and Assumptions'!$H$132),'Summary and Assumptions'!$F$132,AND(AF211&gt;='Summary and Assumptions'!$G$133,AF211&lt;='Summary and Assumptions'!$H$133),'Summary and Assumptions'!$F$133,AND(AF211&gt;='Summary and Assumptions'!$G$134,AF211&lt;='Summary and Assumptions'!$H$134),'Summary and Assumptions'!$F$134,AF211&gt;='Summary and Assumptions'!$G$135,'Summary and Assumptions'!$F$135)</f>
        <v>0.35</v>
      </c>
      <c r="AG218" s="464">
        <f>_xlfn.IFS(AND(AG211&gt;='Summary and Assumptions'!$G$124,AG211&lt;='Summary and Assumptions'!$H$124),'Summary and Assumptions'!$F$124,AND(AG211&gt;='Summary and Assumptions'!$G$125,AG211&lt;='Summary and Assumptions'!$H$125),'Summary and Assumptions'!$F$125,AND(AG211&gt;='Summary and Assumptions'!$G$126,AG211&lt;='Summary and Assumptions'!$H$126),'Summary and Assumptions'!$F$126,AND(AG211&gt;='Summary and Assumptions'!$G$127,AG211&lt;='Summary and Assumptions'!$H$127),'Summary and Assumptions'!$F$127,AND(AG211&gt;='Summary and Assumptions'!$G$128,AG211&lt;='Summary and Assumptions'!$H$128),'Summary and Assumptions'!$F$128,AND(AG211&gt;='Summary and Assumptions'!$G$129,AG211&lt;='Summary and Assumptions'!$H$129),'Summary and Assumptions'!$F$129,AND(AG211&gt;='Summary and Assumptions'!$G$130,AG211&lt;='Summary and Assumptions'!$H$130),'Summary and Assumptions'!$F$130,AND(AG211&gt;='Summary and Assumptions'!$G$131,AG211&lt;='Summary and Assumptions'!$H$131),'Summary and Assumptions'!$F$131,AND(AG211&gt;='Summary and Assumptions'!$G$132,AG211&lt;='Summary and Assumptions'!$H$132),'Summary and Assumptions'!$F$132,AND(AG211&gt;='Summary and Assumptions'!$G$133,AG211&lt;='Summary and Assumptions'!$H$133),'Summary and Assumptions'!$F$133,AND(AG211&gt;='Summary and Assumptions'!$G$134,AG211&lt;='Summary and Assumptions'!$H$134),'Summary and Assumptions'!$F$134,AG211&gt;='Summary and Assumptions'!$G$135,'Summary and Assumptions'!$F$135)</f>
        <v>0.35</v>
      </c>
      <c r="AH218" s="464">
        <f>_xlfn.IFS(AND(AH211&gt;='Summary and Assumptions'!$G$124,AH211&lt;='Summary and Assumptions'!$H$124),'Summary and Assumptions'!$F$124,AND(AH211&gt;='Summary and Assumptions'!$G$125,AH211&lt;='Summary and Assumptions'!$H$125),'Summary and Assumptions'!$F$125,AND(AH211&gt;='Summary and Assumptions'!$G$126,AH211&lt;='Summary and Assumptions'!$H$126),'Summary and Assumptions'!$F$126,AND(AH211&gt;='Summary and Assumptions'!$G$127,AH211&lt;='Summary and Assumptions'!$H$127),'Summary and Assumptions'!$F$127,AND(AH211&gt;='Summary and Assumptions'!$G$128,AH211&lt;='Summary and Assumptions'!$H$128),'Summary and Assumptions'!$F$128,AND(AH211&gt;='Summary and Assumptions'!$G$129,AH211&lt;='Summary and Assumptions'!$H$129),'Summary and Assumptions'!$F$129,AND(AH211&gt;='Summary and Assumptions'!$G$130,AH211&lt;='Summary and Assumptions'!$H$130),'Summary and Assumptions'!$F$130,AND(AH211&gt;='Summary and Assumptions'!$G$131,AH211&lt;='Summary and Assumptions'!$H$131),'Summary and Assumptions'!$F$131,AND(AH211&gt;='Summary and Assumptions'!$G$132,AH211&lt;='Summary and Assumptions'!$H$132),'Summary and Assumptions'!$F$132,AND(AH211&gt;='Summary and Assumptions'!$G$133,AH211&lt;='Summary and Assumptions'!$H$133),'Summary and Assumptions'!$F$133,AND(AH211&gt;='Summary and Assumptions'!$G$134,AH211&lt;='Summary and Assumptions'!$H$134),'Summary and Assumptions'!$F$134,AH211&gt;='Summary and Assumptions'!$G$135,'Summary and Assumptions'!$F$135)</f>
        <v>0.35</v>
      </c>
      <c r="AI218" s="465">
        <f>_xlfn.IFS(AND(AI211&gt;='Summary and Assumptions'!$G$124,AI211&lt;='Summary and Assumptions'!$H$124),'Summary and Assumptions'!$F$124,AND(AI211&gt;='Summary and Assumptions'!$G$125,AI211&lt;='Summary and Assumptions'!$H$125),'Summary and Assumptions'!$F$125,AND(AI211&gt;='Summary and Assumptions'!$G$126,AI211&lt;='Summary and Assumptions'!$H$126),'Summary and Assumptions'!$F$126,AND(AI211&gt;='Summary and Assumptions'!$G$127,AI211&lt;='Summary and Assumptions'!$H$127),'Summary and Assumptions'!$F$127,AND(AI211&gt;='Summary and Assumptions'!$G$128,AI211&lt;='Summary and Assumptions'!$H$128),'Summary and Assumptions'!$F$128,AND(AI211&gt;='Summary and Assumptions'!$G$129,AI211&lt;='Summary and Assumptions'!$H$129),'Summary and Assumptions'!$F$129,AND(AI211&gt;='Summary and Assumptions'!$G$130,AI211&lt;='Summary and Assumptions'!$H$130),'Summary and Assumptions'!$F$130,AND(AI211&gt;='Summary and Assumptions'!$G$131,AI211&lt;='Summary and Assumptions'!$H$131),'Summary and Assumptions'!$F$131,AND(AI211&gt;='Summary and Assumptions'!$G$132,AI211&lt;='Summary and Assumptions'!$H$132),'Summary and Assumptions'!$F$132,AND(AI211&gt;='Summary and Assumptions'!$G$133,AI211&lt;='Summary and Assumptions'!$H$133),'Summary and Assumptions'!$F$133,AND(AI211&gt;='Summary and Assumptions'!$G$134,AI211&lt;='Summary and Assumptions'!$H$134),'Summary and Assumptions'!$F$134,AI211&gt;='Summary and Assumptions'!$G$135,'Summary and Assumptions'!$F$135)</f>
        <v>0.35</v>
      </c>
      <c r="AJ218" s="464">
        <f>_xlfn.IFS(AND(AJ211&gt;='Summary and Assumptions'!$G$124,AJ211&lt;='Summary and Assumptions'!$H$124),'Summary and Assumptions'!$F$124,AND(AJ211&gt;='Summary and Assumptions'!$G$125,AJ211&lt;='Summary and Assumptions'!$H$125),'Summary and Assumptions'!$F$125,AND(AJ211&gt;='Summary and Assumptions'!$G$126,AJ211&lt;='Summary and Assumptions'!$H$126),'Summary and Assumptions'!$F$126,AND(AJ211&gt;='Summary and Assumptions'!$G$127,AJ211&lt;='Summary and Assumptions'!$H$127),'Summary and Assumptions'!$F$127,AND(AJ211&gt;='Summary and Assumptions'!$G$128,AJ211&lt;='Summary and Assumptions'!$H$128),'Summary and Assumptions'!$F$128,AND(AJ211&gt;='Summary and Assumptions'!$G$129,AJ211&lt;='Summary and Assumptions'!$H$129),'Summary and Assumptions'!$F$129,AND(AJ211&gt;='Summary and Assumptions'!$G$130,AJ211&lt;='Summary and Assumptions'!$H$130),'Summary and Assumptions'!$F$130,AND(AJ211&gt;='Summary and Assumptions'!$G$131,AJ211&lt;='Summary and Assumptions'!$H$131),'Summary and Assumptions'!$F$131,AND(AJ211&gt;='Summary and Assumptions'!$G$132,AJ211&lt;='Summary and Assumptions'!$H$132),'Summary and Assumptions'!$F$132,AND(AJ211&gt;='Summary and Assumptions'!$G$133,AJ211&lt;='Summary and Assumptions'!$H$133),'Summary and Assumptions'!$F$133,AND(AJ211&gt;='Summary and Assumptions'!$G$134,AJ211&lt;='Summary and Assumptions'!$H$134),'Summary and Assumptions'!$F$134,AJ211&gt;='Summary and Assumptions'!$G$135,'Summary and Assumptions'!$F$135)</f>
        <v>1</v>
      </c>
      <c r="AK218" s="464">
        <f>_xlfn.IFS(AND(AK211&gt;='Summary and Assumptions'!$G$124,AK211&lt;='Summary and Assumptions'!$H$124),'Summary and Assumptions'!$F$124,AND(AK211&gt;='Summary and Assumptions'!$G$125,AK211&lt;='Summary and Assumptions'!$H$125),'Summary and Assumptions'!$F$125,AND(AK211&gt;='Summary and Assumptions'!$G$126,AK211&lt;='Summary and Assumptions'!$H$126),'Summary and Assumptions'!$F$126,AND(AK211&gt;='Summary and Assumptions'!$G$127,AK211&lt;='Summary and Assumptions'!$H$127),'Summary and Assumptions'!$F$127,AND(AK211&gt;='Summary and Assumptions'!$G$128,AK211&lt;='Summary and Assumptions'!$H$128),'Summary and Assumptions'!$F$128,AND(AK211&gt;='Summary and Assumptions'!$G$129,AK211&lt;='Summary and Assumptions'!$H$129),'Summary and Assumptions'!$F$129,AND(AK211&gt;='Summary and Assumptions'!$G$130,AK211&lt;='Summary and Assumptions'!$H$130),'Summary and Assumptions'!$F$130,AND(AK211&gt;='Summary and Assumptions'!$G$131,AK211&lt;='Summary and Assumptions'!$H$131),'Summary and Assumptions'!$F$131,AND(AK211&gt;='Summary and Assumptions'!$G$132,AK211&lt;='Summary and Assumptions'!$H$132),'Summary and Assumptions'!$F$132,AND(AK211&gt;='Summary and Assumptions'!$G$133,AK211&lt;='Summary and Assumptions'!$H$133),'Summary and Assumptions'!$F$133,AND(AK211&gt;='Summary and Assumptions'!$G$134,AK211&lt;='Summary and Assumptions'!$H$134),'Summary and Assumptions'!$F$134,AK211&gt;='Summary and Assumptions'!$G$135,'Summary and Assumptions'!$F$135)</f>
        <v>1</v>
      </c>
      <c r="AL218" s="464">
        <f>_xlfn.IFS(AND(AL211&gt;='Summary and Assumptions'!$G$124,AL211&lt;='Summary and Assumptions'!$H$124),'Summary and Assumptions'!$F$124,AND(AL211&gt;='Summary and Assumptions'!$G$125,AL211&lt;='Summary and Assumptions'!$H$125),'Summary and Assumptions'!$F$125,AND(AL211&gt;='Summary and Assumptions'!$G$126,AL211&lt;='Summary and Assumptions'!$H$126),'Summary and Assumptions'!$F$126,AND(AL211&gt;='Summary and Assumptions'!$G$127,AL211&lt;='Summary and Assumptions'!$H$127),'Summary and Assumptions'!$F$127,AND(AL211&gt;='Summary and Assumptions'!$G$128,AL211&lt;='Summary and Assumptions'!$H$128),'Summary and Assumptions'!$F$128,AND(AL211&gt;='Summary and Assumptions'!$G$129,AL211&lt;='Summary and Assumptions'!$H$129),'Summary and Assumptions'!$F$129,AND(AL211&gt;='Summary and Assumptions'!$G$130,AL211&lt;='Summary and Assumptions'!$H$130),'Summary and Assumptions'!$F$130,AND(AL211&gt;='Summary and Assumptions'!$G$131,AL211&lt;='Summary and Assumptions'!$H$131),'Summary and Assumptions'!$F$131,AND(AL211&gt;='Summary and Assumptions'!$G$132,AL211&lt;='Summary and Assumptions'!$H$132),'Summary and Assumptions'!$F$132,AND(AL211&gt;='Summary and Assumptions'!$G$133,AL211&lt;='Summary and Assumptions'!$H$133),'Summary and Assumptions'!$F$133,AND(AL211&gt;='Summary and Assumptions'!$G$134,AL211&lt;='Summary and Assumptions'!$H$134),'Summary and Assumptions'!$F$134,AL211&gt;='Summary and Assumptions'!$G$135,'Summary and Assumptions'!$F$135)</f>
        <v>1</v>
      </c>
      <c r="AM218" s="465">
        <f>_xlfn.IFS(AND(AM211&gt;='Summary and Assumptions'!$G$124,AM211&lt;='Summary and Assumptions'!$H$124),'Summary and Assumptions'!$F$124,AND(AM211&gt;='Summary and Assumptions'!$G$125,AM211&lt;='Summary and Assumptions'!$H$125),'Summary and Assumptions'!$F$125,AND(AM211&gt;='Summary and Assumptions'!$G$126,AM211&lt;='Summary and Assumptions'!$H$126),'Summary and Assumptions'!$F$126,AND(AM211&gt;='Summary and Assumptions'!$G$127,AM211&lt;='Summary and Assumptions'!$H$127),'Summary and Assumptions'!$F$127,AND(AM211&gt;='Summary and Assumptions'!$G$128,AM211&lt;='Summary and Assumptions'!$H$128),'Summary and Assumptions'!$F$128,AND(AM211&gt;='Summary and Assumptions'!$G$129,AM211&lt;='Summary and Assumptions'!$H$129),'Summary and Assumptions'!$F$129,AND(AM211&gt;='Summary and Assumptions'!$G$130,AM211&lt;='Summary and Assumptions'!$H$130),'Summary and Assumptions'!$F$130,AND(AM211&gt;='Summary and Assumptions'!$G$131,AM211&lt;='Summary and Assumptions'!$H$131),'Summary and Assumptions'!$F$131,AND(AM211&gt;='Summary and Assumptions'!$G$132,AM211&lt;='Summary and Assumptions'!$H$132),'Summary and Assumptions'!$F$132,AND(AM211&gt;='Summary and Assumptions'!$G$133,AM211&lt;='Summary and Assumptions'!$H$133),'Summary and Assumptions'!$F$133,AND(AM211&gt;='Summary and Assumptions'!$G$134,AM211&lt;='Summary and Assumptions'!$H$134),'Summary and Assumptions'!$F$134,AM211&gt;='Summary and Assumptions'!$G$135,'Summary and Assumptions'!$F$135)</f>
        <v>1</v>
      </c>
      <c r="AN218" s="464">
        <f>_xlfn.IFS(AND(AN211&gt;='Summary and Assumptions'!$G$124,AN211&lt;='Summary and Assumptions'!$H$124),'Summary and Assumptions'!$F$124,AND(AN211&gt;='Summary and Assumptions'!$G$125,AN211&lt;='Summary and Assumptions'!$H$125),'Summary and Assumptions'!$F$125,AND(AN211&gt;='Summary and Assumptions'!$G$126,AN211&lt;='Summary and Assumptions'!$H$126),'Summary and Assumptions'!$F$126,AND(AN211&gt;='Summary and Assumptions'!$G$127,AN211&lt;='Summary and Assumptions'!$H$127),'Summary and Assumptions'!$F$127,AND(AN211&gt;='Summary and Assumptions'!$G$128,AN211&lt;='Summary and Assumptions'!$H$128),'Summary and Assumptions'!$F$128,AND(AN211&gt;='Summary and Assumptions'!$G$129,AN211&lt;='Summary and Assumptions'!$H$129),'Summary and Assumptions'!$F$129,AND(AN211&gt;='Summary and Assumptions'!$G$130,AN211&lt;='Summary and Assumptions'!$H$130),'Summary and Assumptions'!$F$130,AND(AN211&gt;='Summary and Assumptions'!$G$131,AN211&lt;='Summary and Assumptions'!$H$131),'Summary and Assumptions'!$F$131,AND(AN211&gt;='Summary and Assumptions'!$G$132,AN211&lt;='Summary and Assumptions'!$H$132),'Summary and Assumptions'!$F$132,AND(AN211&gt;='Summary and Assumptions'!$G$133,AN211&lt;='Summary and Assumptions'!$H$133),'Summary and Assumptions'!$F$133,AND(AN211&gt;='Summary and Assumptions'!$G$134,AN211&lt;='Summary and Assumptions'!$H$134),'Summary and Assumptions'!$F$134,AN211&gt;='Summary and Assumptions'!$G$135,'Summary and Assumptions'!$F$135)</f>
        <v>1.5</v>
      </c>
      <c r="AO218" s="464">
        <f>_xlfn.IFS(AND(AO211&gt;='Summary and Assumptions'!$G$124,AO211&lt;='Summary and Assumptions'!$H$124),'Summary and Assumptions'!$F$124,AND(AO211&gt;='Summary and Assumptions'!$G$125,AO211&lt;='Summary and Assumptions'!$H$125),'Summary and Assumptions'!$F$125,AND(AO211&gt;='Summary and Assumptions'!$G$126,AO211&lt;='Summary and Assumptions'!$H$126),'Summary and Assumptions'!$F$126,AND(AO211&gt;='Summary and Assumptions'!$G$127,AO211&lt;='Summary and Assumptions'!$H$127),'Summary and Assumptions'!$F$127,AND(AO211&gt;='Summary and Assumptions'!$G$128,AO211&lt;='Summary and Assumptions'!$H$128),'Summary and Assumptions'!$F$128,AND(AO211&gt;='Summary and Assumptions'!$G$129,AO211&lt;='Summary and Assumptions'!$H$129),'Summary and Assumptions'!$F$129,AND(AO211&gt;='Summary and Assumptions'!$G$130,AO211&lt;='Summary and Assumptions'!$H$130),'Summary and Assumptions'!$F$130,AND(AO211&gt;='Summary and Assumptions'!$G$131,AO211&lt;='Summary and Assumptions'!$H$131),'Summary and Assumptions'!$F$131,AND(AO211&gt;='Summary and Assumptions'!$G$132,AO211&lt;='Summary and Assumptions'!$H$132),'Summary and Assumptions'!$F$132,AND(AO211&gt;='Summary and Assumptions'!$G$133,AO211&lt;='Summary and Assumptions'!$H$133),'Summary and Assumptions'!$F$133,AND(AO211&gt;='Summary and Assumptions'!$G$134,AO211&lt;='Summary and Assumptions'!$H$134),'Summary and Assumptions'!$F$134,AO211&gt;='Summary and Assumptions'!$G$135,'Summary and Assumptions'!$F$135)</f>
        <v>1.5</v>
      </c>
      <c r="AP218" s="464">
        <f>_xlfn.IFS(AND(AP211&gt;='Summary and Assumptions'!$G$124,AP211&lt;='Summary and Assumptions'!$H$124),'Summary and Assumptions'!$F$124,AND(AP211&gt;='Summary and Assumptions'!$G$125,AP211&lt;='Summary and Assumptions'!$H$125),'Summary and Assumptions'!$F$125,AND(AP211&gt;='Summary and Assumptions'!$G$126,AP211&lt;='Summary and Assumptions'!$H$126),'Summary and Assumptions'!$F$126,AND(AP211&gt;='Summary and Assumptions'!$G$127,AP211&lt;='Summary and Assumptions'!$H$127),'Summary and Assumptions'!$F$127,AND(AP211&gt;='Summary and Assumptions'!$G$128,AP211&lt;='Summary and Assumptions'!$H$128),'Summary and Assumptions'!$F$128,AND(AP211&gt;='Summary and Assumptions'!$G$129,AP211&lt;='Summary and Assumptions'!$H$129),'Summary and Assumptions'!$F$129,AND(AP211&gt;='Summary and Assumptions'!$G$130,AP211&lt;='Summary and Assumptions'!$H$130),'Summary and Assumptions'!$F$130,AND(AP211&gt;='Summary and Assumptions'!$G$131,AP211&lt;='Summary and Assumptions'!$H$131),'Summary and Assumptions'!$F$131,AND(AP211&gt;='Summary and Assumptions'!$G$132,AP211&lt;='Summary and Assumptions'!$H$132),'Summary and Assumptions'!$F$132,AND(AP211&gt;='Summary and Assumptions'!$G$133,AP211&lt;='Summary and Assumptions'!$H$133),'Summary and Assumptions'!$F$133,AND(AP211&gt;='Summary and Assumptions'!$G$134,AP211&lt;='Summary and Assumptions'!$H$134),'Summary and Assumptions'!$F$134,AP211&gt;='Summary and Assumptions'!$G$135,'Summary and Assumptions'!$F$135)</f>
        <v>1.5</v>
      </c>
      <c r="AQ218" s="465">
        <f>_xlfn.IFS(AND(AQ211&gt;='Summary and Assumptions'!$G$124,AQ211&lt;='Summary and Assumptions'!$H$124),'Summary and Assumptions'!$F$124,AND(AQ211&gt;='Summary and Assumptions'!$G$125,AQ211&lt;='Summary and Assumptions'!$H$125),'Summary and Assumptions'!$F$125,AND(AQ211&gt;='Summary and Assumptions'!$G$126,AQ211&lt;='Summary and Assumptions'!$H$126),'Summary and Assumptions'!$F$126,AND(AQ211&gt;='Summary and Assumptions'!$G$127,AQ211&lt;='Summary and Assumptions'!$H$127),'Summary and Assumptions'!$F$127,AND(AQ211&gt;='Summary and Assumptions'!$G$128,AQ211&lt;='Summary and Assumptions'!$H$128),'Summary and Assumptions'!$F$128,AND(AQ211&gt;='Summary and Assumptions'!$G$129,AQ211&lt;='Summary and Assumptions'!$H$129),'Summary and Assumptions'!$F$129,AND(AQ211&gt;='Summary and Assumptions'!$G$130,AQ211&lt;='Summary and Assumptions'!$H$130),'Summary and Assumptions'!$F$130,AND(AQ211&gt;='Summary and Assumptions'!$G$131,AQ211&lt;='Summary and Assumptions'!$H$131),'Summary and Assumptions'!$F$131,AND(AQ211&gt;='Summary and Assumptions'!$G$132,AQ211&lt;='Summary and Assumptions'!$H$132),'Summary and Assumptions'!$F$132,AND(AQ211&gt;='Summary and Assumptions'!$G$133,AQ211&lt;='Summary and Assumptions'!$H$133),'Summary and Assumptions'!$F$133,AND(AQ211&gt;='Summary and Assumptions'!$G$134,AQ211&lt;='Summary and Assumptions'!$H$134),'Summary and Assumptions'!$F$134,AQ211&gt;='Summary and Assumptions'!$G$135,'Summary and Assumptions'!$F$135)</f>
        <v>1.5</v>
      </c>
      <c r="AR218" s="464">
        <f>_xlfn.IFS(AND(AR211&gt;='Summary and Assumptions'!$G$124,AR211&lt;='Summary and Assumptions'!$H$124),'Summary and Assumptions'!$F$124,AND(AR211&gt;='Summary and Assumptions'!$G$125,AR211&lt;='Summary and Assumptions'!$H$125),'Summary and Assumptions'!$F$125,AND(AR211&gt;='Summary and Assumptions'!$G$126,AR211&lt;='Summary and Assumptions'!$H$126),'Summary and Assumptions'!$F$126,AND(AR211&gt;='Summary and Assumptions'!$G$127,AR211&lt;='Summary and Assumptions'!$H$127),'Summary and Assumptions'!$F$127,AND(AR211&gt;='Summary and Assumptions'!$G$128,AR211&lt;='Summary and Assumptions'!$H$128),'Summary and Assumptions'!$F$128,AND(AR211&gt;='Summary and Assumptions'!$G$129,AR211&lt;='Summary and Assumptions'!$H$129),'Summary and Assumptions'!$F$129,AND(AR211&gt;='Summary and Assumptions'!$G$130,AR211&lt;='Summary and Assumptions'!$H$130),'Summary and Assumptions'!$F$130,AND(AR211&gt;='Summary and Assumptions'!$G$131,AR211&lt;='Summary and Assumptions'!$H$131),'Summary and Assumptions'!$F$131,AND(AR211&gt;='Summary and Assumptions'!$G$132,AR211&lt;='Summary and Assumptions'!$H$132),'Summary and Assumptions'!$F$132,AND(AR211&gt;='Summary and Assumptions'!$G$133,AR211&lt;='Summary and Assumptions'!$H$133),'Summary and Assumptions'!$F$133,AND(AR211&gt;='Summary and Assumptions'!$G$134,AR211&lt;='Summary and Assumptions'!$H$134),'Summary and Assumptions'!$F$134,AR211&gt;='Summary and Assumptions'!$G$135,'Summary and Assumptions'!$F$135)</f>
        <v>1</v>
      </c>
      <c r="AS218" s="464">
        <f>_xlfn.IFS(AND(AS211&gt;='Summary and Assumptions'!$G$124,AS211&lt;='Summary and Assumptions'!$H$124),'Summary and Assumptions'!$F$124,AND(AS211&gt;='Summary and Assumptions'!$G$125,AS211&lt;='Summary and Assumptions'!$H$125),'Summary and Assumptions'!$F$125,AND(AS211&gt;='Summary and Assumptions'!$G$126,AS211&lt;='Summary and Assumptions'!$H$126),'Summary and Assumptions'!$F$126,AND(AS211&gt;='Summary and Assumptions'!$G$127,AS211&lt;='Summary and Assumptions'!$H$127),'Summary and Assumptions'!$F$127,AND(AS211&gt;='Summary and Assumptions'!$G$128,AS211&lt;='Summary and Assumptions'!$H$128),'Summary and Assumptions'!$F$128,AND(AS211&gt;='Summary and Assumptions'!$G$129,AS211&lt;='Summary and Assumptions'!$H$129),'Summary and Assumptions'!$F$129,AND(AS211&gt;='Summary and Assumptions'!$G$130,AS211&lt;='Summary and Assumptions'!$H$130),'Summary and Assumptions'!$F$130,AND(AS211&gt;='Summary and Assumptions'!$G$131,AS211&lt;='Summary and Assumptions'!$H$131),'Summary and Assumptions'!$F$131,AND(AS211&gt;='Summary and Assumptions'!$G$132,AS211&lt;='Summary and Assumptions'!$H$132),'Summary and Assumptions'!$F$132,AND(AS211&gt;='Summary and Assumptions'!$G$133,AS211&lt;='Summary and Assumptions'!$H$133),'Summary and Assumptions'!$F$133,AND(AS211&gt;='Summary and Assumptions'!$G$134,AS211&lt;='Summary and Assumptions'!$H$134),'Summary and Assumptions'!$F$134,AS211&gt;='Summary and Assumptions'!$G$135,'Summary and Assumptions'!$F$135)</f>
        <v>1</v>
      </c>
      <c r="AT218" s="464">
        <f>_xlfn.IFS(AND(AT211&gt;='Summary and Assumptions'!$G$124,AT211&lt;='Summary and Assumptions'!$H$124),'Summary and Assumptions'!$F$124,AND(AT211&gt;='Summary and Assumptions'!$G$125,AT211&lt;='Summary and Assumptions'!$H$125),'Summary and Assumptions'!$F$125,AND(AT211&gt;='Summary and Assumptions'!$G$126,AT211&lt;='Summary and Assumptions'!$H$126),'Summary and Assumptions'!$F$126,AND(AT211&gt;='Summary and Assumptions'!$G$127,AT211&lt;='Summary and Assumptions'!$H$127),'Summary and Assumptions'!$F$127,AND(AT211&gt;='Summary and Assumptions'!$G$128,AT211&lt;='Summary and Assumptions'!$H$128),'Summary and Assumptions'!$F$128,AND(AT211&gt;='Summary and Assumptions'!$G$129,AT211&lt;='Summary and Assumptions'!$H$129),'Summary and Assumptions'!$F$129,AND(AT211&gt;='Summary and Assumptions'!$G$130,AT211&lt;='Summary and Assumptions'!$H$130),'Summary and Assumptions'!$F$130,AND(AT211&gt;='Summary and Assumptions'!$G$131,AT211&lt;='Summary and Assumptions'!$H$131),'Summary and Assumptions'!$F$131,AND(AT211&gt;='Summary and Assumptions'!$G$132,AT211&lt;='Summary and Assumptions'!$H$132),'Summary and Assumptions'!$F$132,AND(AT211&gt;='Summary and Assumptions'!$G$133,AT211&lt;='Summary and Assumptions'!$H$133),'Summary and Assumptions'!$F$133,AND(AT211&gt;='Summary and Assumptions'!$G$134,AT211&lt;='Summary and Assumptions'!$H$134),'Summary and Assumptions'!$F$134,AT211&gt;='Summary and Assumptions'!$G$135,'Summary and Assumptions'!$F$135)</f>
        <v>1</v>
      </c>
      <c r="AU218" s="465">
        <f>_xlfn.IFS(AND(AU211&gt;='Summary and Assumptions'!$G$124,AU211&lt;='Summary and Assumptions'!$H$124),'Summary and Assumptions'!$F$124,AND(AU211&gt;='Summary and Assumptions'!$G$125,AU211&lt;='Summary and Assumptions'!$H$125),'Summary and Assumptions'!$F$125,AND(AU211&gt;='Summary and Assumptions'!$G$126,AU211&lt;='Summary and Assumptions'!$H$126),'Summary and Assumptions'!$F$126,AND(AU211&gt;='Summary and Assumptions'!$G$127,AU211&lt;='Summary and Assumptions'!$H$127),'Summary and Assumptions'!$F$127,AND(AU211&gt;='Summary and Assumptions'!$G$128,AU211&lt;='Summary and Assumptions'!$H$128),'Summary and Assumptions'!$F$128,AND(AU211&gt;='Summary and Assumptions'!$G$129,AU211&lt;='Summary and Assumptions'!$H$129),'Summary and Assumptions'!$F$129,AND(AU211&gt;='Summary and Assumptions'!$G$130,AU211&lt;='Summary and Assumptions'!$H$130),'Summary and Assumptions'!$F$130,AND(AU211&gt;='Summary and Assumptions'!$G$131,AU211&lt;='Summary and Assumptions'!$H$131),'Summary and Assumptions'!$F$131,AND(AU211&gt;='Summary and Assumptions'!$G$132,AU211&lt;='Summary and Assumptions'!$H$132),'Summary and Assumptions'!$F$132,AND(AU211&gt;='Summary and Assumptions'!$G$133,AU211&lt;='Summary and Assumptions'!$H$133),'Summary and Assumptions'!$F$133,AND(AU211&gt;='Summary and Assumptions'!$G$134,AU211&lt;='Summary and Assumptions'!$H$134),'Summary and Assumptions'!$F$134,AU211&gt;='Summary and Assumptions'!$G$135,'Summary and Assumptions'!$F$135)</f>
        <v>1</v>
      </c>
      <c r="AV218" s="462"/>
      <c r="AW218" s="462"/>
      <c r="AX218" s="462"/>
      <c r="AY218" s="463"/>
    </row>
    <row r="219" spans="1:51" ht="15.75" customHeight="1" x14ac:dyDescent="0.2">
      <c r="A219" s="3"/>
      <c r="B219" s="466" t="s">
        <v>72</v>
      </c>
      <c r="C219" s="438"/>
      <c r="D219" s="94">
        <f ca="1">D216*'Summary and Assumptions'!$D$104</f>
        <v>0</v>
      </c>
      <c r="E219" s="94">
        <f ca="1">E216*'Summary and Assumptions'!$D$104</f>
        <v>0</v>
      </c>
      <c r="F219" s="94">
        <f ca="1">F216*'Summary and Assumptions'!$D$104</f>
        <v>0</v>
      </c>
      <c r="G219" s="95">
        <f ca="1">G216*'Summary and Assumptions'!$D$104</f>
        <v>0</v>
      </c>
      <c r="H219" s="94">
        <f ca="1">H216*'Summary and Assumptions'!$D$104</f>
        <v>0</v>
      </c>
      <c r="I219" s="94">
        <f ca="1">I216*'Summary and Assumptions'!$D$104</f>
        <v>0</v>
      </c>
      <c r="J219" s="94">
        <f ca="1">J216*'Summary and Assumptions'!$D$104</f>
        <v>0</v>
      </c>
      <c r="K219" s="95">
        <f ca="1">K216*'Summary and Assumptions'!$D$104</f>
        <v>0</v>
      </c>
      <c r="L219" s="94">
        <f ca="1">L216*'Summary and Assumptions'!$D$104</f>
        <v>93437.5</v>
      </c>
      <c r="M219" s="94">
        <f ca="1">M216*'Summary and Assumptions'!$D$104</f>
        <v>110687.5</v>
      </c>
      <c r="N219" s="94">
        <f ca="1">N216*'Summary and Assumptions'!$D$104</f>
        <v>122187.5</v>
      </c>
      <c r="O219" s="95">
        <f ca="1">O216*'Summary and Assumptions'!$D$104</f>
        <v>141312.5</v>
      </c>
      <c r="P219" s="94">
        <f ca="1">P216*'Summary and Assumptions'!$D$104</f>
        <v>1095937.5</v>
      </c>
      <c r="Q219" s="94">
        <f ca="1">Q216*'Summary and Assumptions'!$D$104</f>
        <v>1234187.5000000002</v>
      </c>
      <c r="R219" s="94">
        <f ca="1">R216*'Summary and Assumptions'!$D$104</f>
        <v>1315562.5000000002</v>
      </c>
      <c r="S219" s="95">
        <f ca="1">S216*'Summary and Assumptions'!$D$104</f>
        <v>1391687.5000000002</v>
      </c>
      <c r="T219" s="94">
        <f ca="1">T216*'Summary and Assumptions'!$D$104</f>
        <v>3184687.5</v>
      </c>
      <c r="U219" s="94">
        <f ca="1">U216*'Summary and Assumptions'!$D$104</f>
        <v>3319687.5</v>
      </c>
      <c r="V219" s="94">
        <f ca="1">V216*'Summary and Assumptions'!$D$104</f>
        <v>3517968.75</v>
      </c>
      <c r="W219" s="95">
        <f ca="1">W216*'Summary and Assumptions'!$D$104</f>
        <v>3609375</v>
      </c>
      <c r="X219" s="94">
        <f ca="1">X216*'Summary and Assumptions'!$D$104</f>
        <v>4925000</v>
      </c>
      <c r="Y219" s="94">
        <f ca="1">Y216*'Summary and Assumptions'!$D$104</f>
        <v>5037500</v>
      </c>
      <c r="Z219" s="94">
        <f ca="1">Z216*'Summary and Assumptions'!$D$104</f>
        <v>5112500</v>
      </c>
      <c r="AA219" s="95">
        <f ca="1">AA216*'Summary and Assumptions'!$D$104</f>
        <v>5225000</v>
      </c>
      <c r="AB219" s="94">
        <f ca="1">AB216*'Summary and Assumptions'!$D$104</f>
        <v>6625000</v>
      </c>
      <c r="AC219" s="94">
        <f ca="1">AC216*'Summary and Assumptions'!$D$104</f>
        <v>6671875</v>
      </c>
      <c r="AD219" s="94">
        <f ca="1">AD216*'Summary and Assumptions'!$D$104</f>
        <v>6671875</v>
      </c>
      <c r="AE219" s="95">
        <f ca="1">AE216*'Summary and Assumptions'!$D$104</f>
        <v>6671875</v>
      </c>
      <c r="AF219" s="94">
        <f ca="1">AF216*'Summary and Assumptions'!$D$104</f>
        <v>9340625</v>
      </c>
      <c r="AG219" s="94">
        <f ca="1">AG216*'Summary and Assumptions'!$D$104</f>
        <v>9340625</v>
      </c>
      <c r="AH219" s="94">
        <f ca="1">AH216*'Summary and Assumptions'!$D$104</f>
        <v>9340625</v>
      </c>
      <c r="AI219" s="95">
        <f ca="1">AI216*'Summary and Assumptions'!$D$104</f>
        <v>9340625</v>
      </c>
      <c r="AJ219" s="94">
        <f ca="1">AJ216*'Summary and Assumptions'!$D$104</f>
        <v>26687500</v>
      </c>
      <c r="AK219" s="94">
        <f ca="1">AK216*'Summary and Assumptions'!$D$104</f>
        <v>26687500</v>
      </c>
      <c r="AL219" s="94">
        <f ca="1">AL216*'Summary and Assumptions'!$D$104</f>
        <v>26687500</v>
      </c>
      <c r="AM219" s="95">
        <f ca="1">AM216*'Summary and Assumptions'!$D$104</f>
        <v>26687500</v>
      </c>
      <c r="AN219" s="94">
        <f ca="1">AN216*'Summary and Assumptions'!$D$104</f>
        <v>40031250</v>
      </c>
      <c r="AO219" s="94">
        <f ca="1">AO216*'Summary and Assumptions'!$D$104</f>
        <v>40031250</v>
      </c>
      <c r="AP219" s="94">
        <f ca="1">AP216*'Summary and Assumptions'!$D$104</f>
        <v>40031250</v>
      </c>
      <c r="AQ219" s="95">
        <f ca="1">AQ216*'Summary and Assumptions'!$D$104</f>
        <v>40031250</v>
      </c>
      <c r="AR219" s="94">
        <f ca="1">AR216*'Summary and Assumptions'!$D$104</f>
        <v>26687500</v>
      </c>
      <c r="AS219" s="94">
        <f ca="1">AS216*'Summary and Assumptions'!$D$104</f>
        <v>26687500</v>
      </c>
      <c r="AT219" s="94">
        <f ca="1">AT216*'Summary and Assumptions'!$D$104</f>
        <v>26687500</v>
      </c>
      <c r="AU219" s="95">
        <f ca="1">AU216*'Summary and Assumptions'!$D$104</f>
        <v>26687500</v>
      </c>
      <c r="AV219" s="98"/>
      <c r="AW219" s="98"/>
      <c r="AX219" s="98"/>
      <c r="AY219" s="99"/>
    </row>
    <row r="220" spans="1:51" ht="15.75" customHeight="1" x14ac:dyDescent="0.2">
      <c r="A220" s="3"/>
      <c r="B220" s="396"/>
      <c r="C220" s="438"/>
      <c r="D220" s="439"/>
      <c r="E220" s="439"/>
      <c r="F220" s="439"/>
      <c r="G220" s="440"/>
      <c r="H220" s="439"/>
      <c r="I220" s="439"/>
      <c r="J220" s="439"/>
      <c r="K220" s="440"/>
      <c r="L220" s="439"/>
      <c r="M220" s="439"/>
      <c r="N220" s="439"/>
      <c r="O220" s="440"/>
      <c r="P220" s="439"/>
      <c r="Q220" s="439"/>
      <c r="R220" s="439"/>
      <c r="S220" s="440"/>
      <c r="T220" s="439"/>
      <c r="U220" s="439"/>
      <c r="V220" s="439"/>
      <c r="W220" s="440"/>
      <c r="X220" s="439"/>
      <c r="Y220" s="439"/>
      <c r="Z220" s="439"/>
      <c r="AA220" s="440"/>
      <c r="AB220" s="439"/>
      <c r="AC220" s="439"/>
      <c r="AD220" s="439"/>
      <c r="AE220" s="440"/>
      <c r="AF220" s="439"/>
      <c r="AG220" s="439"/>
      <c r="AH220" s="439"/>
      <c r="AI220" s="440"/>
      <c r="AJ220" s="439"/>
      <c r="AK220" s="439"/>
      <c r="AL220" s="439"/>
      <c r="AM220" s="440"/>
      <c r="AN220" s="439"/>
      <c r="AO220" s="439"/>
      <c r="AP220" s="439"/>
      <c r="AQ220" s="440"/>
      <c r="AR220" s="439"/>
      <c r="AS220" s="439"/>
      <c r="AT220" s="439"/>
      <c r="AU220" s="440"/>
      <c r="AV220" s="441"/>
      <c r="AW220" s="441"/>
      <c r="AX220" s="441"/>
      <c r="AY220" s="442"/>
    </row>
    <row r="221" spans="1:51" ht="15.75" customHeight="1" x14ac:dyDescent="0.2">
      <c r="A221" s="457"/>
      <c r="B221" s="443" t="str">
        <f t="shared" ref="B221:B222" si="94">B194</f>
        <v>Cash Balance</v>
      </c>
      <c r="C221" s="459"/>
      <c r="D221" s="464"/>
      <c r="E221" s="464"/>
      <c r="F221" s="464"/>
      <c r="G221" s="465"/>
      <c r="H221" s="464"/>
      <c r="I221" s="464"/>
      <c r="J221" s="464"/>
      <c r="K221" s="465"/>
      <c r="L221" s="464"/>
      <c r="M221" s="464"/>
      <c r="N221" s="464"/>
      <c r="O221" s="465"/>
      <c r="P221" s="464"/>
      <c r="Q221" s="464"/>
      <c r="R221" s="464"/>
      <c r="S221" s="465"/>
      <c r="T221" s="464"/>
      <c r="U221" s="464"/>
      <c r="V221" s="464"/>
      <c r="W221" s="465"/>
      <c r="X221" s="464"/>
      <c r="Y221" s="464"/>
      <c r="Z221" s="464"/>
      <c r="AA221" s="465"/>
      <c r="AB221" s="464"/>
      <c r="AC221" s="464"/>
      <c r="AD221" s="464"/>
      <c r="AE221" s="465"/>
      <c r="AF221" s="464"/>
      <c r="AG221" s="464"/>
      <c r="AH221" s="464"/>
      <c r="AI221" s="465"/>
      <c r="AJ221" s="464"/>
      <c r="AK221" s="464"/>
      <c r="AL221" s="464"/>
      <c r="AM221" s="465"/>
      <c r="AN221" s="464"/>
      <c r="AO221" s="464"/>
      <c r="AP221" s="464"/>
      <c r="AQ221" s="465"/>
      <c r="AR221" s="464"/>
      <c r="AS221" s="464"/>
      <c r="AT221" s="464"/>
      <c r="AU221" s="465"/>
      <c r="AV221" s="462"/>
      <c r="AW221" s="462"/>
      <c r="AX221" s="462"/>
      <c r="AY221" s="463"/>
    </row>
    <row r="222" spans="1:51" ht="15.75" customHeight="1" x14ac:dyDescent="0.2">
      <c r="B222" s="3" t="str">
        <f t="shared" si="94"/>
        <v>Beginning balance</v>
      </c>
      <c r="C222" s="73"/>
      <c r="D222" s="402">
        <f>D195</f>
        <v>100000000</v>
      </c>
      <c r="E222" s="264">
        <f t="shared" ref="E222:AU222" ca="1" si="95">D227</f>
        <v>96850000</v>
      </c>
      <c r="F222" s="264">
        <f t="shared" ca="1" si="95"/>
        <v>92450000</v>
      </c>
      <c r="G222" s="399">
        <f t="shared" ca="1" si="95"/>
        <v>89300000</v>
      </c>
      <c r="H222" s="264">
        <f t="shared" ca="1" si="95"/>
        <v>84900000</v>
      </c>
      <c r="I222" s="264">
        <f t="shared" ca="1" si="95"/>
        <v>81750000</v>
      </c>
      <c r="J222" s="264">
        <f t="shared" ca="1" si="95"/>
        <v>77125000</v>
      </c>
      <c r="K222" s="399">
        <f t="shared" ca="1" si="95"/>
        <v>69575000</v>
      </c>
      <c r="L222" s="264">
        <f t="shared" ca="1" si="95"/>
        <v>64325000</v>
      </c>
      <c r="M222" s="264">
        <f t="shared" ca="1" si="95"/>
        <v>56868437.5</v>
      </c>
      <c r="N222" s="264">
        <f t="shared" ca="1" si="95"/>
        <v>49429125</v>
      </c>
      <c r="O222" s="399">
        <f t="shared" ca="1" si="95"/>
        <v>44301312.5</v>
      </c>
      <c r="P222" s="264">
        <f t="shared" ca="1" si="95"/>
        <v>36142625</v>
      </c>
      <c r="Q222" s="264">
        <f t="shared" ca="1" si="95"/>
        <v>30488562.5</v>
      </c>
      <c r="R222" s="264">
        <f t="shared" ca="1" si="95"/>
        <v>23185250</v>
      </c>
      <c r="S222" s="399">
        <f t="shared" ca="1" si="95"/>
        <v>19225812.5</v>
      </c>
      <c r="T222" s="264">
        <f t="shared" ca="1" si="95"/>
        <v>15655000</v>
      </c>
      <c r="U222" s="264">
        <f t="shared" ca="1" si="95"/>
        <v>12839687.5</v>
      </c>
      <c r="V222" s="264">
        <f t="shared" ca="1" si="95"/>
        <v>11971875</v>
      </c>
      <c r="W222" s="399">
        <f t="shared" ca="1" si="95"/>
        <v>9627343.75</v>
      </c>
      <c r="X222" s="264">
        <f t="shared" ca="1" si="95"/>
        <v>10236718.75</v>
      </c>
      <c r="Y222" s="264">
        <f t="shared" ca="1" si="95"/>
        <v>12361718.75</v>
      </c>
      <c r="Z222" s="264">
        <f t="shared" ca="1" si="95"/>
        <v>14611718.75</v>
      </c>
      <c r="AA222" s="399">
        <f t="shared" ca="1" si="95"/>
        <v>17699218.75</v>
      </c>
      <c r="AB222" s="264">
        <f t="shared" ca="1" si="95"/>
        <v>20161718.75</v>
      </c>
      <c r="AC222" s="264">
        <f t="shared" ca="1" si="95"/>
        <v>24786718.75</v>
      </c>
      <c r="AD222" s="264">
        <f t="shared" ca="1" si="95"/>
        <v>30221093.75</v>
      </c>
      <c r="AE222" s="399">
        <f t="shared" ca="1" si="95"/>
        <v>36417968.75</v>
      </c>
      <c r="AF222" s="264">
        <f t="shared" ca="1" si="95"/>
        <v>42627343.75</v>
      </c>
      <c r="AG222" s="264">
        <f t="shared" ca="1" si="95"/>
        <v>51517968.75</v>
      </c>
      <c r="AH222" s="264">
        <f t="shared" ca="1" si="95"/>
        <v>60421093.75</v>
      </c>
      <c r="AI222" s="399">
        <f t="shared" ca="1" si="95"/>
        <v>69336718.75</v>
      </c>
      <c r="AJ222" s="264">
        <f t="shared" ca="1" si="95"/>
        <v>78264843.75</v>
      </c>
      <c r="AK222" s="264">
        <f t="shared" ca="1" si="95"/>
        <v>104552343.75</v>
      </c>
      <c r="AL222" s="264">
        <f t="shared" ca="1" si="95"/>
        <v>130839843.75</v>
      </c>
      <c r="AM222" s="399">
        <f t="shared" ca="1" si="95"/>
        <v>157127343.75</v>
      </c>
      <c r="AN222" s="264">
        <f t="shared" ca="1" si="95"/>
        <v>183414843.75</v>
      </c>
      <c r="AO222" s="264">
        <f t="shared" ca="1" si="95"/>
        <v>223046093.75</v>
      </c>
      <c r="AP222" s="264">
        <f t="shared" ca="1" si="95"/>
        <v>262677343.75</v>
      </c>
      <c r="AQ222" s="399">
        <f t="shared" ca="1" si="95"/>
        <v>302308593.75</v>
      </c>
      <c r="AR222" s="264">
        <f t="shared" ca="1" si="95"/>
        <v>341939843.75</v>
      </c>
      <c r="AS222" s="264">
        <f t="shared" ca="1" si="95"/>
        <v>368227343.75</v>
      </c>
      <c r="AT222" s="264">
        <f t="shared" ca="1" si="95"/>
        <v>394514843.75</v>
      </c>
      <c r="AU222" s="399">
        <f t="shared" ca="1" si="95"/>
        <v>420802343.75</v>
      </c>
      <c r="AV222" s="400"/>
      <c r="AW222" s="400"/>
      <c r="AX222" s="400"/>
      <c r="AY222" s="401"/>
    </row>
    <row r="223" spans="1:51" ht="15.75" customHeight="1" x14ac:dyDescent="0.2">
      <c r="B223" s="287"/>
      <c r="C223" s="73" t="str">
        <f t="shared" ref="C223:AU223" si="96">C196</f>
        <v>Investment outflows</v>
      </c>
      <c r="D223" s="264">
        <f t="shared" ca="1" si="96"/>
        <v>-2500000</v>
      </c>
      <c r="E223" s="264">
        <f t="shared" ca="1" si="96"/>
        <v>-3750000</v>
      </c>
      <c r="F223" s="264">
        <f t="shared" ca="1" si="96"/>
        <v>-2500000</v>
      </c>
      <c r="G223" s="399">
        <f t="shared" ca="1" si="96"/>
        <v>-3750000</v>
      </c>
      <c r="H223" s="264">
        <f t="shared" ca="1" si="96"/>
        <v>-2500000</v>
      </c>
      <c r="I223" s="264">
        <f t="shared" ca="1" si="96"/>
        <v>-3975000</v>
      </c>
      <c r="J223" s="264">
        <f t="shared" ca="1" si="96"/>
        <v>-6900000</v>
      </c>
      <c r="K223" s="399">
        <f t="shared" ca="1" si="96"/>
        <v>-4600000</v>
      </c>
      <c r="L223" s="264">
        <f t="shared" ca="1" si="96"/>
        <v>-6900000</v>
      </c>
      <c r="M223" s="264">
        <f t="shared" ca="1" si="96"/>
        <v>-6900000</v>
      </c>
      <c r="N223" s="264">
        <f t="shared" ca="1" si="96"/>
        <v>-4600000</v>
      </c>
      <c r="O223" s="399">
        <f t="shared" ca="1" si="96"/>
        <v>-7650000</v>
      </c>
      <c r="P223" s="264">
        <f t="shared" ca="1" si="96"/>
        <v>-6100000</v>
      </c>
      <c r="Q223" s="264">
        <f t="shared" ca="1" si="96"/>
        <v>-7900000</v>
      </c>
      <c r="R223" s="264">
        <f t="shared" ca="1" si="96"/>
        <v>-4650000</v>
      </c>
      <c r="S223" s="399">
        <f t="shared" ca="1" si="96"/>
        <v>-4350000</v>
      </c>
      <c r="T223" s="264">
        <f t="shared" ca="1" si="96"/>
        <v>-5400000</v>
      </c>
      <c r="U223" s="264">
        <f t="shared" ca="1" si="96"/>
        <v>-3600000</v>
      </c>
      <c r="V223" s="264">
        <f t="shared" ca="1" si="96"/>
        <v>-5287500</v>
      </c>
      <c r="W223" s="399">
        <f t="shared" ca="1" si="96"/>
        <v>-2437500</v>
      </c>
      <c r="X223" s="264">
        <f t="shared" ca="1" si="96"/>
        <v>-2250000</v>
      </c>
      <c r="Y223" s="264">
        <f t="shared" ca="1" si="96"/>
        <v>-2250000</v>
      </c>
      <c r="Z223" s="264">
        <f t="shared" ca="1" si="96"/>
        <v>-1500000</v>
      </c>
      <c r="AA223" s="399">
        <f t="shared" ca="1" si="96"/>
        <v>-2250000</v>
      </c>
      <c r="AB223" s="264">
        <f t="shared" ca="1" si="96"/>
        <v>-1500000</v>
      </c>
      <c r="AC223" s="264">
        <f t="shared" ca="1" si="96"/>
        <v>-750000</v>
      </c>
      <c r="AD223" s="264">
        <f t="shared" ca="1" si="96"/>
        <v>0</v>
      </c>
      <c r="AE223" s="399">
        <f t="shared" ca="1" si="96"/>
        <v>0</v>
      </c>
      <c r="AF223" s="264">
        <f t="shared" ca="1" si="96"/>
        <v>0</v>
      </c>
      <c r="AG223" s="264">
        <f t="shared" ca="1" si="96"/>
        <v>0</v>
      </c>
      <c r="AH223" s="264">
        <f t="shared" ca="1" si="96"/>
        <v>0</v>
      </c>
      <c r="AI223" s="399">
        <f t="shared" ca="1" si="96"/>
        <v>0</v>
      </c>
      <c r="AJ223" s="264">
        <f t="shared" ca="1" si="96"/>
        <v>0</v>
      </c>
      <c r="AK223" s="264">
        <f t="shared" ca="1" si="96"/>
        <v>0</v>
      </c>
      <c r="AL223" s="264">
        <f t="shared" ca="1" si="96"/>
        <v>0</v>
      </c>
      <c r="AM223" s="399">
        <f t="shared" ca="1" si="96"/>
        <v>0</v>
      </c>
      <c r="AN223" s="264">
        <f t="shared" ca="1" si="96"/>
        <v>0</v>
      </c>
      <c r="AO223" s="264">
        <f t="shared" ca="1" si="96"/>
        <v>0</v>
      </c>
      <c r="AP223" s="264">
        <f t="shared" ca="1" si="96"/>
        <v>0</v>
      </c>
      <c r="AQ223" s="399">
        <f t="shared" ca="1" si="96"/>
        <v>0</v>
      </c>
      <c r="AR223" s="264">
        <f t="shared" ca="1" si="96"/>
        <v>0</v>
      </c>
      <c r="AS223" s="264">
        <f t="shared" ca="1" si="96"/>
        <v>0</v>
      </c>
      <c r="AT223" s="264">
        <f t="shared" ca="1" si="96"/>
        <v>0</v>
      </c>
      <c r="AU223" s="399">
        <f t="shared" ca="1" si="96"/>
        <v>0</v>
      </c>
      <c r="AV223" s="400"/>
      <c r="AW223" s="400"/>
      <c r="AX223" s="400"/>
      <c r="AY223" s="401"/>
    </row>
    <row r="224" spans="1:51" ht="15.75" customHeight="1" x14ac:dyDescent="0.2">
      <c r="B224" s="287"/>
      <c r="C224" s="73" t="str">
        <f t="shared" ref="C224:AU224" si="97">C197</f>
        <v>Net fees</v>
      </c>
      <c r="D224" s="264">
        <f t="shared" si="97"/>
        <v>-650000</v>
      </c>
      <c r="E224" s="264">
        <f t="shared" ca="1" si="97"/>
        <v>-650000</v>
      </c>
      <c r="F224" s="264">
        <f t="shared" ca="1" si="97"/>
        <v>-650000</v>
      </c>
      <c r="G224" s="399">
        <f t="shared" ca="1" si="97"/>
        <v>-650000</v>
      </c>
      <c r="H224" s="264">
        <f t="shared" ca="1" si="97"/>
        <v>-650000</v>
      </c>
      <c r="I224" s="264">
        <f t="shared" ca="1" si="97"/>
        <v>-650000</v>
      </c>
      <c r="J224" s="264">
        <f t="shared" ca="1" si="97"/>
        <v>-650000</v>
      </c>
      <c r="K224" s="399">
        <f t="shared" ca="1" si="97"/>
        <v>-650000</v>
      </c>
      <c r="L224" s="264">
        <f t="shared" ca="1" si="97"/>
        <v>-650000</v>
      </c>
      <c r="M224" s="264">
        <f t="shared" ca="1" si="97"/>
        <v>-650000</v>
      </c>
      <c r="N224" s="264">
        <f t="shared" ca="1" si="97"/>
        <v>-650000</v>
      </c>
      <c r="O224" s="399">
        <f t="shared" ca="1" si="97"/>
        <v>-650000</v>
      </c>
      <c r="P224" s="264">
        <f t="shared" ca="1" si="97"/>
        <v>-650000</v>
      </c>
      <c r="Q224" s="264">
        <f t="shared" ca="1" si="97"/>
        <v>-637500</v>
      </c>
      <c r="R224" s="264">
        <f t="shared" ca="1" si="97"/>
        <v>-625000</v>
      </c>
      <c r="S224" s="399">
        <f t="shared" ca="1" si="97"/>
        <v>-612500</v>
      </c>
      <c r="T224" s="264">
        <f t="shared" ca="1" si="97"/>
        <v>-600000</v>
      </c>
      <c r="U224" s="264">
        <f t="shared" ca="1" si="97"/>
        <v>-587500</v>
      </c>
      <c r="V224" s="264">
        <f t="shared" ca="1" si="97"/>
        <v>-575000</v>
      </c>
      <c r="W224" s="399">
        <f t="shared" ca="1" si="97"/>
        <v>-562500</v>
      </c>
      <c r="X224" s="264">
        <f t="shared" ca="1" si="97"/>
        <v>-550000</v>
      </c>
      <c r="Y224" s="264">
        <f t="shared" ca="1" si="97"/>
        <v>-537500</v>
      </c>
      <c r="Z224" s="264">
        <f t="shared" ca="1" si="97"/>
        <v>-525000</v>
      </c>
      <c r="AA224" s="399">
        <f t="shared" ca="1" si="97"/>
        <v>-512499.99999999988</v>
      </c>
      <c r="AB224" s="264">
        <f t="shared" ca="1" si="97"/>
        <v>-499999.99999999988</v>
      </c>
      <c r="AC224" s="264">
        <f t="shared" ca="1" si="97"/>
        <v>-487499.99999999988</v>
      </c>
      <c r="AD224" s="264">
        <f t="shared" ca="1" si="97"/>
        <v>-474999.99999999988</v>
      </c>
      <c r="AE224" s="399">
        <f t="shared" ca="1" si="97"/>
        <v>-462499.99999999988</v>
      </c>
      <c r="AF224" s="264">
        <f t="shared" ca="1" si="97"/>
        <v>-449999.99999999988</v>
      </c>
      <c r="AG224" s="264">
        <f t="shared" ca="1" si="97"/>
        <v>-437499.99999999983</v>
      </c>
      <c r="AH224" s="264">
        <f t="shared" ca="1" si="97"/>
        <v>-424999.99999999983</v>
      </c>
      <c r="AI224" s="399">
        <f t="shared" ca="1" si="97"/>
        <v>-412499.99999999983</v>
      </c>
      <c r="AJ224" s="264">
        <f t="shared" ca="1" si="97"/>
        <v>-400000</v>
      </c>
      <c r="AK224" s="264">
        <f t="shared" ca="1" si="97"/>
        <v>-400000</v>
      </c>
      <c r="AL224" s="264">
        <f t="shared" ca="1" si="97"/>
        <v>-400000</v>
      </c>
      <c r="AM224" s="399">
        <f t="shared" ca="1" si="97"/>
        <v>-400000</v>
      </c>
      <c r="AN224" s="264">
        <f t="shared" ca="1" si="97"/>
        <v>-400000</v>
      </c>
      <c r="AO224" s="264">
        <f t="shared" ca="1" si="97"/>
        <v>-400000</v>
      </c>
      <c r="AP224" s="264">
        <f t="shared" ca="1" si="97"/>
        <v>-400000</v>
      </c>
      <c r="AQ224" s="399">
        <f t="shared" ca="1" si="97"/>
        <v>-400000</v>
      </c>
      <c r="AR224" s="264">
        <f t="shared" ca="1" si="97"/>
        <v>-400000</v>
      </c>
      <c r="AS224" s="264">
        <f t="shared" ca="1" si="97"/>
        <v>-400000</v>
      </c>
      <c r="AT224" s="264">
        <f t="shared" ca="1" si="97"/>
        <v>-400000</v>
      </c>
      <c r="AU224" s="399">
        <f t="shared" ca="1" si="97"/>
        <v>-400000</v>
      </c>
      <c r="AV224" s="400"/>
      <c r="AW224" s="400"/>
      <c r="AX224" s="400"/>
      <c r="AY224" s="401"/>
    </row>
    <row r="225" spans="1:51" ht="15.75" customHeight="1" x14ac:dyDescent="0.2">
      <c r="B225" s="287"/>
      <c r="C225" s="73" t="str">
        <f t="shared" ref="C225:C226" si="98">C198</f>
        <v>Distributions</v>
      </c>
      <c r="D225" s="264">
        <f t="shared" ref="D225:AU225" ca="1" si="99">IF(D$4&lt;=$C$4,-D$131,(D219-D216))</f>
        <v>0</v>
      </c>
      <c r="E225" s="264">
        <f t="shared" ca="1" si="99"/>
        <v>0</v>
      </c>
      <c r="F225" s="264">
        <f t="shared" ca="1" si="99"/>
        <v>0</v>
      </c>
      <c r="G225" s="399">
        <f t="shared" ca="1" si="99"/>
        <v>0</v>
      </c>
      <c r="H225" s="264">
        <f t="shared" ca="1" si="99"/>
        <v>0</v>
      </c>
      <c r="I225" s="264">
        <f t="shared" ca="1" si="99"/>
        <v>0</v>
      </c>
      <c r="J225" s="264">
        <f t="shared" ca="1" si="99"/>
        <v>0</v>
      </c>
      <c r="K225" s="399">
        <f t="shared" ca="1" si="99"/>
        <v>0</v>
      </c>
      <c r="L225" s="264">
        <f t="shared" ca="1" si="99"/>
        <v>0</v>
      </c>
      <c r="M225" s="264">
        <f t="shared" ca="1" si="99"/>
        <v>0</v>
      </c>
      <c r="N225" s="264">
        <f t="shared" ca="1" si="99"/>
        <v>0</v>
      </c>
      <c r="O225" s="399">
        <f t="shared" ca="1" si="99"/>
        <v>0</v>
      </c>
      <c r="P225" s="264">
        <f t="shared" ca="1" si="99"/>
        <v>0</v>
      </c>
      <c r="Q225" s="264">
        <f t="shared" ca="1" si="99"/>
        <v>0</v>
      </c>
      <c r="R225" s="264">
        <f t="shared" ca="1" si="99"/>
        <v>0</v>
      </c>
      <c r="S225" s="399">
        <f t="shared" ca="1" si="99"/>
        <v>0</v>
      </c>
      <c r="T225" s="264">
        <f t="shared" ca="1" si="99"/>
        <v>0</v>
      </c>
      <c r="U225" s="264">
        <f t="shared" ca="1" si="99"/>
        <v>0</v>
      </c>
      <c r="V225" s="264">
        <f t="shared" ca="1" si="99"/>
        <v>0</v>
      </c>
      <c r="W225" s="399">
        <f t="shared" ca="1" si="99"/>
        <v>0</v>
      </c>
      <c r="X225" s="264">
        <f t="shared" ca="1" si="99"/>
        <v>0</v>
      </c>
      <c r="Y225" s="264">
        <f t="shared" ca="1" si="99"/>
        <v>0</v>
      </c>
      <c r="Z225" s="264">
        <f t="shared" ca="1" si="99"/>
        <v>0</v>
      </c>
      <c r="AA225" s="399">
        <f t="shared" ca="1" si="99"/>
        <v>0</v>
      </c>
      <c r="AB225" s="264">
        <f t="shared" ca="1" si="99"/>
        <v>0</v>
      </c>
      <c r="AC225" s="264">
        <f t="shared" ca="1" si="99"/>
        <v>0</v>
      </c>
      <c r="AD225" s="264">
        <f t="shared" ca="1" si="99"/>
        <v>0</v>
      </c>
      <c r="AE225" s="399">
        <f t="shared" ca="1" si="99"/>
        <v>0</v>
      </c>
      <c r="AF225" s="264">
        <f t="shared" ca="1" si="99"/>
        <v>0</v>
      </c>
      <c r="AG225" s="264">
        <f t="shared" ca="1" si="99"/>
        <v>0</v>
      </c>
      <c r="AH225" s="264">
        <f t="shared" ca="1" si="99"/>
        <v>0</v>
      </c>
      <c r="AI225" s="399">
        <f t="shared" ca="1" si="99"/>
        <v>0</v>
      </c>
      <c r="AJ225" s="264">
        <f t="shared" ca="1" si="99"/>
        <v>0</v>
      </c>
      <c r="AK225" s="264">
        <f t="shared" ca="1" si="99"/>
        <v>0</v>
      </c>
      <c r="AL225" s="264">
        <f t="shared" ca="1" si="99"/>
        <v>0</v>
      </c>
      <c r="AM225" s="399">
        <f t="shared" ca="1" si="99"/>
        <v>0</v>
      </c>
      <c r="AN225" s="264">
        <f t="shared" ca="1" si="99"/>
        <v>0</v>
      </c>
      <c r="AO225" s="264">
        <f t="shared" ca="1" si="99"/>
        <v>0</v>
      </c>
      <c r="AP225" s="264">
        <f t="shared" ca="1" si="99"/>
        <v>0</v>
      </c>
      <c r="AQ225" s="399">
        <f t="shared" ca="1" si="99"/>
        <v>0</v>
      </c>
      <c r="AR225" s="264">
        <f t="shared" ca="1" si="99"/>
        <v>0</v>
      </c>
      <c r="AS225" s="264">
        <f t="shared" ca="1" si="99"/>
        <v>0</v>
      </c>
      <c r="AT225" s="264">
        <f t="shared" ca="1" si="99"/>
        <v>0</v>
      </c>
      <c r="AU225" s="399">
        <f t="shared" ca="1" si="99"/>
        <v>0</v>
      </c>
      <c r="AV225" s="400"/>
      <c r="AW225" s="400"/>
      <c r="AX225" s="400"/>
      <c r="AY225" s="401"/>
    </row>
    <row r="226" spans="1:51" ht="15.75" customHeight="1" x14ac:dyDescent="0.2">
      <c r="B226" s="287"/>
      <c r="C226" s="403" t="str">
        <f t="shared" si="98"/>
        <v>Returns</v>
      </c>
      <c r="D226" s="264">
        <f t="shared" ref="D226:AU226" ca="1" si="100">IF(D$4&lt;=$C$4,D$137,D216)</f>
        <v>0</v>
      </c>
      <c r="E226" s="264">
        <f t="shared" ca="1" si="100"/>
        <v>0</v>
      </c>
      <c r="F226" s="264">
        <f t="shared" ca="1" si="100"/>
        <v>0</v>
      </c>
      <c r="G226" s="399">
        <f t="shared" ca="1" si="100"/>
        <v>0</v>
      </c>
      <c r="H226" s="264">
        <f t="shared" ca="1" si="100"/>
        <v>0</v>
      </c>
      <c r="I226" s="264">
        <f t="shared" ca="1" si="100"/>
        <v>0</v>
      </c>
      <c r="J226" s="264">
        <f t="shared" ca="1" si="100"/>
        <v>0</v>
      </c>
      <c r="K226" s="399">
        <f t="shared" ca="1" si="100"/>
        <v>0</v>
      </c>
      <c r="L226" s="264">
        <f t="shared" ca="1" si="100"/>
        <v>93437.5</v>
      </c>
      <c r="M226" s="264">
        <f t="shared" ca="1" si="100"/>
        <v>110687.5</v>
      </c>
      <c r="N226" s="264">
        <f t="shared" ca="1" si="100"/>
        <v>122187.5</v>
      </c>
      <c r="O226" s="399">
        <f t="shared" ca="1" si="100"/>
        <v>141312.5</v>
      </c>
      <c r="P226" s="264">
        <f t="shared" ca="1" si="100"/>
        <v>1095937.5</v>
      </c>
      <c r="Q226" s="264">
        <f t="shared" ca="1" si="100"/>
        <v>1234187.5000000002</v>
      </c>
      <c r="R226" s="264">
        <f t="shared" ca="1" si="100"/>
        <v>1315562.5000000002</v>
      </c>
      <c r="S226" s="399">
        <f t="shared" ca="1" si="100"/>
        <v>1391687.5000000002</v>
      </c>
      <c r="T226" s="264">
        <f t="shared" ca="1" si="100"/>
        <v>3184687.5</v>
      </c>
      <c r="U226" s="264">
        <f t="shared" ca="1" si="100"/>
        <v>3319687.5</v>
      </c>
      <c r="V226" s="264">
        <f t="shared" ca="1" si="100"/>
        <v>3517968.75</v>
      </c>
      <c r="W226" s="399">
        <f t="shared" ca="1" si="100"/>
        <v>3609375</v>
      </c>
      <c r="X226" s="264">
        <f t="shared" ca="1" si="100"/>
        <v>4925000</v>
      </c>
      <c r="Y226" s="264">
        <f t="shared" ca="1" si="100"/>
        <v>5037500</v>
      </c>
      <c r="Z226" s="264">
        <f t="shared" ca="1" si="100"/>
        <v>5112500</v>
      </c>
      <c r="AA226" s="399">
        <f t="shared" ca="1" si="100"/>
        <v>5225000</v>
      </c>
      <c r="AB226" s="264">
        <f t="shared" ca="1" si="100"/>
        <v>6625000</v>
      </c>
      <c r="AC226" s="264">
        <f t="shared" ca="1" si="100"/>
        <v>6671875</v>
      </c>
      <c r="AD226" s="264">
        <f t="shared" ca="1" si="100"/>
        <v>6671875</v>
      </c>
      <c r="AE226" s="399">
        <f t="shared" ca="1" si="100"/>
        <v>6671875</v>
      </c>
      <c r="AF226" s="264">
        <f t="shared" ca="1" si="100"/>
        <v>9340625</v>
      </c>
      <c r="AG226" s="264">
        <f t="shared" ca="1" si="100"/>
        <v>9340625</v>
      </c>
      <c r="AH226" s="264">
        <f t="shared" ca="1" si="100"/>
        <v>9340625</v>
      </c>
      <c r="AI226" s="399">
        <f t="shared" ca="1" si="100"/>
        <v>9340625</v>
      </c>
      <c r="AJ226" s="264">
        <f t="shared" ca="1" si="100"/>
        <v>26687500</v>
      </c>
      <c r="AK226" s="264">
        <f t="shared" ca="1" si="100"/>
        <v>26687500</v>
      </c>
      <c r="AL226" s="264">
        <f t="shared" ca="1" si="100"/>
        <v>26687500</v>
      </c>
      <c r="AM226" s="399">
        <f t="shared" ca="1" si="100"/>
        <v>26687500</v>
      </c>
      <c r="AN226" s="264">
        <f t="shared" ca="1" si="100"/>
        <v>40031250</v>
      </c>
      <c r="AO226" s="264">
        <f t="shared" ca="1" si="100"/>
        <v>40031250</v>
      </c>
      <c r="AP226" s="264">
        <f t="shared" ca="1" si="100"/>
        <v>40031250</v>
      </c>
      <c r="AQ226" s="399">
        <f t="shared" ca="1" si="100"/>
        <v>40031250</v>
      </c>
      <c r="AR226" s="264">
        <f t="shared" ca="1" si="100"/>
        <v>26687500</v>
      </c>
      <c r="AS226" s="264">
        <f t="shared" ca="1" si="100"/>
        <v>26687500</v>
      </c>
      <c r="AT226" s="264">
        <f t="shared" ca="1" si="100"/>
        <v>26687500</v>
      </c>
      <c r="AU226" s="399">
        <f t="shared" ca="1" si="100"/>
        <v>26687500</v>
      </c>
      <c r="AV226" s="400"/>
      <c r="AW226" s="400"/>
      <c r="AX226" s="400"/>
      <c r="AY226" s="401"/>
    </row>
    <row r="227" spans="1:51" ht="15.75" customHeight="1" x14ac:dyDescent="0.2">
      <c r="A227" s="3"/>
      <c r="B227" s="262" t="s">
        <v>178</v>
      </c>
      <c r="C227" s="275"/>
      <c r="D227" s="412">
        <f t="shared" ref="D227:AU227" ca="1" si="101">D222+D223+D225+D224+D226</f>
        <v>96850000</v>
      </c>
      <c r="E227" s="412">
        <f t="shared" ca="1" si="101"/>
        <v>92450000</v>
      </c>
      <c r="F227" s="412">
        <f t="shared" ca="1" si="101"/>
        <v>89300000</v>
      </c>
      <c r="G227" s="413">
        <f t="shared" ca="1" si="101"/>
        <v>84900000</v>
      </c>
      <c r="H227" s="412">
        <f t="shared" ca="1" si="101"/>
        <v>81750000</v>
      </c>
      <c r="I227" s="412">
        <f t="shared" ca="1" si="101"/>
        <v>77125000</v>
      </c>
      <c r="J227" s="412">
        <f t="shared" ca="1" si="101"/>
        <v>69575000</v>
      </c>
      <c r="K227" s="413">
        <f t="shared" ca="1" si="101"/>
        <v>64325000</v>
      </c>
      <c r="L227" s="412">
        <f t="shared" ca="1" si="101"/>
        <v>56868437.5</v>
      </c>
      <c r="M227" s="412">
        <f t="shared" ca="1" si="101"/>
        <v>49429125</v>
      </c>
      <c r="N227" s="412">
        <f t="shared" ca="1" si="101"/>
        <v>44301312.5</v>
      </c>
      <c r="O227" s="413">
        <f t="shared" ca="1" si="101"/>
        <v>36142625</v>
      </c>
      <c r="P227" s="412">
        <f t="shared" ca="1" si="101"/>
        <v>30488562.5</v>
      </c>
      <c r="Q227" s="412">
        <f t="shared" ca="1" si="101"/>
        <v>23185250</v>
      </c>
      <c r="R227" s="412">
        <f t="shared" ca="1" si="101"/>
        <v>19225812.5</v>
      </c>
      <c r="S227" s="413">
        <f t="shared" ca="1" si="101"/>
        <v>15655000</v>
      </c>
      <c r="T227" s="412">
        <f t="shared" ca="1" si="101"/>
        <v>12839687.5</v>
      </c>
      <c r="U227" s="412">
        <f t="shared" ca="1" si="101"/>
        <v>11971875</v>
      </c>
      <c r="V227" s="412">
        <f t="shared" ca="1" si="101"/>
        <v>9627343.75</v>
      </c>
      <c r="W227" s="413">
        <f t="shared" ca="1" si="101"/>
        <v>10236718.75</v>
      </c>
      <c r="X227" s="412">
        <f t="shared" ca="1" si="101"/>
        <v>12361718.75</v>
      </c>
      <c r="Y227" s="412">
        <f t="shared" ca="1" si="101"/>
        <v>14611718.75</v>
      </c>
      <c r="Z227" s="412">
        <f t="shared" ca="1" si="101"/>
        <v>17699218.75</v>
      </c>
      <c r="AA227" s="413">
        <f t="shared" ca="1" si="101"/>
        <v>20161718.75</v>
      </c>
      <c r="AB227" s="412">
        <f t="shared" ca="1" si="101"/>
        <v>24786718.75</v>
      </c>
      <c r="AC227" s="412">
        <f t="shared" ca="1" si="101"/>
        <v>30221093.75</v>
      </c>
      <c r="AD227" s="412">
        <f t="shared" ca="1" si="101"/>
        <v>36417968.75</v>
      </c>
      <c r="AE227" s="413">
        <f t="shared" ca="1" si="101"/>
        <v>42627343.75</v>
      </c>
      <c r="AF227" s="412">
        <f t="shared" ca="1" si="101"/>
        <v>51517968.75</v>
      </c>
      <c r="AG227" s="412">
        <f t="shared" ca="1" si="101"/>
        <v>60421093.75</v>
      </c>
      <c r="AH227" s="412">
        <f t="shared" ca="1" si="101"/>
        <v>69336718.75</v>
      </c>
      <c r="AI227" s="413">
        <f t="shared" ca="1" si="101"/>
        <v>78264843.75</v>
      </c>
      <c r="AJ227" s="412">
        <f t="shared" ca="1" si="101"/>
        <v>104552343.75</v>
      </c>
      <c r="AK227" s="412">
        <f t="shared" ca="1" si="101"/>
        <v>130839843.75</v>
      </c>
      <c r="AL227" s="412">
        <f t="shared" ca="1" si="101"/>
        <v>157127343.75</v>
      </c>
      <c r="AM227" s="413">
        <f t="shared" ca="1" si="101"/>
        <v>183414843.75</v>
      </c>
      <c r="AN227" s="412">
        <f t="shared" ca="1" si="101"/>
        <v>223046093.75</v>
      </c>
      <c r="AO227" s="412">
        <f t="shared" ca="1" si="101"/>
        <v>262677343.75</v>
      </c>
      <c r="AP227" s="412">
        <f t="shared" ca="1" si="101"/>
        <v>302308593.75</v>
      </c>
      <c r="AQ227" s="413">
        <f t="shared" ca="1" si="101"/>
        <v>341939843.75</v>
      </c>
      <c r="AR227" s="412">
        <f t="shared" ca="1" si="101"/>
        <v>368227343.75</v>
      </c>
      <c r="AS227" s="412">
        <f t="shared" ca="1" si="101"/>
        <v>394514843.75</v>
      </c>
      <c r="AT227" s="412">
        <f t="shared" ca="1" si="101"/>
        <v>420802343.75</v>
      </c>
      <c r="AU227" s="413">
        <f t="shared" ca="1" si="101"/>
        <v>447089843.75</v>
      </c>
      <c r="AV227" s="468"/>
      <c r="AW227" s="468"/>
      <c r="AX227" s="468"/>
      <c r="AY227" s="469"/>
    </row>
    <row r="228" spans="1:51" ht="15.75" customHeight="1" x14ac:dyDescent="0.2">
      <c r="A228" s="470"/>
      <c r="B228" s="471" t="s">
        <v>168</v>
      </c>
      <c r="C228" s="472"/>
      <c r="D228" s="473">
        <f t="shared" ref="D228:AU228" ca="1" si="102">D227/$C$5</f>
        <v>0.96850000000000003</v>
      </c>
      <c r="E228" s="473">
        <f t="shared" ca="1" si="102"/>
        <v>0.92449999999999999</v>
      </c>
      <c r="F228" s="473">
        <f t="shared" ca="1" si="102"/>
        <v>0.89300000000000002</v>
      </c>
      <c r="G228" s="391">
        <f t="shared" ca="1" si="102"/>
        <v>0.84899999999999998</v>
      </c>
      <c r="H228" s="473">
        <f t="shared" ca="1" si="102"/>
        <v>0.8175</v>
      </c>
      <c r="I228" s="473">
        <f t="shared" ca="1" si="102"/>
        <v>0.77124999999999999</v>
      </c>
      <c r="J228" s="473">
        <f t="shared" ca="1" si="102"/>
        <v>0.69574999999999998</v>
      </c>
      <c r="K228" s="391">
        <f t="shared" ca="1" si="102"/>
        <v>0.64324999999999999</v>
      </c>
      <c r="L228" s="473">
        <f t="shared" ca="1" si="102"/>
        <v>0.56868437500000002</v>
      </c>
      <c r="M228" s="473">
        <f t="shared" ca="1" si="102"/>
        <v>0.49429125000000002</v>
      </c>
      <c r="N228" s="473">
        <f t="shared" ca="1" si="102"/>
        <v>0.44301312500000001</v>
      </c>
      <c r="O228" s="391">
        <f t="shared" ca="1" si="102"/>
        <v>0.36142625</v>
      </c>
      <c r="P228" s="473">
        <f t="shared" ca="1" si="102"/>
        <v>0.30488562499999999</v>
      </c>
      <c r="Q228" s="473">
        <f t="shared" ca="1" si="102"/>
        <v>0.23185249999999999</v>
      </c>
      <c r="R228" s="473">
        <f t="shared" ca="1" si="102"/>
        <v>0.192258125</v>
      </c>
      <c r="S228" s="391">
        <f t="shared" ca="1" si="102"/>
        <v>0.15654999999999999</v>
      </c>
      <c r="T228" s="473">
        <f t="shared" ca="1" si="102"/>
        <v>0.12839687499999999</v>
      </c>
      <c r="U228" s="473">
        <f t="shared" ca="1" si="102"/>
        <v>0.11971875</v>
      </c>
      <c r="V228" s="473">
        <f t="shared" ca="1" si="102"/>
        <v>9.6273437500000003E-2</v>
      </c>
      <c r="W228" s="391">
        <f t="shared" ca="1" si="102"/>
        <v>0.1023671875</v>
      </c>
      <c r="X228" s="473">
        <f t="shared" ca="1" si="102"/>
        <v>0.1236171875</v>
      </c>
      <c r="Y228" s="473">
        <f t="shared" ca="1" si="102"/>
        <v>0.1461171875</v>
      </c>
      <c r="Z228" s="473">
        <f t="shared" ca="1" si="102"/>
        <v>0.17699218750000001</v>
      </c>
      <c r="AA228" s="391">
        <f t="shared" ca="1" si="102"/>
        <v>0.20161718749999999</v>
      </c>
      <c r="AB228" s="473">
        <f t="shared" ca="1" si="102"/>
        <v>0.2478671875</v>
      </c>
      <c r="AC228" s="473">
        <f t="shared" ca="1" si="102"/>
        <v>0.3022109375</v>
      </c>
      <c r="AD228" s="473">
        <f t="shared" ca="1" si="102"/>
        <v>0.36417968750000002</v>
      </c>
      <c r="AE228" s="391">
        <f t="shared" ca="1" si="102"/>
        <v>0.42627343750000002</v>
      </c>
      <c r="AF228" s="473">
        <f t="shared" ca="1" si="102"/>
        <v>0.51517968749999998</v>
      </c>
      <c r="AG228" s="473">
        <f t="shared" ca="1" si="102"/>
        <v>0.60421093749999999</v>
      </c>
      <c r="AH228" s="473">
        <f t="shared" ca="1" si="102"/>
        <v>0.69336718750000004</v>
      </c>
      <c r="AI228" s="391">
        <f t="shared" ca="1" si="102"/>
        <v>0.78264843750000002</v>
      </c>
      <c r="AJ228" s="473">
        <f t="shared" ca="1" si="102"/>
        <v>1.0455234375</v>
      </c>
      <c r="AK228" s="473">
        <f t="shared" ca="1" si="102"/>
        <v>1.3083984375</v>
      </c>
      <c r="AL228" s="473">
        <f t="shared" ca="1" si="102"/>
        <v>1.5712734374999999</v>
      </c>
      <c r="AM228" s="391">
        <f t="shared" ca="1" si="102"/>
        <v>1.8341484374999999</v>
      </c>
      <c r="AN228" s="473">
        <f t="shared" ca="1" si="102"/>
        <v>2.2304609375000002</v>
      </c>
      <c r="AO228" s="473">
        <f t="shared" ca="1" si="102"/>
        <v>2.6267734374999998</v>
      </c>
      <c r="AP228" s="473">
        <f t="shared" ca="1" si="102"/>
        <v>3.0230859374999999</v>
      </c>
      <c r="AQ228" s="391">
        <f t="shared" ca="1" si="102"/>
        <v>3.4193984374999999</v>
      </c>
      <c r="AR228" s="473">
        <f t="shared" ca="1" si="102"/>
        <v>3.6822734375000001</v>
      </c>
      <c r="AS228" s="473">
        <f t="shared" ca="1" si="102"/>
        <v>3.9451484374999999</v>
      </c>
      <c r="AT228" s="473">
        <f t="shared" ca="1" si="102"/>
        <v>4.2080234374999996</v>
      </c>
      <c r="AU228" s="391">
        <f t="shared" ca="1" si="102"/>
        <v>4.4708984374999998</v>
      </c>
      <c r="AV228" s="474"/>
      <c r="AW228" s="474"/>
      <c r="AX228" s="474"/>
      <c r="AY228" s="393"/>
    </row>
    <row r="229" spans="1:51" ht="15.75" customHeight="1" x14ac:dyDescent="0.2">
      <c r="A229" s="83"/>
      <c r="B229" s="389" t="s">
        <v>169</v>
      </c>
      <c r="C229" s="93"/>
      <c r="D229" s="390" t="str">
        <f t="shared" ref="D229:F229" ca="1" si="103">IFERROR(D227/#REF!-1,"NA")</f>
        <v>NA</v>
      </c>
      <c r="E229" s="390" t="str">
        <f t="shared" ca="1" si="103"/>
        <v>NA</v>
      </c>
      <c r="F229" s="390" t="str">
        <f t="shared" ca="1" si="103"/>
        <v>NA</v>
      </c>
      <c r="G229" s="391" t="str">
        <f t="shared" ref="G229:AU229" ca="1" si="104">IFERROR(G227/C227-1,"NA")</f>
        <v>NA</v>
      </c>
      <c r="H229" s="390">
        <f t="shared" ca="1" si="104"/>
        <v>-0.15591120289106863</v>
      </c>
      <c r="I229" s="390">
        <f t="shared" ca="1" si="104"/>
        <v>-0.16576527852893452</v>
      </c>
      <c r="J229" s="390">
        <f t="shared" ca="1" si="104"/>
        <v>-0.22088465845464722</v>
      </c>
      <c r="K229" s="391">
        <f t="shared" ca="1" si="104"/>
        <v>-0.24234393404004706</v>
      </c>
      <c r="L229" s="390">
        <f t="shared" ca="1" si="104"/>
        <v>-0.30436162079510698</v>
      </c>
      <c r="M229" s="390">
        <f t="shared" ca="1" si="104"/>
        <v>-0.35910372771474874</v>
      </c>
      <c r="N229" s="390">
        <f t="shared" ca="1" si="104"/>
        <v>-0.36325817463169241</v>
      </c>
      <c r="O229" s="391">
        <f t="shared" ca="1" si="104"/>
        <v>-0.43812475709288767</v>
      </c>
      <c r="P229" s="390">
        <f t="shared" ca="1" si="104"/>
        <v>-0.46387550211837625</v>
      </c>
      <c r="Q229" s="390">
        <f t="shared" ca="1" si="104"/>
        <v>-0.53093950176136029</v>
      </c>
      <c r="R229" s="390">
        <f t="shared" ca="1" si="104"/>
        <v>-0.56602160489037434</v>
      </c>
      <c r="S229" s="391">
        <f t="shared" ca="1" si="104"/>
        <v>-0.56685492545159621</v>
      </c>
      <c r="T229" s="390">
        <f t="shared" ca="1" si="104"/>
        <v>-0.57886871511242943</v>
      </c>
      <c r="U229" s="390">
        <f t="shared" ca="1" si="104"/>
        <v>-0.48364261761249072</v>
      </c>
      <c r="V229" s="390">
        <f t="shared" ca="1" si="104"/>
        <v>-0.49924905644429851</v>
      </c>
      <c r="W229" s="391">
        <f t="shared" ca="1" si="104"/>
        <v>-0.34610547748323217</v>
      </c>
      <c r="X229" s="390">
        <f t="shared" ca="1" si="104"/>
        <v>-3.7225886533453378E-2</v>
      </c>
      <c r="Y229" s="390">
        <f t="shared" ca="1" si="104"/>
        <v>0.22050378491255551</v>
      </c>
      <c r="Z229" s="390">
        <f t="shared" ca="1" si="104"/>
        <v>0.83843219995131046</v>
      </c>
      <c r="AA229" s="391">
        <f t="shared" ca="1" si="104"/>
        <v>0.96954895825383502</v>
      </c>
      <c r="AB229" s="390">
        <f t="shared" ca="1" si="104"/>
        <v>1.005119130379827</v>
      </c>
      <c r="AC229" s="390">
        <f t="shared" ca="1" si="104"/>
        <v>1.0682778163930919</v>
      </c>
      <c r="AD229" s="390">
        <f t="shared" ca="1" si="104"/>
        <v>1.0576031781063784</v>
      </c>
      <c r="AE229" s="391">
        <f t="shared" ca="1" si="104"/>
        <v>1.1142713217344133</v>
      </c>
      <c r="AF229" s="390">
        <f t="shared" ca="1" si="104"/>
        <v>1.0784505310933903</v>
      </c>
      <c r="AG229" s="390">
        <f t="shared" ca="1" si="104"/>
        <v>0.99930201897474347</v>
      </c>
      <c r="AH229" s="390">
        <f t="shared" ca="1" si="104"/>
        <v>0.90391504880403306</v>
      </c>
      <c r="AI229" s="391">
        <f t="shared" ca="1" si="104"/>
        <v>0.83602441214742584</v>
      </c>
      <c r="AJ229" s="390">
        <f t="shared" ca="1" si="104"/>
        <v>1.0294345116236752</v>
      </c>
      <c r="AK229" s="390">
        <f t="shared" ca="1" si="104"/>
        <v>1.1654663235883578</v>
      </c>
      <c r="AL229" s="390">
        <f t="shared" ca="1" si="104"/>
        <v>1.2661491138128023</v>
      </c>
      <c r="AM229" s="391">
        <f t="shared" ca="1" si="104"/>
        <v>1.3435151079567573</v>
      </c>
      <c r="AN229" s="390">
        <f t="shared" ca="1" si="104"/>
        <v>1.1333437946004916</v>
      </c>
      <c r="AO229" s="390">
        <f t="shared" ca="1" si="104"/>
        <v>1.0076250186595015</v>
      </c>
      <c r="AP229" s="390">
        <f t="shared" ca="1" si="104"/>
        <v>0.92397189779388733</v>
      </c>
      <c r="AQ229" s="391">
        <f t="shared" ca="1" si="104"/>
        <v>0.86429754952698579</v>
      </c>
      <c r="AR229" s="390">
        <f t="shared" ca="1" si="104"/>
        <v>0.65090245499984234</v>
      </c>
      <c r="AS229" s="390">
        <f t="shared" ca="1" si="104"/>
        <v>0.5018990146537905</v>
      </c>
      <c r="AT229" s="390">
        <f t="shared" ca="1" si="104"/>
        <v>0.39196288974170113</v>
      </c>
      <c r="AU229" s="391">
        <f t="shared" ca="1" si="104"/>
        <v>0.30751023000664857</v>
      </c>
      <c r="AV229" s="392"/>
      <c r="AW229" s="392"/>
      <c r="AX229" s="474"/>
      <c r="AY229" s="393"/>
    </row>
    <row r="230" spans="1:51" ht="15.75" customHeight="1" x14ac:dyDescent="0.2">
      <c r="A230" s="3"/>
      <c r="B230" s="396"/>
      <c r="C230" s="438"/>
      <c r="D230" s="439"/>
      <c r="E230" s="439"/>
      <c r="F230" s="439"/>
      <c r="G230" s="440"/>
      <c r="H230" s="439"/>
      <c r="I230" s="439"/>
      <c r="J230" s="439"/>
      <c r="K230" s="440"/>
      <c r="L230" s="439"/>
      <c r="M230" s="439"/>
      <c r="N230" s="439"/>
      <c r="O230" s="440"/>
      <c r="P230" s="439"/>
      <c r="Q230" s="439"/>
      <c r="R230" s="439"/>
      <c r="S230" s="440"/>
      <c r="T230" s="439"/>
      <c r="U230" s="439"/>
      <c r="V230" s="439"/>
      <c r="W230" s="440"/>
      <c r="X230" s="439"/>
      <c r="Y230" s="439"/>
      <c r="Z230" s="439"/>
      <c r="AA230" s="440"/>
      <c r="AB230" s="439"/>
      <c r="AC230" s="439"/>
      <c r="AD230" s="439"/>
      <c r="AE230" s="440"/>
      <c r="AF230" s="439"/>
      <c r="AG230" s="439"/>
      <c r="AH230" s="439"/>
      <c r="AI230" s="440"/>
      <c r="AJ230" s="439"/>
      <c r="AK230" s="439"/>
      <c r="AL230" s="439"/>
      <c r="AM230" s="440"/>
      <c r="AN230" s="439"/>
      <c r="AO230" s="439"/>
      <c r="AP230" s="439"/>
      <c r="AQ230" s="440"/>
      <c r="AR230" s="439"/>
      <c r="AS230" s="439"/>
      <c r="AT230" s="439"/>
      <c r="AU230" s="440"/>
      <c r="AV230" s="441"/>
      <c r="AW230" s="441"/>
      <c r="AX230" s="474"/>
      <c r="AY230" s="393"/>
    </row>
    <row r="231" spans="1:51" ht="15.75" customHeight="1" x14ac:dyDescent="0.2">
      <c r="A231" s="425"/>
      <c r="B231" s="458" t="s">
        <v>183</v>
      </c>
      <c r="C231" s="419"/>
      <c r="D231" s="432"/>
      <c r="E231" s="432"/>
      <c r="F231" s="433"/>
      <c r="G231" s="452">
        <f t="shared" ref="G231:AU231" ca="1" si="105">IFERROR(SUM(D226:G226)/G213,"NA")</f>
        <v>0</v>
      </c>
      <c r="H231" s="475">
        <f t="shared" ca="1" si="105"/>
        <v>0</v>
      </c>
      <c r="I231" s="475">
        <f t="shared" ca="1" si="105"/>
        <v>0</v>
      </c>
      <c r="J231" s="475">
        <f t="shared" ca="1" si="105"/>
        <v>0</v>
      </c>
      <c r="K231" s="452">
        <f t="shared" ca="1" si="105"/>
        <v>0</v>
      </c>
      <c r="L231" s="475">
        <f t="shared" ca="1" si="105"/>
        <v>2.5000000000000001E-3</v>
      </c>
      <c r="M231" s="475">
        <f t="shared" ca="1" si="105"/>
        <v>4.6103896103896107E-3</v>
      </c>
      <c r="N231" s="475">
        <f t="shared" ca="1" si="105"/>
        <v>6.6764705882352941E-3</v>
      </c>
      <c r="O231" s="452">
        <f t="shared" ca="1" si="105"/>
        <v>8.2728881026094651E-3</v>
      </c>
      <c r="P231" s="475">
        <f t="shared" ca="1" si="105"/>
        <v>2.34750499001996E-2</v>
      </c>
      <c r="Q231" s="475">
        <f t="shared" ca="1" si="105"/>
        <v>3.6775965969514358E-2</v>
      </c>
      <c r="R231" s="475">
        <f t="shared" ca="1" si="105"/>
        <v>5.0375789823744598E-2</v>
      </c>
      <c r="S231" s="452">
        <f t="shared" ca="1" si="105"/>
        <v>6.3343288274127635E-2</v>
      </c>
      <c r="T231" s="475">
        <f t="shared" ca="1" si="105"/>
        <v>8.3910803650279669E-2</v>
      </c>
      <c r="U231" s="475">
        <f t="shared" ca="1" si="105"/>
        <v>0.10405676362609433</v>
      </c>
      <c r="V231" s="475">
        <f t="shared" ca="1" si="105"/>
        <v>0.12166855429713525</v>
      </c>
      <c r="W231" s="452">
        <f t="shared" ca="1" si="105"/>
        <v>0.14162824675324676</v>
      </c>
      <c r="X231" s="475">
        <f t="shared" ca="1" si="105"/>
        <v>0.156061230964467</v>
      </c>
      <c r="Y231" s="475">
        <f t="shared" ca="1" si="105"/>
        <v>0.16962624069478907</v>
      </c>
      <c r="Z231" s="475">
        <f t="shared" ca="1" si="105"/>
        <v>0.1827322738386308</v>
      </c>
      <c r="AA231" s="452">
        <f t="shared" ca="1" si="105"/>
        <v>0.19425837320574163</v>
      </c>
      <c r="AB231" s="475">
        <f t="shared" ca="1" si="105"/>
        <v>0.20754716981132076</v>
      </c>
      <c r="AC231" s="475">
        <f t="shared" ca="1" si="105"/>
        <v>0.22139929742388759</v>
      </c>
      <c r="AD231" s="475">
        <f t="shared" ca="1" si="105"/>
        <v>0.23600702576112412</v>
      </c>
      <c r="AE231" s="452">
        <f t="shared" ca="1" si="105"/>
        <v>0.2495608899297424</v>
      </c>
      <c r="AF231" s="475">
        <f t="shared" ca="1" si="105"/>
        <v>0.27500000000000002</v>
      </c>
      <c r="AG231" s="475">
        <f t="shared" ca="1" si="105"/>
        <v>0.3</v>
      </c>
      <c r="AH231" s="475">
        <f t="shared" ca="1" si="105"/>
        <v>0.32500000000000001</v>
      </c>
      <c r="AI231" s="452">
        <f t="shared" ca="1" si="105"/>
        <v>0.35</v>
      </c>
      <c r="AJ231" s="475">
        <f t="shared" ca="1" si="105"/>
        <v>0.51249999999999996</v>
      </c>
      <c r="AK231" s="475">
        <f t="shared" ca="1" si="105"/>
        <v>0.67500000000000004</v>
      </c>
      <c r="AL231" s="475">
        <f t="shared" ca="1" si="105"/>
        <v>0.83750000000000002</v>
      </c>
      <c r="AM231" s="452">
        <f t="shared" ca="1" si="105"/>
        <v>1</v>
      </c>
      <c r="AN231" s="475">
        <f t="shared" ca="1" si="105"/>
        <v>1.125</v>
      </c>
      <c r="AO231" s="475">
        <f t="shared" ca="1" si="105"/>
        <v>1.25</v>
      </c>
      <c r="AP231" s="475">
        <f t="shared" ca="1" si="105"/>
        <v>1.375</v>
      </c>
      <c r="AQ231" s="452">
        <f t="shared" ca="1" si="105"/>
        <v>1.5</v>
      </c>
      <c r="AR231" s="475">
        <f t="shared" ca="1" si="105"/>
        <v>1.375</v>
      </c>
      <c r="AS231" s="475">
        <f t="shared" ca="1" si="105"/>
        <v>1.25</v>
      </c>
      <c r="AT231" s="475">
        <f t="shared" ca="1" si="105"/>
        <v>1.125</v>
      </c>
      <c r="AU231" s="452">
        <f t="shared" ca="1" si="105"/>
        <v>1</v>
      </c>
      <c r="AV231" s="429"/>
      <c r="AW231" s="429"/>
      <c r="AX231" s="474"/>
      <c r="AY231" s="393"/>
    </row>
    <row r="232" spans="1:51" ht="15.75" customHeight="1" x14ac:dyDescent="0.2">
      <c r="A232" s="183"/>
      <c r="B232" s="479" t="s">
        <v>184</v>
      </c>
      <c r="C232" s="480"/>
      <c r="D232" s="436">
        <f t="shared" ref="D232:AU232" ca="1" si="106">IFERROR(D226/D213,"NA")</f>
        <v>0</v>
      </c>
      <c r="E232" s="436">
        <f t="shared" ca="1" si="106"/>
        <v>0</v>
      </c>
      <c r="F232" s="436">
        <f t="shared" ca="1" si="106"/>
        <v>0</v>
      </c>
      <c r="G232" s="437">
        <f t="shared" ca="1" si="106"/>
        <v>0</v>
      </c>
      <c r="H232" s="436">
        <f t="shared" ca="1" si="106"/>
        <v>0</v>
      </c>
      <c r="I232" s="436">
        <f t="shared" ca="1" si="106"/>
        <v>0</v>
      </c>
      <c r="J232" s="436">
        <f t="shared" ca="1" si="106"/>
        <v>0</v>
      </c>
      <c r="K232" s="437">
        <f t="shared" ca="1" si="106"/>
        <v>0</v>
      </c>
      <c r="L232" s="450">
        <f t="shared" ca="1" si="106"/>
        <v>2.5000000000000001E-3</v>
      </c>
      <c r="M232" s="436">
        <f t="shared" ca="1" si="106"/>
        <v>2.5000000000000001E-3</v>
      </c>
      <c r="N232" s="436">
        <f t="shared" ca="1" si="106"/>
        <v>2.5000000000000001E-3</v>
      </c>
      <c r="O232" s="437">
        <f t="shared" ca="1" si="106"/>
        <v>2.5000000000000001E-3</v>
      </c>
      <c r="P232" s="450">
        <f t="shared" ca="1" si="106"/>
        <v>1.7500000000000002E-2</v>
      </c>
      <c r="Q232" s="436">
        <f t="shared" ca="1" si="106"/>
        <v>1.7500000000000002E-2</v>
      </c>
      <c r="R232" s="435">
        <f t="shared" ca="1" si="106"/>
        <v>1.7500000000000002E-2</v>
      </c>
      <c r="S232" s="437">
        <f t="shared" ca="1" si="106"/>
        <v>1.7500000000000002E-2</v>
      </c>
      <c r="T232" s="450">
        <f t="shared" ca="1" si="106"/>
        <v>3.7499999999999999E-2</v>
      </c>
      <c r="U232" s="436">
        <f t="shared" ca="1" si="106"/>
        <v>3.7499999999999999E-2</v>
      </c>
      <c r="V232" s="435">
        <f t="shared" ca="1" si="106"/>
        <v>3.7499999999999999E-2</v>
      </c>
      <c r="W232" s="437">
        <f t="shared" ca="1" si="106"/>
        <v>3.7499999999999999E-2</v>
      </c>
      <c r="X232" s="450">
        <f t="shared" ca="1" si="106"/>
        <v>0.05</v>
      </c>
      <c r="Y232" s="436">
        <f t="shared" ca="1" si="106"/>
        <v>0.05</v>
      </c>
      <c r="Z232" s="435">
        <f t="shared" ca="1" si="106"/>
        <v>0.05</v>
      </c>
      <c r="AA232" s="437">
        <f t="shared" ca="1" si="106"/>
        <v>0.05</v>
      </c>
      <c r="AB232" s="450">
        <f t="shared" ca="1" si="106"/>
        <v>6.25E-2</v>
      </c>
      <c r="AC232" s="436">
        <f t="shared" ca="1" si="106"/>
        <v>6.25E-2</v>
      </c>
      <c r="AD232" s="435">
        <f t="shared" ca="1" si="106"/>
        <v>6.25E-2</v>
      </c>
      <c r="AE232" s="437">
        <f t="shared" ca="1" si="106"/>
        <v>6.25E-2</v>
      </c>
      <c r="AF232" s="450">
        <f t="shared" ca="1" si="106"/>
        <v>8.7499999999999994E-2</v>
      </c>
      <c r="AG232" s="436">
        <f t="shared" ca="1" si="106"/>
        <v>8.7499999999999994E-2</v>
      </c>
      <c r="AH232" s="435">
        <f t="shared" ca="1" si="106"/>
        <v>8.7499999999999994E-2</v>
      </c>
      <c r="AI232" s="437">
        <f t="shared" ca="1" si="106"/>
        <v>8.7499999999999994E-2</v>
      </c>
      <c r="AJ232" s="450">
        <f t="shared" ca="1" si="106"/>
        <v>0.25</v>
      </c>
      <c r="AK232" s="436">
        <f t="shared" ca="1" si="106"/>
        <v>0.25</v>
      </c>
      <c r="AL232" s="435">
        <f t="shared" ca="1" si="106"/>
        <v>0.25</v>
      </c>
      <c r="AM232" s="437">
        <f t="shared" ca="1" si="106"/>
        <v>0.25</v>
      </c>
      <c r="AN232" s="450">
        <f t="shared" ca="1" si="106"/>
        <v>0.375</v>
      </c>
      <c r="AO232" s="436">
        <f t="shared" ca="1" si="106"/>
        <v>0.375</v>
      </c>
      <c r="AP232" s="435">
        <f t="shared" ca="1" si="106"/>
        <v>0.375</v>
      </c>
      <c r="AQ232" s="437">
        <f t="shared" ca="1" si="106"/>
        <v>0.375</v>
      </c>
      <c r="AR232" s="450">
        <f t="shared" ca="1" si="106"/>
        <v>0.25</v>
      </c>
      <c r="AS232" s="436">
        <f t="shared" ca="1" si="106"/>
        <v>0.25</v>
      </c>
      <c r="AT232" s="435">
        <f t="shared" ca="1" si="106"/>
        <v>0.25</v>
      </c>
      <c r="AU232" s="437">
        <f t="shared" ca="1" si="106"/>
        <v>0.25</v>
      </c>
      <c r="AV232" s="429"/>
      <c r="AW232" s="429"/>
      <c r="AX232" s="474"/>
      <c r="AY232" s="393"/>
    </row>
    <row r="233" spans="1:51" ht="15.75" customHeight="1" x14ac:dyDescent="0.2">
      <c r="A233" s="183"/>
      <c r="B233" s="479" t="s">
        <v>196</v>
      </c>
      <c r="C233" s="480"/>
      <c r="D233" s="436">
        <f t="shared" ref="D233:AU233" ca="1" si="107">IFERROR(D232*4,"NA")</f>
        <v>0</v>
      </c>
      <c r="E233" s="436">
        <f t="shared" ca="1" si="107"/>
        <v>0</v>
      </c>
      <c r="F233" s="436">
        <f t="shared" ca="1" si="107"/>
        <v>0</v>
      </c>
      <c r="G233" s="437">
        <f t="shared" ca="1" si="107"/>
        <v>0</v>
      </c>
      <c r="H233" s="436">
        <f t="shared" ca="1" si="107"/>
        <v>0</v>
      </c>
      <c r="I233" s="436">
        <f t="shared" ca="1" si="107"/>
        <v>0</v>
      </c>
      <c r="J233" s="436">
        <f t="shared" ca="1" si="107"/>
        <v>0</v>
      </c>
      <c r="K233" s="437">
        <f t="shared" ca="1" si="107"/>
        <v>0</v>
      </c>
      <c r="L233" s="450">
        <f t="shared" ca="1" si="107"/>
        <v>0.01</v>
      </c>
      <c r="M233" s="436">
        <f t="shared" ca="1" si="107"/>
        <v>0.01</v>
      </c>
      <c r="N233" s="436">
        <f t="shared" ca="1" si="107"/>
        <v>0.01</v>
      </c>
      <c r="O233" s="437">
        <f t="shared" ca="1" si="107"/>
        <v>0.01</v>
      </c>
      <c r="P233" s="450">
        <f t="shared" ca="1" si="107"/>
        <v>7.0000000000000007E-2</v>
      </c>
      <c r="Q233" s="436">
        <f t="shared" ca="1" si="107"/>
        <v>7.0000000000000007E-2</v>
      </c>
      <c r="R233" s="435">
        <f t="shared" ca="1" si="107"/>
        <v>7.0000000000000007E-2</v>
      </c>
      <c r="S233" s="437">
        <f t="shared" ca="1" si="107"/>
        <v>7.0000000000000007E-2</v>
      </c>
      <c r="T233" s="450">
        <f t="shared" ca="1" si="107"/>
        <v>0.15</v>
      </c>
      <c r="U233" s="436">
        <f t="shared" ca="1" si="107"/>
        <v>0.15</v>
      </c>
      <c r="V233" s="435">
        <f t="shared" ca="1" si="107"/>
        <v>0.15</v>
      </c>
      <c r="W233" s="437">
        <f t="shared" ca="1" si="107"/>
        <v>0.15</v>
      </c>
      <c r="X233" s="450">
        <f t="shared" ca="1" si="107"/>
        <v>0.2</v>
      </c>
      <c r="Y233" s="436">
        <f t="shared" ca="1" si="107"/>
        <v>0.2</v>
      </c>
      <c r="Z233" s="435">
        <f t="shared" ca="1" si="107"/>
        <v>0.2</v>
      </c>
      <c r="AA233" s="437">
        <f t="shared" ca="1" si="107"/>
        <v>0.2</v>
      </c>
      <c r="AB233" s="450">
        <f t="shared" ca="1" si="107"/>
        <v>0.25</v>
      </c>
      <c r="AC233" s="436">
        <f t="shared" ca="1" si="107"/>
        <v>0.25</v>
      </c>
      <c r="AD233" s="435">
        <f t="shared" ca="1" si="107"/>
        <v>0.25</v>
      </c>
      <c r="AE233" s="437">
        <f t="shared" ca="1" si="107"/>
        <v>0.25</v>
      </c>
      <c r="AF233" s="450">
        <f t="shared" ca="1" si="107"/>
        <v>0.35</v>
      </c>
      <c r="AG233" s="436">
        <f t="shared" ca="1" si="107"/>
        <v>0.35</v>
      </c>
      <c r="AH233" s="435">
        <f t="shared" ca="1" si="107"/>
        <v>0.35</v>
      </c>
      <c r="AI233" s="437">
        <f t="shared" ca="1" si="107"/>
        <v>0.35</v>
      </c>
      <c r="AJ233" s="450">
        <f t="shared" ca="1" si="107"/>
        <v>1</v>
      </c>
      <c r="AK233" s="436">
        <f t="shared" ca="1" si="107"/>
        <v>1</v>
      </c>
      <c r="AL233" s="435">
        <f t="shared" ca="1" si="107"/>
        <v>1</v>
      </c>
      <c r="AM233" s="437">
        <f t="shared" ca="1" si="107"/>
        <v>1</v>
      </c>
      <c r="AN233" s="450">
        <f t="shared" ca="1" si="107"/>
        <v>1.5</v>
      </c>
      <c r="AO233" s="436">
        <f t="shared" ca="1" si="107"/>
        <v>1.5</v>
      </c>
      <c r="AP233" s="435">
        <f t="shared" ca="1" si="107"/>
        <v>1.5</v>
      </c>
      <c r="AQ233" s="437">
        <f t="shared" ca="1" si="107"/>
        <v>1.5</v>
      </c>
      <c r="AR233" s="450">
        <f t="shared" ca="1" si="107"/>
        <v>1</v>
      </c>
      <c r="AS233" s="436">
        <f t="shared" ca="1" si="107"/>
        <v>1</v>
      </c>
      <c r="AT233" s="435">
        <f t="shared" ca="1" si="107"/>
        <v>1</v>
      </c>
      <c r="AU233" s="437">
        <f t="shared" ca="1" si="107"/>
        <v>1</v>
      </c>
      <c r="AV233" s="429"/>
      <c r="AW233" s="429"/>
      <c r="AX233" s="474"/>
      <c r="AY233" s="393"/>
    </row>
    <row r="234" spans="1:51" ht="15.75" customHeight="1" x14ac:dyDescent="0.2">
      <c r="A234" s="183"/>
      <c r="B234" s="479" t="s">
        <v>185</v>
      </c>
      <c r="C234" s="480"/>
      <c r="D234" s="435">
        <f t="shared" ref="D234:AU234" ca="1" si="108">IFERROR(SUM($D226:D226)/D213,"NA")</f>
        <v>0</v>
      </c>
      <c r="E234" s="435">
        <f t="shared" ca="1" si="108"/>
        <v>0</v>
      </c>
      <c r="F234" s="435">
        <f t="shared" ca="1" si="108"/>
        <v>0</v>
      </c>
      <c r="G234" s="434">
        <f t="shared" ca="1" si="108"/>
        <v>0</v>
      </c>
      <c r="H234" s="435">
        <f t="shared" ca="1" si="108"/>
        <v>0</v>
      </c>
      <c r="I234" s="435">
        <f t="shared" ca="1" si="108"/>
        <v>0</v>
      </c>
      <c r="J234" s="435">
        <f t="shared" ca="1" si="108"/>
        <v>0</v>
      </c>
      <c r="K234" s="434">
        <f t="shared" ca="1" si="108"/>
        <v>0</v>
      </c>
      <c r="L234" s="450">
        <f t="shared" ca="1" si="108"/>
        <v>2.5000000000000001E-3</v>
      </c>
      <c r="M234" s="435">
        <f t="shared" ca="1" si="108"/>
        <v>4.6103896103896107E-3</v>
      </c>
      <c r="N234" s="435">
        <f t="shared" ca="1" si="108"/>
        <v>6.6764705882352941E-3</v>
      </c>
      <c r="O234" s="437">
        <f t="shared" ca="1" si="108"/>
        <v>8.2728881026094651E-3</v>
      </c>
      <c r="P234" s="450">
        <f t="shared" ca="1" si="108"/>
        <v>2.4967065868263472E-2</v>
      </c>
      <c r="Q234" s="435">
        <f t="shared" ca="1" si="108"/>
        <v>3.9670329670329671E-2</v>
      </c>
      <c r="R234" s="435">
        <f t="shared" ca="1" si="108"/>
        <v>5.4716494845360827E-2</v>
      </c>
      <c r="S234" s="437">
        <f t="shared" ca="1" si="108"/>
        <v>6.9223514618044643E-2</v>
      </c>
      <c r="T234" s="450">
        <f t="shared" ca="1" si="108"/>
        <v>0.10232190167795113</v>
      </c>
      <c r="U234" s="435">
        <f t="shared" ca="1" si="108"/>
        <v>0.13566083027393391</v>
      </c>
      <c r="V234" s="435">
        <f t="shared" ca="1" si="108"/>
        <v>0.16551465689540307</v>
      </c>
      <c r="W234" s="437">
        <f t="shared" ca="1" si="108"/>
        <v>0.19882305194805194</v>
      </c>
      <c r="X234" s="450">
        <f t="shared" ca="1" si="108"/>
        <v>0.24428140862944162</v>
      </c>
      <c r="Y234" s="435">
        <f t="shared" ca="1" si="108"/>
        <v>0.28882599255583125</v>
      </c>
      <c r="Z234" s="435">
        <f t="shared" ca="1" si="108"/>
        <v>0.33458893643031784</v>
      </c>
      <c r="AA234" s="437">
        <f t="shared" ca="1" si="108"/>
        <v>0.37738486842105262</v>
      </c>
      <c r="AB234" s="450">
        <f t="shared" ca="1" si="108"/>
        <v>0.43454451650943399</v>
      </c>
      <c r="AC234" s="435">
        <f t="shared" ca="1" si="108"/>
        <v>0.49399151053864171</v>
      </c>
      <c r="AD234" s="435">
        <f t="shared" ca="1" si="108"/>
        <v>0.55649151053864165</v>
      </c>
      <c r="AE234" s="437">
        <f t="shared" ca="1" si="108"/>
        <v>0.61899151053864165</v>
      </c>
      <c r="AF234" s="450">
        <f t="shared" ca="1" si="108"/>
        <v>0.70649151053864168</v>
      </c>
      <c r="AG234" s="435">
        <f t="shared" ca="1" si="108"/>
        <v>0.7939915105386417</v>
      </c>
      <c r="AH234" s="435">
        <f t="shared" ca="1" si="108"/>
        <v>0.88149151053864172</v>
      </c>
      <c r="AI234" s="437">
        <f t="shared" ca="1" si="108"/>
        <v>0.96899151053864163</v>
      </c>
      <c r="AJ234" s="450">
        <f t="shared" ca="1" si="108"/>
        <v>1.2189915105386417</v>
      </c>
      <c r="AK234" s="435">
        <f t="shared" ca="1" si="108"/>
        <v>1.4689915105386417</v>
      </c>
      <c r="AL234" s="435">
        <f t="shared" ca="1" si="108"/>
        <v>1.7189915105386417</v>
      </c>
      <c r="AM234" s="437">
        <f t="shared" ca="1" si="108"/>
        <v>1.9689915105386417</v>
      </c>
      <c r="AN234" s="450">
        <f t="shared" ca="1" si="108"/>
        <v>2.3439915105386415</v>
      </c>
      <c r="AO234" s="435">
        <f t="shared" ca="1" si="108"/>
        <v>2.7189915105386415</v>
      </c>
      <c r="AP234" s="435">
        <f t="shared" ca="1" si="108"/>
        <v>3.0939915105386415</v>
      </c>
      <c r="AQ234" s="437">
        <f t="shared" ca="1" si="108"/>
        <v>3.4689915105386415</v>
      </c>
      <c r="AR234" s="450">
        <f t="shared" ca="1" si="108"/>
        <v>3.7189915105386415</v>
      </c>
      <c r="AS234" s="435">
        <f t="shared" ca="1" si="108"/>
        <v>3.9689915105386415</v>
      </c>
      <c r="AT234" s="435">
        <f t="shared" ca="1" si="108"/>
        <v>4.2189915105386415</v>
      </c>
      <c r="AU234" s="437">
        <f t="shared" ca="1" si="108"/>
        <v>4.4689915105386415</v>
      </c>
      <c r="AV234" s="429"/>
      <c r="AW234" s="429"/>
      <c r="AX234" s="474"/>
      <c r="AY234" s="393"/>
    </row>
    <row r="235" spans="1:51" ht="15.75" customHeight="1" x14ac:dyDescent="0.2">
      <c r="A235" s="183"/>
      <c r="B235" s="183"/>
      <c r="C235" s="480"/>
      <c r="D235" s="481"/>
      <c r="E235" s="481"/>
      <c r="F235" s="430"/>
      <c r="G235" s="482"/>
      <c r="H235" s="481"/>
      <c r="I235" s="481"/>
      <c r="J235" s="430"/>
      <c r="K235" s="482"/>
      <c r="L235" s="429"/>
      <c r="M235" s="481"/>
      <c r="N235" s="430"/>
      <c r="O235" s="482"/>
      <c r="P235" s="429"/>
      <c r="Q235" s="481"/>
      <c r="R235" s="430"/>
      <c r="S235" s="482"/>
      <c r="T235" s="429"/>
      <c r="U235" s="481"/>
      <c r="V235" s="430"/>
      <c r="W235" s="482"/>
      <c r="X235" s="429"/>
      <c r="Y235" s="481"/>
      <c r="Z235" s="430"/>
      <c r="AA235" s="482"/>
      <c r="AB235" s="429"/>
      <c r="AC235" s="481"/>
      <c r="AD235" s="430"/>
      <c r="AE235" s="482"/>
      <c r="AF235" s="429"/>
      <c r="AG235" s="481"/>
      <c r="AH235" s="430"/>
      <c r="AI235" s="482"/>
      <c r="AJ235" s="429"/>
      <c r="AK235" s="481"/>
      <c r="AL235" s="430"/>
      <c r="AM235" s="482"/>
      <c r="AN235" s="429"/>
      <c r="AO235" s="481"/>
      <c r="AP235" s="430"/>
      <c r="AQ235" s="482"/>
      <c r="AR235" s="429"/>
      <c r="AS235" s="481"/>
      <c r="AT235" s="430"/>
      <c r="AU235" s="482"/>
      <c r="AV235" s="429"/>
      <c r="AW235" s="429"/>
      <c r="AX235" s="474"/>
      <c r="AY235" s="393"/>
    </row>
    <row r="236" spans="1:51" ht="15.75" customHeight="1" x14ac:dyDescent="0.2">
      <c r="A236" s="183"/>
      <c r="B236" s="183"/>
      <c r="C236" s="480"/>
      <c r="D236" s="429"/>
      <c r="E236" s="429"/>
      <c r="F236" s="423"/>
      <c r="G236" s="482"/>
      <c r="H236" s="429"/>
      <c r="I236" s="429"/>
      <c r="J236" s="423"/>
      <c r="K236" s="482"/>
      <c r="L236" s="429"/>
      <c r="M236" s="429"/>
      <c r="N236" s="423"/>
      <c r="O236" s="482"/>
      <c r="P236" s="429"/>
      <c r="Q236" s="429"/>
      <c r="R236" s="423"/>
      <c r="S236" s="482"/>
      <c r="T236" s="429"/>
      <c r="U236" s="429"/>
      <c r="V236" s="423"/>
      <c r="W236" s="482"/>
      <c r="X236" s="429"/>
      <c r="Y236" s="429"/>
      <c r="Z236" s="423"/>
      <c r="AA236" s="482"/>
      <c r="AB236" s="429"/>
      <c r="AC236" s="429"/>
      <c r="AD236" s="423"/>
      <c r="AE236" s="482"/>
      <c r="AF236" s="429"/>
      <c r="AG236" s="429"/>
      <c r="AH236" s="423"/>
      <c r="AI236" s="482"/>
      <c r="AJ236" s="429"/>
      <c r="AK236" s="429"/>
      <c r="AL236" s="423"/>
      <c r="AM236" s="482"/>
      <c r="AN236" s="429"/>
      <c r="AO236" s="429"/>
      <c r="AP236" s="423"/>
      <c r="AQ236" s="482"/>
      <c r="AR236" s="429"/>
      <c r="AS236" s="429"/>
      <c r="AT236" s="423"/>
      <c r="AU236" s="482"/>
      <c r="AV236" s="429"/>
      <c r="AW236" s="429"/>
      <c r="AX236" s="474"/>
      <c r="AY236" s="393"/>
    </row>
    <row r="237" spans="1:51" ht="15.75" customHeight="1" x14ac:dyDescent="0.2">
      <c r="A237" s="183"/>
      <c r="B237" s="183"/>
      <c r="C237" s="483" t="s">
        <v>199</v>
      </c>
      <c r="D237" s="484">
        <f t="shared" ref="D237:AU237" si="109">D4</f>
        <v>44286</v>
      </c>
      <c r="E237" s="484">
        <f t="shared" si="109"/>
        <v>44377</v>
      </c>
      <c r="F237" s="484">
        <f t="shared" si="109"/>
        <v>44469</v>
      </c>
      <c r="G237" s="485">
        <f t="shared" si="109"/>
        <v>44561</v>
      </c>
      <c r="H237" s="484">
        <f t="shared" si="109"/>
        <v>44651</v>
      </c>
      <c r="I237" s="484">
        <f t="shared" si="109"/>
        <v>44742</v>
      </c>
      <c r="J237" s="484">
        <f t="shared" si="109"/>
        <v>44834</v>
      </c>
      <c r="K237" s="485">
        <f t="shared" si="109"/>
        <v>44926</v>
      </c>
      <c r="L237" s="484">
        <f t="shared" si="109"/>
        <v>45016</v>
      </c>
      <c r="M237" s="484">
        <f t="shared" si="109"/>
        <v>45107</v>
      </c>
      <c r="N237" s="484">
        <f t="shared" si="109"/>
        <v>45199</v>
      </c>
      <c r="O237" s="485">
        <f t="shared" si="109"/>
        <v>45291</v>
      </c>
      <c r="P237" s="484">
        <f t="shared" si="109"/>
        <v>45382</v>
      </c>
      <c r="Q237" s="484">
        <f t="shared" si="109"/>
        <v>45473</v>
      </c>
      <c r="R237" s="484">
        <f t="shared" si="109"/>
        <v>45565</v>
      </c>
      <c r="S237" s="485">
        <f t="shared" si="109"/>
        <v>45657</v>
      </c>
      <c r="T237" s="484">
        <f t="shared" si="109"/>
        <v>45747</v>
      </c>
      <c r="U237" s="484">
        <f t="shared" si="109"/>
        <v>45838</v>
      </c>
      <c r="V237" s="484">
        <f t="shared" si="109"/>
        <v>45930</v>
      </c>
      <c r="W237" s="485">
        <f t="shared" si="109"/>
        <v>46022</v>
      </c>
      <c r="X237" s="484">
        <f t="shared" si="109"/>
        <v>46112</v>
      </c>
      <c r="Y237" s="484">
        <f t="shared" si="109"/>
        <v>46203</v>
      </c>
      <c r="Z237" s="484">
        <f t="shared" si="109"/>
        <v>46295</v>
      </c>
      <c r="AA237" s="485">
        <f t="shared" si="109"/>
        <v>46387</v>
      </c>
      <c r="AB237" s="484">
        <f t="shared" si="109"/>
        <v>46477</v>
      </c>
      <c r="AC237" s="484">
        <f t="shared" si="109"/>
        <v>46568</v>
      </c>
      <c r="AD237" s="484">
        <f t="shared" si="109"/>
        <v>46660</v>
      </c>
      <c r="AE237" s="485">
        <f t="shared" si="109"/>
        <v>46752</v>
      </c>
      <c r="AF237" s="484">
        <f t="shared" si="109"/>
        <v>46843</v>
      </c>
      <c r="AG237" s="484">
        <f t="shared" si="109"/>
        <v>46934</v>
      </c>
      <c r="AH237" s="484">
        <f t="shared" si="109"/>
        <v>47026</v>
      </c>
      <c r="AI237" s="485">
        <f t="shared" si="109"/>
        <v>47118</v>
      </c>
      <c r="AJ237" s="484">
        <f t="shared" si="109"/>
        <v>47208</v>
      </c>
      <c r="AK237" s="484">
        <f t="shared" si="109"/>
        <v>47299</v>
      </c>
      <c r="AL237" s="484">
        <f t="shared" si="109"/>
        <v>47391</v>
      </c>
      <c r="AM237" s="485">
        <f t="shared" si="109"/>
        <v>47483</v>
      </c>
      <c r="AN237" s="484">
        <f t="shared" si="109"/>
        <v>47573</v>
      </c>
      <c r="AO237" s="484">
        <f t="shared" si="109"/>
        <v>47664</v>
      </c>
      <c r="AP237" s="484">
        <f t="shared" si="109"/>
        <v>47756</v>
      </c>
      <c r="AQ237" s="485">
        <f t="shared" si="109"/>
        <v>47848</v>
      </c>
      <c r="AR237" s="484">
        <f t="shared" si="109"/>
        <v>47938</v>
      </c>
      <c r="AS237" s="484">
        <f t="shared" si="109"/>
        <v>48029</v>
      </c>
      <c r="AT237" s="484">
        <f t="shared" si="109"/>
        <v>48121</v>
      </c>
      <c r="AU237" s="485">
        <f t="shared" si="109"/>
        <v>48213</v>
      </c>
      <c r="AV237" s="183"/>
      <c r="AW237" s="183"/>
      <c r="AX237" s="474"/>
      <c r="AY237" s="393"/>
    </row>
    <row r="238" spans="1:51" ht="15.75" customHeight="1" x14ac:dyDescent="0.2">
      <c r="A238" s="183"/>
      <c r="B238" s="183"/>
      <c r="C238" s="483" t="s">
        <v>199</v>
      </c>
      <c r="D238" s="486">
        <f t="shared" ref="D238:AU238" si="110">D211</f>
        <v>0</v>
      </c>
      <c r="E238" s="486">
        <f t="shared" si="110"/>
        <v>0</v>
      </c>
      <c r="F238" s="486">
        <f t="shared" si="110"/>
        <v>0</v>
      </c>
      <c r="G238" s="487">
        <f t="shared" si="110"/>
        <v>0</v>
      </c>
      <c r="H238" s="486">
        <f t="shared" si="110"/>
        <v>1</v>
      </c>
      <c r="I238" s="486">
        <f t="shared" si="110"/>
        <v>1</v>
      </c>
      <c r="J238" s="486">
        <f t="shared" si="110"/>
        <v>1</v>
      </c>
      <c r="K238" s="487">
        <f t="shared" si="110"/>
        <v>1</v>
      </c>
      <c r="L238" s="486">
        <f t="shared" si="110"/>
        <v>2</v>
      </c>
      <c r="M238" s="486">
        <f t="shared" si="110"/>
        <v>2</v>
      </c>
      <c r="N238" s="486">
        <f t="shared" si="110"/>
        <v>2</v>
      </c>
      <c r="O238" s="487">
        <f t="shared" si="110"/>
        <v>2</v>
      </c>
      <c r="P238" s="486">
        <f t="shared" si="110"/>
        <v>3</v>
      </c>
      <c r="Q238" s="486">
        <f t="shared" si="110"/>
        <v>3</v>
      </c>
      <c r="R238" s="486">
        <f t="shared" si="110"/>
        <v>3</v>
      </c>
      <c r="S238" s="487">
        <f t="shared" si="110"/>
        <v>3</v>
      </c>
      <c r="T238" s="486">
        <f t="shared" si="110"/>
        <v>4</v>
      </c>
      <c r="U238" s="486">
        <f t="shared" si="110"/>
        <v>4</v>
      </c>
      <c r="V238" s="486">
        <f t="shared" si="110"/>
        <v>4</v>
      </c>
      <c r="W238" s="487">
        <f t="shared" si="110"/>
        <v>4</v>
      </c>
      <c r="X238" s="486">
        <f t="shared" si="110"/>
        <v>5</v>
      </c>
      <c r="Y238" s="486">
        <f t="shared" si="110"/>
        <v>5</v>
      </c>
      <c r="Z238" s="486">
        <f t="shared" si="110"/>
        <v>5</v>
      </c>
      <c r="AA238" s="487">
        <f t="shared" si="110"/>
        <v>5</v>
      </c>
      <c r="AB238" s="486">
        <f t="shared" si="110"/>
        <v>6</v>
      </c>
      <c r="AC238" s="486">
        <f t="shared" si="110"/>
        <v>6</v>
      </c>
      <c r="AD238" s="486">
        <f t="shared" si="110"/>
        <v>6</v>
      </c>
      <c r="AE238" s="487">
        <f t="shared" si="110"/>
        <v>6</v>
      </c>
      <c r="AF238" s="486">
        <f t="shared" si="110"/>
        <v>7</v>
      </c>
      <c r="AG238" s="486">
        <f t="shared" si="110"/>
        <v>7</v>
      </c>
      <c r="AH238" s="486">
        <f t="shared" si="110"/>
        <v>7</v>
      </c>
      <c r="AI238" s="487">
        <f t="shared" si="110"/>
        <v>7</v>
      </c>
      <c r="AJ238" s="486">
        <f t="shared" si="110"/>
        <v>8</v>
      </c>
      <c r="AK238" s="486">
        <f t="shared" si="110"/>
        <v>8</v>
      </c>
      <c r="AL238" s="486">
        <f t="shared" si="110"/>
        <v>8</v>
      </c>
      <c r="AM238" s="487">
        <f t="shared" si="110"/>
        <v>8</v>
      </c>
      <c r="AN238" s="486">
        <f t="shared" si="110"/>
        <v>9</v>
      </c>
      <c r="AO238" s="486">
        <f t="shared" si="110"/>
        <v>9</v>
      </c>
      <c r="AP238" s="486">
        <f t="shared" si="110"/>
        <v>9</v>
      </c>
      <c r="AQ238" s="487">
        <f t="shared" si="110"/>
        <v>9</v>
      </c>
      <c r="AR238" s="486">
        <f t="shared" si="110"/>
        <v>10</v>
      </c>
      <c r="AS238" s="486">
        <f t="shared" si="110"/>
        <v>10</v>
      </c>
      <c r="AT238" s="486">
        <f t="shared" si="110"/>
        <v>10</v>
      </c>
      <c r="AU238" s="487">
        <f t="shared" si="110"/>
        <v>10</v>
      </c>
      <c r="AV238" s="183"/>
      <c r="AW238" s="183"/>
      <c r="AX238" s="474"/>
      <c r="AY238" s="393"/>
    </row>
    <row r="239" spans="1:51" ht="15.75" customHeight="1" x14ac:dyDescent="0.2">
      <c r="C239" s="488"/>
      <c r="G239" s="489"/>
      <c r="K239" s="489"/>
      <c r="O239" s="489"/>
      <c r="S239" s="489"/>
      <c r="W239" s="489"/>
      <c r="AA239" s="489"/>
      <c r="AE239" s="489"/>
      <c r="AI239" s="489"/>
      <c r="AM239" s="489"/>
      <c r="AQ239" s="489"/>
      <c r="AU239" s="489"/>
      <c r="AV239" s="6"/>
      <c r="AW239" s="6"/>
      <c r="AX239" s="6"/>
      <c r="AY239" s="6"/>
    </row>
    <row r="240" spans="1:51" ht="15.75" customHeight="1" x14ac:dyDescent="0.2">
      <c r="AV240" s="6"/>
      <c r="AW240" s="6"/>
      <c r="AX240" s="6"/>
      <c r="AY240" s="6"/>
    </row>
    <row r="241" spans="48:51" ht="15.75" customHeight="1" x14ac:dyDescent="0.2">
      <c r="AV241" s="6"/>
      <c r="AW241" s="6"/>
      <c r="AX241" s="6"/>
      <c r="AY241" s="6"/>
    </row>
    <row r="242" spans="48:51" ht="15.75" customHeight="1" x14ac:dyDescent="0.2">
      <c r="AV242" s="6"/>
      <c r="AW242" s="6"/>
      <c r="AX242" s="6"/>
      <c r="AY242" s="6"/>
    </row>
    <row r="243" spans="48:51" ht="15.75" customHeight="1" x14ac:dyDescent="0.2">
      <c r="AV243" s="6"/>
      <c r="AW243" s="6"/>
      <c r="AX243" s="6"/>
      <c r="AY243" s="6"/>
    </row>
    <row r="244" spans="48:51" ht="15.75" customHeight="1" x14ac:dyDescent="0.2">
      <c r="AV244" s="6"/>
      <c r="AW244" s="6"/>
      <c r="AX244" s="6"/>
      <c r="AY244" s="6"/>
    </row>
    <row r="245" spans="48:51" ht="15.75" customHeight="1" x14ac:dyDescent="0.2">
      <c r="AV245" s="6"/>
      <c r="AW245" s="6"/>
      <c r="AX245" s="6"/>
      <c r="AY245" s="6"/>
    </row>
    <row r="246" spans="48:51" ht="15.75" customHeight="1" x14ac:dyDescent="0.2">
      <c r="AV246" s="6"/>
      <c r="AW246" s="6"/>
      <c r="AX246" s="6"/>
      <c r="AY246" s="6"/>
    </row>
    <row r="247" spans="48:51" ht="15.75" customHeight="1" x14ac:dyDescent="0.2">
      <c r="AV247" s="6"/>
      <c r="AW247" s="6"/>
      <c r="AX247" s="6"/>
      <c r="AY247" s="6"/>
    </row>
    <row r="248" spans="48:51" ht="15.75" customHeight="1" x14ac:dyDescent="0.2">
      <c r="AV248" s="6"/>
      <c r="AW248" s="6"/>
      <c r="AX248" s="6"/>
      <c r="AY248" s="6"/>
    </row>
    <row r="249" spans="48:51" ht="15.75" customHeight="1" x14ac:dyDescent="0.2">
      <c r="AV249" s="6"/>
      <c r="AW249" s="6"/>
      <c r="AX249" s="6"/>
      <c r="AY249" s="6"/>
    </row>
    <row r="250" spans="48:51" ht="15.75" customHeight="1" x14ac:dyDescent="0.2">
      <c r="AV250" s="6"/>
      <c r="AW250" s="6"/>
      <c r="AX250" s="6"/>
      <c r="AY250" s="6"/>
    </row>
    <row r="251" spans="48:51" ht="15.75" customHeight="1" x14ac:dyDescent="0.2">
      <c r="AV251" s="6"/>
      <c r="AW251" s="6"/>
      <c r="AX251" s="6"/>
      <c r="AY251" s="6"/>
    </row>
    <row r="252" spans="48:51" ht="15.75" customHeight="1" x14ac:dyDescent="0.2">
      <c r="AV252" s="6"/>
      <c r="AW252" s="6"/>
      <c r="AX252" s="6"/>
      <c r="AY252" s="6"/>
    </row>
    <row r="253" spans="48:51" ht="15.75" customHeight="1" x14ac:dyDescent="0.2">
      <c r="AV253" s="6"/>
      <c r="AW253" s="6"/>
      <c r="AX253" s="6"/>
      <c r="AY253" s="6"/>
    </row>
    <row r="254" spans="48:51" ht="15.75" customHeight="1" x14ac:dyDescent="0.2">
      <c r="AV254" s="6"/>
      <c r="AW254" s="6"/>
      <c r="AX254" s="6"/>
      <c r="AY254" s="6"/>
    </row>
    <row r="255" spans="48:51" ht="15.75" customHeight="1" x14ac:dyDescent="0.2">
      <c r="AV255" s="6"/>
      <c r="AW255" s="6"/>
      <c r="AX255" s="6"/>
      <c r="AY255" s="6"/>
    </row>
    <row r="256" spans="48:51" ht="15.75" customHeight="1" x14ac:dyDescent="0.2">
      <c r="AV256" s="6"/>
      <c r="AW256" s="6"/>
      <c r="AX256" s="6"/>
      <c r="AY256" s="6"/>
    </row>
    <row r="257" spans="48:51" ht="15.75" customHeight="1" x14ac:dyDescent="0.2">
      <c r="AV257" s="6"/>
      <c r="AW257" s="6"/>
      <c r="AX257" s="6"/>
      <c r="AY257" s="6"/>
    </row>
    <row r="258" spans="48:51" ht="15.75" customHeight="1" x14ac:dyDescent="0.2">
      <c r="AV258" s="6"/>
      <c r="AW258" s="6"/>
      <c r="AX258" s="6"/>
      <c r="AY258" s="6"/>
    </row>
    <row r="259" spans="48:51" ht="15.75" customHeight="1" x14ac:dyDescent="0.2">
      <c r="AV259" s="6"/>
      <c r="AW259" s="6"/>
      <c r="AX259" s="6"/>
      <c r="AY259" s="6"/>
    </row>
    <row r="260" spans="48:51" ht="15.75" customHeight="1" x14ac:dyDescent="0.2">
      <c r="AV260" s="6"/>
      <c r="AW260" s="6"/>
      <c r="AX260" s="6"/>
      <c r="AY260" s="6"/>
    </row>
    <row r="261" spans="48:51" ht="15.75" customHeight="1" x14ac:dyDescent="0.2">
      <c r="AV261" s="6"/>
      <c r="AW261" s="6"/>
      <c r="AX261" s="6"/>
      <c r="AY261" s="6"/>
    </row>
    <row r="262" spans="48:51" ht="15.75" customHeight="1" x14ac:dyDescent="0.2">
      <c r="AV262" s="6"/>
      <c r="AW262" s="6"/>
      <c r="AX262" s="6"/>
      <c r="AY262" s="6"/>
    </row>
    <row r="263" spans="48:51" ht="15.75" customHeight="1" x14ac:dyDescent="0.2">
      <c r="AV263" s="6"/>
      <c r="AW263" s="6"/>
      <c r="AX263" s="6"/>
      <c r="AY263" s="6"/>
    </row>
    <row r="264" spans="48:51" ht="15.75" customHeight="1" x14ac:dyDescent="0.2">
      <c r="AV264" s="6"/>
      <c r="AW264" s="6"/>
      <c r="AX264" s="6"/>
      <c r="AY264" s="6"/>
    </row>
    <row r="265" spans="48:51" ht="15.75" customHeight="1" x14ac:dyDescent="0.2">
      <c r="AV265" s="6"/>
      <c r="AW265" s="6"/>
      <c r="AX265" s="6"/>
      <c r="AY265" s="6"/>
    </row>
    <row r="266" spans="48:51" ht="15.75" customHeight="1" x14ac:dyDescent="0.2">
      <c r="AV266" s="6"/>
      <c r="AW266" s="6"/>
      <c r="AX266" s="6"/>
      <c r="AY266" s="6"/>
    </row>
    <row r="267" spans="48:51" ht="15.75" customHeight="1" x14ac:dyDescent="0.2">
      <c r="AV267" s="6"/>
      <c r="AW267" s="6"/>
      <c r="AX267" s="6"/>
      <c r="AY267" s="6"/>
    </row>
    <row r="268" spans="48:51" ht="15.75" customHeight="1" x14ac:dyDescent="0.2">
      <c r="AV268" s="6"/>
      <c r="AW268" s="6"/>
      <c r="AX268" s="6"/>
      <c r="AY268" s="6"/>
    </row>
    <row r="269" spans="48:51" ht="15.75" customHeight="1" x14ac:dyDescent="0.2">
      <c r="AV269" s="6"/>
      <c r="AW269" s="6"/>
      <c r="AX269" s="6"/>
      <c r="AY269" s="6"/>
    </row>
    <row r="270" spans="48:51" ht="15.75" customHeight="1" x14ac:dyDescent="0.2">
      <c r="AV270" s="6"/>
      <c r="AW270" s="6"/>
      <c r="AX270" s="6"/>
      <c r="AY270" s="6"/>
    </row>
    <row r="271" spans="48:51" ht="15.75" customHeight="1" x14ac:dyDescent="0.2">
      <c r="AV271" s="6"/>
      <c r="AW271" s="6"/>
      <c r="AX271" s="6"/>
      <c r="AY271" s="6"/>
    </row>
    <row r="272" spans="48:51" ht="15.75" customHeight="1" x14ac:dyDescent="0.2">
      <c r="AV272" s="6"/>
      <c r="AW272" s="6"/>
      <c r="AX272" s="6"/>
      <c r="AY272" s="6"/>
    </row>
    <row r="273" spans="48:51" ht="15.75" customHeight="1" x14ac:dyDescent="0.2">
      <c r="AV273" s="6"/>
      <c r="AW273" s="6"/>
      <c r="AX273" s="6"/>
      <c r="AY273" s="6"/>
    </row>
    <row r="274" spans="48:51" ht="15.75" customHeight="1" x14ac:dyDescent="0.2">
      <c r="AV274" s="6"/>
      <c r="AW274" s="6"/>
      <c r="AX274" s="6"/>
      <c r="AY274" s="6"/>
    </row>
    <row r="275" spans="48:51" ht="15.75" customHeight="1" x14ac:dyDescent="0.2">
      <c r="AV275" s="6"/>
      <c r="AW275" s="6"/>
      <c r="AX275" s="6"/>
      <c r="AY275" s="6"/>
    </row>
    <row r="276" spans="48:51" ht="15.75" customHeight="1" x14ac:dyDescent="0.2">
      <c r="AV276" s="6"/>
      <c r="AW276" s="6"/>
      <c r="AX276" s="6"/>
      <c r="AY276" s="6"/>
    </row>
    <row r="277" spans="48:51" ht="15.75" customHeight="1" x14ac:dyDescent="0.2">
      <c r="AV277" s="6"/>
      <c r="AW277" s="6"/>
      <c r="AX277" s="6"/>
      <c r="AY277" s="6"/>
    </row>
    <row r="278" spans="48:51" ht="15.75" customHeight="1" x14ac:dyDescent="0.2">
      <c r="AV278" s="6"/>
      <c r="AW278" s="6"/>
      <c r="AX278" s="6"/>
      <c r="AY278" s="6"/>
    </row>
    <row r="279" spans="48:51" ht="15.75" customHeight="1" x14ac:dyDescent="0.2">
      <c r="AV279" s="6"/>
      <c r="AW279" s="6"/>
      <c r="AX279" s="6"/>
      <c r="AY279" s="6"/>
    </row>
    <row r="280" spans="48:51" ht="15.75" customHeight="1" x14ac:dyDescent="0.2">
      <c r="AV280" s="6"/>
      <c r="AW280" s="6"/>
      <c r="AX280" s="6"/>
      <c r="AY280" s="6"/>
    </row>
    <row r="281" spans="48:51" ht="15.75" customHeight="1" x14ac:dyDescent="0.2">
      <c r="AV281" s="6"/>
      <c r="AW281" s="6"/>
      <c r="AX281" s="6"/>
      <c r="AY281" s="6"/>
    </row>
    <row r="282" spans="48:51" ht="15.75" customHeight="1" x14ac:dyDescent="0.2">
      <c r="AV282" s="6"/>
      <c r="AW282" s="6"/>
      <c r="AX282" s="6"/>
      <c r="AY282" s="6"/>
    </row>
    <row r="283" spans="48:51" ht="15.75" customHeight="1" x14ac:dyDescent="0.2">
      <c r="AV283" s="6"/>
      <c r="AW283" s="6"/>
      <c r="AX283" s="6"/>
      <c r="AY283" s="6"/>
    </row>
    <row r="284" spans="48:51" ht="15.75" customHeight="1" x14ac:dyDescent="0.2">
      <c r="AV284" s="6"/>
      <c r="AW284" s="6"/>
      <c r="AX284" s="6"/>
      <c r="AY284" s="6"/>
    </row>
    <row r="285" spans="48:51" ht="15.75" customHeight="1" x14ac:dyDescent="0.2">
      <c r="AV285" s="6"/>
      <c r="AW285" s="6"/>
      <c r="AX285" s="6"/>
      <c r="AY285" s="6"/>
    </row>
    <row r="286" spans="48:51" ht="15.75" customHeight="1" x14ac:dyDescent="0.2">
      <c r="AV286" s="6"/>
      <c r="AW286" s="6"/>
      <c r="AX286" s="6"/>
      <c r="AY286" s="6"/>
    </row>
    <row r="287" spans="48:51" ht="15.75" customHeight="1" x14ac:dyDescent="0.2">
      <c r="AV287" s="6"/>
      <c r="AW287" s="6"/>
      <c r="AX287" s="6"/>
      <c r="AY287" s="6"/>
    </row>
    <row r="288" spans="48:51" ht="15.75" customHeight="1" x14ac:dyDescent="0.2">
      <c r="AV288" s="6"/>
      <c r="AW288" s="6"/>
      <c r="AX288" s="6"/>
      <c r="AY288" s="6"/>
    </row>
    <row r="289" spans="48:51" ht="15.75" customHeight="1" x14ac:dyDescent="0.2">
      <c r="AV289" s="6"/>
      <c r="AW289" s="6"/>
      <c r="AX289" s="6"/>
      <c r="AY289" s="6"/>
    </row>
    <row r="290" spans="48:51" ht="15.75" customHeight="1" x14ac:dyDescent="0.2">
      <c r="AV290" s="6"/>
      <c r="AW290" s="6"/>
      <c r="AX290" s="6"/>
      <c r="AY290" s="6"/>
    </row>
    <row r="291" spans="48:51" ht="15.75" customHeight="1" x14ac:dyDescent="0.2">
      <c r="AV291" s="6"/>
      <c r="AW291" s="6"/>
      <c r="AX291" s="6"/>
      <c r="AY291" s="6"/>
    </row>
    <row r="292" spans="48:51" ht="15.75" customHeight="1" x14ac:dyDescent="0.2">
      <c r="AV292" s="6"/>
      <c r="AW292" s="6"/>
      <c r="AX292" s="6"/>
      <c r="AY292" s="6"/>
    </row>
    <row r="293" spans="48:51" ht="15.75" customHeight="1" x14ac:dyDescent="0.2">
      <c r="AV293" s="6"/>
      <c r="AW293" s="6"/>
      <c r="AX293" s="6"/>
      <c r="AY293" s="6"/>
    </row>
    <row r="294" spans="48:51" ht="15.75" customHeight="1" x14ac:dyDescent="0.2">
      <c r="AV294" s="6"/>
      <c r="AW294" s="6"/>
      <c r="AX294" s="6"/>
      <c r="AY294" s="6"/>
    </row>
    <row r="295" spans="48:51" ht="15.75" customHeight="1" x14ac:dyDescent="0.2">
      <c r="AV295" s="6"/>
      <c r="AW295" s="6"/>
      <c r="AX295" s="6"/>
      <c r="AY295" s="6"/>
    </row>
    <row r="296" spans="48:51" ht="15.75" customHeight="1" x14ac:dyDescent="0.2">
      <c r="AV296" s="6"/>
      <c r="AW296" s="6"/>
      <c r="AX296" s="6"/>
      <c r="AY296" s="6"/>
    </row>
    <row r="297" spans="48:51" ht="15.75" customHeight="1" x14ac:dyDescent="0.2">
      <c r="AV297" s="6"/>
      <c r="AW297" s="6"/>
      <c r="AX297" s="6"/>
      <c r="AY297" s="6"/>
    </row>
    <row r="298" spans="48:51" ht="15.75" customHeight="1" x14ac:dyDescent="0.2">
      <c r="AV298" s="6"/>
      <c r="AW298" s="6"/>
      <c r="AX298" s="6"/>
      <c r="AY298" s="6"/>
    </row>
    <row r="299" spans="48:51" ht="15.75" customHeight="1" x14ac:dyDescent="0.2">
      <c r="AV299" s="6"/>
      <c r="AW299" s="6"/>
      <c r="AX299" s="6"/>
      <c r="AY299" s="6"/>
    </row>
    <row r="300" spans="48:51" ht="15.75" customHeight="1" x14ac:dyDescent="0.2">
      <c r="AV300" s="6"/>
      <c r="AW300" s="6"/>
      <c r="AX300" s="6"/>
      <c r="AY300" s="6"/>
    </row>
    <row r="301" spans="48:51" ht="15.75" customHeight="1" x14ac:dyDescent="0.2">
      <c r="AV301" s="6"/>
      <c r="AW301" s="6"/>
      <c r="AX301" s="6"/>
      <c r="AY301" s="6"/>
    </row>
    <row r="302" spans="48:51" ht="15.75" customHeight="1" x14ac:dyDescent="0.2">
      <c r="AV302" s="6"/>
      <c r="AW302" s="6"/>
      <c r="AX302" s="6"/>
      <c r="AY302" s="6"/>
    </row>
    <row r="303" spans="48:51" ht="15.75" customHeight="1" x14ac:dyDescent="0.2">
      <c r="AV303" s="6"/>
      <c r="AW303" s="6"/>
      <c r="AX303" s="6"/>
      <c r="AY303" s="6"/>
    </row>
    <row r="304" spans="48:51" ht="15.75" customHeight="1" x14ac:dyDescent="0.2">
      <c r="AV304" s="6"/>
      <c r="AW304" s="6"/>
      <c r="AX304" s="6"/>
      <c r="AY304" s="6"/>
    </row>
    <row r="305" spans="48:51" ht="15.75" customHeight="1" x14ac:dyDescent="0.2">
      <c r="AV305" s="6"/>
      <c r="AW305" s="6"/>
      <c r="AX305" s="6"/>
      <c r="AY305" s="6"/>
    </row>
    <row r="306" spans="48:51" ht="15.75" customHeight="1" x14ac:dyDescent="0.2">
      <c r="AV306" s="6"/>
      <c r="AW306" s="6"/>
      <c r="AX306" s="6"/>
      <c r="AY306" s="6"/>
    </row>
    <row r="307" spans="48:51" ht="15.75" customHeight="1" x14ac:dyDescent="0.2">
      <c r="AV307" s="6"/>
      <c r="AW307" s="6"/>
      <c r="AX307" s="6"/>
      <c r="AY307" s="6"/>
    </row>
    <row r="308" spans="48:51" ht="15.75" customHeight="1" x14ac:dyDescent="0.2">
      <c r="AV308" s="6"/>
      <c r="AW308" s="6"/>
      <c r="AX308" s="6"/>
      <c r="AY308" s="6"/>
    </row>
    <row r="309" spans="48:51" ht="15.75" customHeight="1" x14ac:dyDescent="0.2">
      <c r="AV309" s="6"/>
      <c r="AW309" s="6"/>
      <c r="AX309" s="6"/>
      <c r="AY309" s="6"/>
    </row>
    <row r="310" spans="48:51" ht="15.75" customHeight="1" x14ac:dyDescent="0.2">
      <c r="AV310" s="6"/>
      <c r="AW310" s="6"/>
      <c r="AX310" s="6"/>
      <c r="AY310" s="6"/>
    </row>
    <row r="311" spans="48:51" ht="15.75" customHeight="1" x14ac:dyDescent="0.2">
      <c r="AV311" s="6"/>
      <c r="AW311" s="6"/>
      <c r="AX311" s="6"/>
      <c r="AY311" s="6"/>
    </row>
    <row r="312" spans="48:51" ht="15.75" customHeight="1" x14ac:dyDescent="0.2">
      <c r="AV312" s="6"/>
      <c r="AW312" s="6"/>
      <c r="AX312" s="6"/>
      <c r="AY312" s="6"/>
    </row>
    <row r="313" spans="48:51" ht="15.75" customHeight="1" x14ac:dyDescent="0.2">
      <c r="AV313" s="6"/>
      <c r="AW313" s="6"/>
      <c r="AX313" s="6"/>
      <c r="AY313" s="6"/>
    </row>
    <row r="314" spans="48:51" ht="15.75" customHeight="1" x14ac:dyDescent="0.2">
      <c r="AV314" s="6"/>
      <c r="AW314" s="6"/>
      <c r="AX314" s="6"/>
      <c r="AY314" s="6"/>
    </row>
    <row r="315" spans="48:51" ht="15.75" customHeight="1" x14ac:dyDescent="0.2">
      <c r="AV315" s="6"/>
      <c r="AW315" s="6"/>
      <c r="AX315" s="6"/>
      <c r="AY315" s="6"/>
    </row>
    <row r="316" spans="48:51" ht="15.75" customHeight="1" x14ac:dyDescent="0.2">
      <c r="AV316" s="6"/>
      <c r="AW316" s="6"/>
      <c r="AX316" s="6"/>
      <c r="AY316" s="6"/>
    </row>
    <row r="317" spans="48:51" ht="15.75" customHeight="1" x14ac:dyDescent="0.2">
      <c r="AV317" s="6"/>
      <c r="AW317" s="6"/>
      <c r="AX317" s="6"/>
      <c r="AY317" s="6"/>
    </row>
    <row r="318" spans="48:51" ht="15.75" customHeight="1" x14ac:dyDescent="0.2">
      <c r="AV318" s="6"/>
      <c r="AW318" s="6"/>
      <c r="AX318" s="6"/>
      <c r="AY318" s="6"/>
    </row>
    <row r="319" spans="48:51" ht="15.75" customHeight="1" x14ac:dyDescent="0.2">
      <c r="AV319" s="6"/>
      <c r="AW319" s="6"/>
      <c r="AX319" s="6"/>
      <c r="AY319" s="6"/>
    </row>
    <row r="320" spans="48:51" ht="15.75" customHeight="1" x14ac:dyDescent="0.2">
      <c r="AV320" s="6"/>
      <c r="AW320" s="6"/>
      <c r="AX320" s="6"/>
      <c r="AY320" s="6"/>
    </row>
    <row r="321" spans="48:51" ht="15.75" customHeight="1" x14ac:dyDescent="0.2">
      <c r="AV321" s="6"/>
      <c r="AW321" s="6"/>
      <c r="AX321" s="6"/>
      <c r="AY321" s="6"/>
    </row>
    <row r="322" spans="48:51" ht="15.75" customHeight="1" x14ac:dyDescent="0.2">
      <c r="AV322" s="6"/>
      <c r="AW322" s="6"/>
      <c r="AX322" s="6"/>
      <c r="AY322" s="6"/>
    </row>
    <row r="323" spans="48:51" ht="15.75" customHeight="1" x14ac:dyDescent="0.2">
      <c r="AV323" s="6"/>
      <c r="AW323" s="6"/>
      <c r="AX323" s="6"/>
      <c r="AY323" s="6"/>
    </row>
    <row r="324" spans="48:51" ht="15.75" customHeight="1" x14ac:dyDescent="0.2">
      <c r="AV324" s="6"/>
      <c r="AW324" s="6"/>
      <c r="AX324" s="6"/>
      <c r="AY324" s="6"/>
    </row>
    <row r="325" spans="48:51" ht="15.75" customHeight="1" x14ac:dyDescent="0.2">
      <c r="AV325" s="6"/>
      <c r="AW325" s="6"/>
      <c r="AX325" s="6"/>
      <c r="AY325" s="6"/>
    </row>
    <row r="326" spans="48:51" ht="15.75" customHeight="1" x14ac:dyDescent="0.2">
      <c r="AV326" s="6"/>
      <c r="AW326" s="6"/>
      <c r="AX326" s="6"/>
      <c r="AY326" s="6"/>
    </row>
    <row r="327" spans="48:51" ht="15.75" customHeight="1" x14ac:dyDescent="0.2">
      <c r="AV327" s="6"/>
      <c r="AW327" s="6"/>
      <c r="AX327" s="6"/>
      <c r="AY327" s="6"/>
    </row>
    <row r="328" spans="48:51" ht="15.75" customHeight="1" x14ac:dyDescent="0.2">
      <c r="AV328" s="6"/>
      <c r="AW328" s="6"/>
      <c r="AX328" s="6"/>
      <c r="AY328" s="6"/>
    </row>
    <row r="329" spans="48:51" ht="15.75" customHeight="1" x14ac:dyDescent="0.2">
      <c r="AV329" s="6"/>
      <c r="AW329" s="6"/>
      <c r="AX329" s="6"/>
      <c r="AY329" s="6"/>
    </row>
    <row r="330" spans="48:51" ht="15.75" customHeight="1" x14ac:dyDescent="0.2">
      <c r="AV330" s="6"/>
      <c r="AW330" s="6"/>
      <c r="AX330" s="6"/>
      <c r="AY330" s="6"/>
    </row>
    <row r="331" spans="48:51" ht="15.75" customHeight="1" x14ac:dyDescent="0.2">
      <c r="AV331" s="6"/>
      <c r="AW331" s="6"/>
      <c r="AX331" s="6"/>
      <c r="AY331" s="6"/>
    </row>
    <row r="332" spans="48:51" ht="15.75" customHeight="1" x14ac:dyDescent="0.2">
      <c r="AV332" s="6"/>
      <c r="AW332" s="6"/>
      <c r="AX332" s="6"/>
      <c r="AY332" s="6"/>
    </row>
    <row r="333" spans="48:51" ht="15.75" customHeight="1" x14ac:dyDescent="0.2">
      <c r="AV333" s="6"/>
      <c r="AW333" s="6"/>
      <c r="AX333" s="6"/>
      <c r="AY333" s="6"/>
    </row>
    <row r="334" spans="48:51" ht="15.75" customHeight="1" x14ac:dyDescent="0.2">
      <c r="AV334" s="6"/>
      <c r="AW334" s="6"/>
      <c r="AX334" s="6"/>
      <c r="AY334" s="6"/>
    </row>
    <row r="335" spans="48:51" ht="15.75" customHeight="1" x14ac:dyDescent="0.2">
      <c r="AV335" s="6"/>
      <c r="AW335" s="6"/>
      <c r="AX335" s="6"/>
      <c r="AY335" s="6"/>
    </row>
    <row r="336" spans="48:51" ht="15.75" customHeight="1" x14ac:dyDescent="0.2">
      <c r="AV336" s="6"/>
      <c r="AW336" s="6"/>
      <c r="AX336" s="6"/>
      <c r="AY336" s="6"/>
    </row>
    <row r="337" spans="48:51" ht="15.75" customHeight="1" x14ac:dyDescent="0.2">
      <c r="AV337" s="6"/>
      <c r="AW337" s="6"/>
      <c r="AX337" s="6"/>
      <c r="AY337" s="6"/>
    </row>
    <row r="338" spans="48:51" ht="15.75" customHeight="1" x14ac:dyDescent="0.2">
      <c r="AV338" s="6"/>
      <c r="AW338" s="6"/>
      <c r="AX338" s="6"/>
      <c r="AY338" s="6"/>
    </row>
    <row r="339" spans="48:51" ht="15.75" customHeight="1" x14ac:dyDescent="0.2">
      <c r="AV339" s="6"/>
      <c r="AW339" s="6"/>
      <c r="AX339" s="6"/>
      <c r="AY339" s="6"/>
    </row>
    <row r="340" spans="48:51" ht="15.75" customHeight="1" x14ac:dyDescent="0.2">
      <c r="AV340" s="6"/>
      <c r="AW340" s="6"/>
      <c r="AX340" s="6"/>
      <c r="AY340" s="6"/>
    </row>
    <row r="341" spans="48:51" ht="15.75" customHeight="1" x14ac:dyDescent="0.2">
      <c r="AV341" s="6"/>
      <c r="AW341" s="6"/>
      <c r="AX341" s="6"/>
      <c r="AY341" s="6"/>
    </row>
    <row r="342" spans="48:51" ht="15.75" customHeight="1" x14ac:dyDescent="0.2">
      <c r="AV342" s="6"/>
      <c r="AW342" s="6"/>
      <c r="AX342" s="6"/>
      <c r="AY342" s="6"/>
    </row>
    <row r="343" spans="48:51" ht="15.75" customHeight="1" x14ac:dyDescent="0.2">
      <c r="AV343" s="6"/>
      <c r="AW343" s="6"/>
      <c r="AX343" s="6"/>
      <c r="AY343" s="6"/>
    </row>
    <row r="344" spans="48:51" ht="15.75" customHeight="1" x14ac:dyDescent="0.2">
      <c r="AV344" s="6"/>
      <c r="AW344" s="6"/>
      <c r="AX344" s="6"/>
      <c r="AY344" s="6"/>
    </row>
    <row r="345" spans="48:51" ht="15.75" customHeight="1" x14ac:dyDescent="0.2">
      <c r="AV345" s="6"/>
      <c r="AW345" s="6"/>
      <c r="AX345" s="6"/>
      <c r="AY345" s="6"/>
    </row>
    <row r="346" spans="48:51" ht="15.75" customHeight="1" x14ac:dyDescent="0.2">
      <c r="AV346" s="6"/>
      <c r="AW346" s="6"/>
      <c r="AX346" s="6"/>
      <c r="AY346" s="6"/>
    </row>
    <row r="347" spans="48:51" ht="15.75" customHeight="1" x14ac:dyDescent="0.2">
      <c r="AV347" s="6"/>
      <c r="AW347" s="6"/>
      <c r="AX347" s="6"/>
      <c r="AY347" s="6"/>
    </row>
    <row r="348" spans="48:51" ht="15.75" customHeight="1" x14ac:dyDescent="0.2">
      <c r="AV348" s="6"/>
      <c r="AW348" s="6"/>
      <c r="AX348" s="6"/>
      <c r="AY348" s="6"/>
    </row>
    <row r="349" spans="48:51" ht="15.75" customHeight="1" x14ac:dyDescent="0.2">
      <c r="AV349" s="6"/>
      <c r="AW349" s="6"/>
      <c r="AX349" s="6"/>
      <c r="AY349" s="6"/>
    </row>
    <row r="350" spans="48:51" ht="15.75" customHeight="1" x14ac:dyDescent="0.2">
      <c r="AV350" s="6"/>
      <c r="AW350" s="6"/>
      <c r="AX350" s="6"/>
      <c r="AY350" s="6"/>
    </row>
    <row r="351" spans="48:51" ht="15.75" customHeight="1" x14ac:dyDescent="0.2">
      <c r="AV351" s="6"/>
      <c r="AW351" s="6"/>
      <c r="AX351" s="6"/>
      <c r="AY351" s="6"/>
    </row>
    <row r="352" spans="48:51" ht="15.75" customHeight="1" x14ac:dyDescent="0.2">
      <c r="AV352" s="6"/>
      <c r="AW352" s="6"/>
      <c r="AX352" s="6"/>
      <c r="AY352" s="6"/>
    </row>
    <row r="353" spans="48:51" ht="15.75" customHeight="1" x14ac:dyDescent="0.2">
      <c r="AV353" s="6"/>
      <c r="AW353" s="6"/>
      <c r="AX353" s="6"/>
      <c r="AY353" s="6"/>
    </row>
    <row r="354" spans="48:51" ht="15.75" customHeight="1" x14ac:dyDescent="0.2">
      <c r="AV354" s="6"/>
      <c r="AW354" s="6"/>
      <c r="AX354" s="6"/>
      <c r="AY354" s="6"/>
    </row>
    <row r="355" spans="48:51" ht="15.75" customHeight="1" x14ac:dyDescent="0.2">
      <c r="AV355" s="6"/>
      <c r="AW355" s="6"/>
      <c r="AX355" s="6"/>
      <c r="AY355" s="6"/>
    </row>
    <row r="356" spans="48:51" ht="15.75" customHeight="1" x14ac:dyDescent="0.2">
      <c r="AV356" s="6"/>
      <c r="AW356" s="6"/>
      <c r="AX356" s="6"/>
      <c r="AY356" s="6"/>
    </row>
    <row r="357" spans="48:51" ht="15.75" customHeight="1" x14ac:dyDescent="0.2">
      <c r="AV357" s="6"/>
      <c r="AW357" s="6"/>
      <c r="AX357" s="6"/>
      <c r="AY357" s="6"/>
    </row>
    <row r="358" spans="48:51" ht="15.75" customHeight="1" x14ac:dyDescent="0.2">
      <c r="AV358" s="6"/>
      <c r="AW358" s="6"/>
      <c r="AX358" s="6"/>
      <c r="AY358" s="6"/>
    </row>
    <row r="359" spans="48:51" ht="15.75" customHeight="1" x14ac:dyDescent="0.2">
      <c r="AV359" s="6"/>
      <c r="AW359" s="6"/>
      <c r="AX359" s="6"/>
      <c r="AY359" s="6"/>
    </row>
    <row r="360" spans="48:51" ht="15.75" customHeight="1" x14ac:dyDescent="0.2">
      <c r="AV360" s="6"/>
      <c r="AW360" s="6"/>
      <c r="AX360" s="6"/>
      <c r="AY360" s="6"/>
    </row>
    <row r="361" spans="48:51" ht="15.75" customHeight="1" x14ac:dyDescent="0.2">
      <c r="AV361" s="6"/>
      <c r="AW361" s="6"/>
      <c r="AX361" s="6"/>
      <c r="AY361" s="6"/>
    </row>
    <row r="362" spans="48:51" ht="15.75" customHeight="1" x14ac:dyDescent="0.2">
      <c r="AV362" s="6"/>
      <c r="AW362" s="6"/>
      <c r="AX362" s="6"/>
      <c r="AY362" s="6"/>
    </row>
    <row r="363" spans="48:51" ht="15.75" customHeight="1" x14ac:dyDescent="0.2">
      <c r="AV363" s="6"/>
      <c r="AW363" s="6"/>
      <c r="AX363" s="6"/>
      <c r="AY363" s="6"/>
    </row>
    <row r="364" spans="48:51" ht="15.75" customHeight="1" x14ac:dyDescent="0.2">
      <c r="AV364" s="6"/>
      <c r="AW364" s="6"/>
      <c r="AX364" s="6"/>
      <c r="AY364" s="6"/>
    </row>
    <row r="365" spans="48:51" ht="15.75" customHeight="1" x14ac:dyDescent="0.2">
      <c r="AV365" s="6"/>
      <c r="AW365" s="6"/>
      <c r="AX365" s="6"/>
      <c r="AY365" s="6"/>
    </row>
    <row r="366" spans="48:51" ht="15.75" customHeight="1" x14ac:dyDescent="0.2">
      <c r="AV366" s="6"/>
      <c r="AW366" s="6"/>
      <c r="AX366" s="6"/>
      <c r="AY366" s="6"/>
    </row>
    <row r="367" spans="48:51" ht="15.75" customHeight="1" x14ac:dyDescent="0.2">
      <c r="AV367" s="6"/>
      <c r="AW367" s="6"/>
      <c r="AX367" s="6"/>
      <c r="AY367" s="6"/>
    </row>
    <row r="368" spans="48:51" ht="15.75" customHeight="1" x14ac:dyDescent="0.2">
      <c r="AV368" s="6"/>
      <c r="AW368" s="6"/>
      <c r="AX368" s="6"/>
      <c r="AY368" s="6"/>
    </row>
    <row r="369" spans="48:51" ht="15.75" customHeight="1" x14ac:dyDescent="0.2">
      <c r="AV369" s="6"/>
      <c r="AW369" s="6"/>
      <c r="AX369" s="6"/>
      <c r="AY369" s="6"/>
    </row>
    <row r="370" spans="48:51" ht="15.75" customHeight="1" x14ac:dyDescent="0.2">
      <c r="AV370" s="6"/>
      <c r="AW370" s="6"/>
      <c r="AX370" s="6"/>
      <c r="AY370" s="6"/>
    </row>
    <row r="371" spans="48:51" ht="15.75" customHeight="1" x14ac:dyDescent="0.2">
      <c r="AV371" s="6"/>
      <c r="AW371" s="6"/>
      <c r="AX371" s="6"/>
      <c r="AY371" s="6"/>
    </row>
    <row r="372" spans="48:51" ht="15.75" customHeight="1" x14ac:dyDescent="0.2">
      <c r="AV372" s="6"/>
      <c r="AW372" s="6"/>
      <c r="AX372" s="6"/>
      <c r="AY372" s="6"/>
    </row>
    <row r="373" spans="48:51" ht="15.75" customHeight="1" x14ac:dyDescent="0.2">
      <c r="AV373" s="6"/>
      <c r="AW373" s="6"/>
      <c r="AX373" s="6"/>
      <c r="AY373" s="6"/>
    </row>
    <row r="374" spans="48:51" ht="15.75" customHeight="1" x14ac:dyDescent="0.2">
      <c r="AV374" s="6"/>
      <c r="AW374" s="6"/>
      <c r="AX374" s="6"/>
      <c r="AY374" s="6"/>
    </row>
    <row r="375" spans="48:51" ht="15.75" customHeight="1" x14ac:dyDescent="0.2">
      <c r="AV375" s="6"/>
      <c r="AW375" s="6"/>
      <c r="AX375" s="6"/>
      <c r="AY375" s="6"/>
    </row>
    <row r="376" spans="48:51" ht="15.75" customHeight="1" x14ac:dyDescent="0.2">
      <c r="AV376" s="6"/>
      <c r="AW376" s="6"/>
      <c r="AX376" s="6"/>
      <c r="AY376" s="6"/>
    </row>
    <row r="377" spans="48:51" ht="15.75" customHeight="1" x14ac:dyDescent="0.2">
      <c r="AV377" s="6"/>
      <c r="AW377" s="6"/>
      <c r="AX377" s="6"/>
      <c r="AY377" s="6"/>
    </row>
    <row r="378" spans="48:51" ht="15.75" customHeight="1" x14ac:dyDescent="0.2">
      <c r="AV378" s="6"/>
      <c r="AW378" s="6"/>
      <c r="AX378" s="6"/>
      <c r="AY378" s="6"/>
    </row>
    <row r="379" spans="48:51" ht="15.75" customHeight="1" x14ac:dyDescent="0.2">
      <c r="AV379" s="6"/>
      <c r="AW379" s="6"/>
      <c r="AX379" s="6"/>
      <c r="AY379" s="6"/>
    </row>
    <row r="380" spans="48:51" ht="15.75" customHeight="1" x14ac:dyDescent="0.2">
      <c r="AV380" s="6"/>
      <c r="AW380" s="6"/>
      <c r="AX380" s="6"/>
      <c r="AY380" s="6"/>
    </row>
    <row r="381" spans="48:51" ht="15.75" customHeight="1" x14ac:dyDescent="0.2">
      <c r="AV381" s="6"/>
      <c r="AW381" s="6"/>
      <c r="AX381" s="6"/>
      <c r="AY381" s="6"/>
    </row>
    <row r="382" spans="48:51" ht="15.75" customHeight="1" x14ac:dyDescent="0.2">
      <c r="AV382" s="6"/>
      <c r="AW382" s="6"/>
      <c r="AX382" s="6"/>
      <c r="AY382" s="6"/>
    </row>
    <row r="383" spans="48:51" ht="15.75" customHeight="1" x14ac:dyDescent="0.2">
      <c r="AV383" s="6"/>
      <c r="AW383" s="6"/>
      <c r="AX383" s="6"/>
      <c r="AY383" s="6"/>
    </row>
    <row r="384" spans="48:51" ht="15.75" customHeight="1" x14ac:dyDescent="0.2">
      <c r="AV384" s="6"/>
      <c r="AW384" s="6"/>
      <c r="AX384" s="6"/>
      <c r="AY384" s="6"/>
    </row>
    <row r="385" spans="48:51" ht="15.75" customHeight="1" x14ac:dyDescent="0.2">
      <c r="AV385" s="6"/>
      <c r="AW385" s="6"/>
      <c r="AX385" s="6"/>
      <c r="AY385" s="6"/>
    </row>
    <row r="386" spans="48:51" ht="15.75" customHeight="1" x14ac:dyDescent="0.2">
      <c r="AV386" s="6"/>
      <c r="AW386" s="6"/>
      <c r="AX386" s="6"/>
      <c r="AY386" s="6"/>
    </row>
    <row r="387" spans="48:51" ht="15.75" customHeight="1" x14ac:dyDescent="0.2">
      <c r="AV387" s="6"/>
      <c r="AW387" s="6"/>
      <c r="AX387" s="6"/>
      <c r="AY387" s="6"/>
    </row>
    <row r="388" spans="48:51" ht="15.75" customHeight="1" x14ac:dyDescent="0.2">
      <c r="AV388" s="6"/>
      <c r="AW388" s="6"/>
      <c r="AX388" s="6"/>
      <c r="AY388" s="6"/>
    </row>
    <row r="389" spans="48:51" ht="15.75" customHeight="1" x14ac:dyDescent="0.2">
      <c r="AV389" s="6"/>
      <c r="AW389" s="6"/>
      <c r="AX389" s="6"/>
      <c r="AY389" s="6"/>
    </row>
    <row r="390" spans="48:51" ht="15.75" customHeight="1" x14ac:dyDescent="0.2">
      <c r="AV390" s="6"/>
      <c r="AW390" s="6"/>
      <c r="AX390" s="6"/>
      <c r="AY390" s="6"/>
    </row>
    <row r="391" spans="48:51" ht="15.75" customHeight="1" x14ac:dyDescent="0.2">
      <c r="AV391" s="6"/>
      <c r="AW391" s="6"/>
      <c r="AX391" s="6"/>
      <c r="AY391" s="6"/>
    </row>
    <row r="392" spans="48:51" ht="15.75" customHeight="1" x14ac:dyDescent="0.2">
      <c r="AV392" s="6"/>
      <c r="AW392" s="6"/>
      <c r="AX392" s="6"/>
      <c r="AY392" s="6"/>
    </row>
    <row r="393" spans="48:51" ht="15.75" customHeight="1" x14ac:dyDescent="0.2">
      <c r="AV393" s="6"/>
      <c r="AW393" s="6"/>
      <c r="AX393" s="6"/>
      <c r="AY393" s="6"/>
    </row>
    <row r="394" spans="48:51" ht="15.75" customHeight="1" x14ac:dyDescent="0.2">
      <c r="AV394" s="6"/>
      <c r="AW394" s="6"/>
      <c r="AX394" s="6"/>
      <c r="AY394" s="6"/>
    </row>
    <row r="395" spans="48:51" ht="15.75" customHeight="1" x14ac:dyDescent="0.2">
      <c r="AV395" s="6"/>
      <c r="AW395" s="6"/>
      <c r="AX395" s="6"/>
      <c r="AY395" s="6"/>
    </row>
    <row r="396" spans="48:51" ht="15.75" customHeight="1" x14ac:dyDescent="0.2">
      <c r="AV396" s="6"/>
      <c r="AW396" s="6"/>
      <c r="AX396" s="6"/>
      <c r="AY396" s="6"/>
    </row>
    <row r="397" spans="48:51" ht="15.75" customHeight="1" x14ac:dyDescent="0.2">
      <c r="AV397" s="6"/>
      <c r="AW397" s="6"/>
      <c r="AX397" s="6"/>
      <c r="AY397" s="6"/>
    </row>
    <row r="398" spans="48:51" ht="15.75" customHeight="1" x14ac:dyDescent="0.2">
      <c r="AV398" s="6"/>
      <c r="AW398" s="6"/>
      <c r="AX398" s="6"/>
      <c r="AY398" s="6"/>
    </row>
    <row r="399" spans="48:51" ht="15.75" customHeight="1" x14ac:dyDescent="0.2">
      <c r="AV399" s="6"/>
      <c r="AW399" s="6"/>
      <c r="AX399" s="6"/>
      <c r="AY399" s="6"/>
    </row>
    <row r="400" spans="48:51" ht="15.75" customHeight="1" x14ac:dyDescent="0.2">
      <c r="AV400" s="6"/>
      <c r="AW400" s="6"/>
      <c r="AX400" s="6"/>
      <c r="AY400" s="6"/>
    </row>
    <row r="401" spans="48:51" ht="15.75" customHeight="1" x14ac:dyDescent="0.2">
      <c r="AV401" s="6"/>
      <c r="AW401" s="6"/>
      <c r="AX401" s="6"/>
      <c r="AY401" s="6"/>
    </row>
    <row r="402" spans="48:51" ht="15.75" customHeight="1" x14ac:dyDescent="0.2">
      <c r="AV402" s="6"/>
      <c r="AW402" s="6"/>
      <c r="AX402" s="6"/>
      <c r="AY402" s="6"/>
    </row>
    <row r="403" spans="48:51" ht="15.75" customHeight="1" x14ac:dyDescent="0.2">
      <c r="AV403" s="6"/>
      <c r="AW403" s="6"/>
      <c r="AX403" s="6"/>
      <c r="AY403" s="6"/>
    </row>
    <row r="404" spans="48:51" ht="15.75" customHeight="1" x14ac:dyDescent="0.2">
      <c r="AV404" s="6"/>
      <c r="AW404" s="6"/>
      <c r="AX404" s="6"/>
      <c r="AY404" s="6"/>
    </row>
    <row r="405" spans="48:51" ht="15.75" customHeight="1" x14ac:dyDescent="0.2">
      <c r="AV405" s="6"/>
      <c r="AW405" s="6"/>
      <c r="AX405" s="6"/>
      <c r="AY405" s="6"/>
    </row>
    <row r="406" spans="48:51" ht="15.75" customHeight="1" x14ac:dyDescent="0.2">
      <c r="AV406" s="6"/>
      <c r="AW406" s="6"/>
      <c r="AX406" s="6"/>
      <c r="AY406" s="6"/>
    </row>
    <row r="407" spans="48:51" ht="15.75" customHeight="1" x14ac:dyDescent="0.2">
      <c r="AV407" s="6"/>
      <c r="AW407" s="6"/>
      <c r="AX407" s="6"/>
      <c r="AY407" s="6"/>
    </row>
    <row r="408" spans="48:51" ht="15.75" customHeight="1" x14ac:dyDescent="0.2">
      <c r="AV408" s="6"/>
      <c r="AW408" s="6"/>
      <c r="AX408" s="6"/>
      <c r="AY408" s="6"/>
    </row>
    <row r="409" spans="48:51" ht="15.75" customHeight="1" x14ac:dyDescent="0.2">
      <c r="AV409" s="6"/>
      <c r="AW409" s="6"/>
      <c r="AX409" s="6"/>
      <c r="AY409" s="6"/>
    </row>
    <row r="410" spans="48:51" ht="15.75" customHeight="1" x14ac:dyDescent="0.2">
      <c r="AV410" s="6"/>
      <c r="AW410" s="6"/>
      <c r="AX410" s="6"/>
      <c r="AY410" s="6"/>
    </row>
    <row r="411" spans="48:51" ht="15.75" customHeight="1" x14ac:dyDescent="0.2">
      <c r="AV411" s="6"/>
      <c r="AW411" s="6"/>
      <c r="AX411" s="6"/>
      <c r="AY411" s="6"/>
    </row>
    <row r="412" spans="48:51" ht="15.75" customHeight="1" x14ac:dyDescent="0.2">
      <c r="AV412" s="6"/>
      <c r="AW412" s="6"/>
      <c r="AX412" s="6"/>
      <c r="AY412" s="6"/>
    </row>
    <row r="413" spans="48:51" ht="15.75" customHeight="1" x14ac:dyDescent="0.2">
      <c r="AV413" s="6"/>
      <c r="AW413" s="6"/>
      <c r="AX413" s="6"/>
      <c r="AY413" s="6"/>
    </row>
    <row r="414" spans="48:51" ht="15.75" customHeight="1" x14ac:dyDescent="0.2">
      <c r="AV414" s="6"/>
      <c r="AW414" s="6"/>
      <c r="AX414" s="6"/>
      <c r="AY414" s="6"/>
    </row>
    <row r="415" spans="48:51" ht="15.75" customHeight="1" x14ac:dyDescent="0.2">
      <c r="AV415" s="6"/>
      <c r="AW415" s="6"/>
      <c r="AX415" s="6"/>
      <c r="AY415" s="6"/>
    </row>
    <row r="416" spans="48:51" ht="15.75" customHeight="1" x14ac:dyDescent="0.2">
      <c r="AV416" s="6"/>
      <c r="AW416" s="6"/>
      <c r="AX416" s="6"/>
      <c r="AY416" s="6"/>
    </row>
    <row r="417" spans="48:51" ht="15.75" customHeight="1" x14ac:dyDescent="0.2">
      <c r="AV417" s="6"/>
      <c r="AW417" s="6"/>
      <c r="AX417" s="6"/>
      <c r="AY417" s="6"/>
    </row>
    <row r="418" spans="48:51" ht="15.75" customHeight="1" x14ac:dyDescent="0.2">
      <c r="AV418" s="6"/>
      <c r="AW418" s="6"/>
      <c r="AX418" s="6"/>
      <c r="AY418" s="6"/>
    </row>
    <row r="419" spans="48:51" ht="15.75" customHeight="1" x14ac:dyDescent="0.2">
      <c r="AV419" s="6"/>
      <c r="AW419" s="6"/>
      <c r="AX419" s="6"/>
      <c r="AY419" s="6"/>
    </row>
    <row r="420" spans="48:51" ht="15.75" customHeight="1" x14ac:dyDescent="0.2">
      <c r="AV420" s="6"/>
      <c r="AW420" s="6"/>
      <c r="AX420" s="6"/>
      <c r="AY420" s="6"/>
    </row>
    <row r="421" spans="48:51" ht="15.75" customHeight="1" x14ac:dyDescent="0.2">
      <c r="AV421" s="6"/>
      <c r="AW421" s="6"/>
      <c r="AX421" s="6"/>
      <c r="AY421" s="6"/>
    </row>
    <row r="422" spans="48:51" ht="15.75" customHeight="1" x14ac:dyDescent="0.2">
      <c r="AV422" s="6"/>
      <c r="AW422" s="6"/>
      <c r="AX422" s="6"/>
      <c r="AY422" s="6"/>
    </row>
    <row r="423" spans="48:51" ht="15.75" customHeight="1" x14ac:dyDescent="0.2">
      <c r="AV423" s="6"/>
      <c r="AW423" s="6"/>
      <c r="AX423" s="6"/>
      <c r="AY423" s="6"/>
    </row>
    <row r="424" spans="48:51" ht="15.75" customHeight="1" x14ac:dyDescent="0.2">
      <c r="AV424" s="6"/>
      <c r="AW424" s="6"/>
      <c r="AX424" s="6"/>
      <c r="AY424" s="6"/>
    </row>
    <row r="425" spans="48:51" ht="15.75" customHeight="1" x14ac:dyDescent="0.2">
      <c r="AV425" s="6"/>
      <c r="AW425" s="6"/>
      <c r="AX425" s="6"/>
      <c r="AY425" s="6"/>
    </row>
    <row r="426" spans="48:51" ht="15.75" customHeight="1" x14ac:dyDescent="0.2">
      <c r="AV426" s="6"/>
      <c r="AW426" s="6"/>
      <c r="AX426" s="6"/>
      <c r="AY426" s="6"/>
    </row>
    <row r="427" spans="48:51" ht="15.75" customHeight="1" x14ac:dyDescent="0.2">
      <c r="AV427" s="6"/>
      <c r="AW427" s="6"/>
      <c r="AX427" s="6"/>
      <c r="AY427" s="6"/>
    </row>
    <row r="428" spans="48:51" ht="15.75" customHeight="1" x14ac:dyDescent="0.2">
      <c r="AV428" s="6"/>
      <c r="AW428" s="6"/>
      <c r="AX428" s="6"/>
      <c r="AY428" s="6"/>
    </row>
    <row r="429" spans="48:51" ht="15.75" customHeight="1" x14ac:dyDescent="0.2">
      <c r="AV429" s="6"/>
      <c r="AW429" s="6"/>
      <c r="AX429" s="6"/>
      <c r="AY429" s="6"/>
    </row>
    <row r="430" spans="48:51" ht="15.75" customHeight="1" x14ac:dyDescent="0.2">
      <c r="AV430" s="6"/>
      <c r="AW430" s="6"/>
      <c r="AX430" s="6"/>
      <c r="AY430" s="6"/>
    </row>
    <row r="431" spans="48:51" ht="15.75" customHeight="1" x14ac:dyDescent="0.2">
      <c r="AV431" s="6"/>
      <c r="AW431" s="6"/>
      <c r="AX431" s="6"/>
      <c r="AY431" s="6"/>
    </row>
    <row r="432" spans="48:51" ht="15.75" customHeight="1" x14ac:dyDescent="0.2">
      <c r="AV432" s="6"/>
      <c r="AW432" s="6"/>
      <c r="AX432" s="6"/>
      <c r="AY432" s="6"/>
    </row>
    <row r="433" spans="48:51" ht="15.75" customHeight="1" x14ac:dyDescent="0.2">
      <c r="AV433" s="6"/>
      <c r="AW433" s="6"/>
      <c r="AX433" s="6"/>
      <c r="AY433" s="6"/>
    </row>
    <row r="434" spans="48:51" ht="15.75" customHeight="1" x14ac:dyDescent="0.2">
      <c r="AV434" s="6"/>
      <c r="AW434" s="6"/>
      <c r="AX434" s="6"/>
      <c r="AY434" s="6"/>
    </row>
    <row r="435" spans="48:51" ht="15.75" customHeight="1" x14ac:dyDescent="0.2">
      <c r="AV435" s="6"/>
      <c r="AW435" s="6"/>
      <c r="AX435" s="6"/>
      <c r="AY435" s="6"/>
    </row>
    <row r="436" spans="48:51" ht="15.75" customHeight="1" x14ac:dyDescent="0.2">
      <c r="AV436" s="6"/>
      <c r="AW436" s="6"/>
      <c r="AX436" s="6"/>
      <c r="AY436" s="6"/>
    </row>
    <row r="437" spans="48:51" ht="15.75" customHeight="1" x14ac:dyDescent="0.2">
      <c r="AV437" s="6"/>
      <c r="AW437" s="6"/>
      <c r="AX437" s="6"/>
      <c r="AY437" s="6"/>
    </row>
    <row r="438" spans="48:51" ht="15.75" customHeight="1" x14ac:dyDescent="0.2">
      <c r="AV438" s="6"/>
      <c r="AW438" s="6"/>
      <c r="AX438" s="6"/>
      <c r="AY438" s="6"/>
    </row>
    <row r="439" spans="48:51" ht="15.75" customHeight="1" x14ac:dyDescent="0.2">
      <c r="AV439" s="6"/>
      <c r="AW439" s="6"/>
      <c r="AX439" s="6"/>
      <c r="AY439" s="6"/>
    </row>
    <row r="440" spans="48:51" ht="15.75" customHeight="1" x14ac:dyDescent="0.2">
      <c r="AV440" s="6"/>
      <c r="AW440" s="6"/>
      <c r="AX440" s="6"/>
      <c r="AY440" s="6"/>
    </row>
    <row r="441" spans="48:51" ht="15.75" customHeight="1" x14ac:dyDescent="0.2">
      <c r="AV441" s="6"/>
      <c r="AW441" s="6"/>
      <c r="AX441" s="6"/>
      <c r="AY441" s="6"/>
    </row>
    <row r="442" spans="48:51" ht="15.75" customHeight="1" x14ac:dyDescent="0.2">
      <c r="AV442" s="6"/>
      <c r="AW442" s="6"/>
      <c r="AX442" s="6"/>
      <c r="AY442" s="6"/>
    </row>
    <row r="443" spans="48:51" ht="15.75" customHeight="1" x14ac:dyDescent="0.2">
      <c r="AV443" s="6"/>
      <c r="AW443" s="6"/>
      <c r="AX443" s="6"/>
      <c r="AY443" s="6"/>
    </row>
    <row r="444" spans="48:51" ht="15.75" customHeight="1" x14ac:dyDescent="0.2">
      <c r="AV444" s="6"/>
      <c r="AW444" s="6"/>
      <c r="AX444" s="6"/>
      <c r="AY444" s="6"/>
    </row>
    <row r="445" spans="48:51" ht="15.75" customHeight="1" x14ac:dyDescent="0.2">
      <c r="AV445" s="6"/>
      <c r="AW445" s="6"/>
      <c r="AX445" s="6"/>
      <c r="AY445" s="6"/>
    </row>
    <row r="446" spans="48:51" ht="15.75" customHeight="1" x14ac:dyDescent="0.2">
      <c r="AV446" s="6"/>
      <c r="AW446" s="6"/>
      <c r="AX446" s="6"/>
      <c r="AY446" s="6"/>
    </row>
    <row r="447" spans="48:51" ht="15.75" customHeight="1" x14ac:dyDescent="0.2">
      <c r="AV447" s="6"/>
      <c r="AW447" s="6"/>
      <c r="AX447" s="6"/>
      <c r="AY447" s="6"/>
    </row>
    <row r="448" spans="48:51" ht="15.75" customHeight="1" x14ac:dyDescent="0.2">
      <c r="AV448" s="6"/>
      <c r="AW448" s="6"/>
      <c r="AX448" s="6"/>
      <c r="AY448" s="6"/>
    </row>
    <row r="449" spans="48:51" ht="15.75" customHeight="1" x14ac:dyDescent="0.2">
      <c r="AV449" s="6"/>
      <c r="AW449" s="6"/>
      <c r="AX449" s="6"/>
      <c r="AY449" s="6"/>
    </row>
    <row r="450" spans="48:51" ht="15.75" customHeight="1" x14ac:dyDescent="0.2">
      <c r="AV450" s="6"/>
      <c r="AW450" s="6"/>
      <c r="AX450" s="6"/>
      <c r="AY450" s="6"/>
    </row>
    <row r="451" spans="48:51" ht="15.75" customHeight="1" x14ac:dyDescent="0.2">
      <c r="AV451" s="6"/>
      <c r="AW451" s="6"/>
      <c r="AX451" s="6"/>
      <c r="AY451" s="6"/>
    </row>
    <row r="452" spans="48:51" ht="15.75" customHeight="1" x14ac:dyDescent="0.2">
      <c r="AV452" s="6"/>
      <c r="AW452" s="6"/>
      <c r="AX452" s="6"/>
      <c r="AY452" s="6"/>
    </row>
    <row r="453" spans="48:51" ht="15.75" customHeight="1" x14ac:dyDescent="0.2">
      <c r="AV453" s="6"/>
      <c r="AW453" s="6"/>
      <c r="AX453" s="6"/>
      <c r="AY453" s="6"/>
    </row>
    <row r="454" spans="48:51" ht="15.75" customHeight="1" x14ac:dyDescent="0.2">
      <c r="AV454" s="6"/>
      <c r="AW454" s="6"/>
      <c r="AX454" s="6"/>
      <c r="AY454" s="6"/>
    </row>
    <row r="455" spans="48:51" ht="15.75" customHeight="1" x14ac:dyDescent="0.2">
      <c r="AV455" s="6"/>
      <c r="AW455" s="6"/>
      <c r="AX455" s="6"/>
      <c r="AY455" s="6"/>
    </row>
    <row r="456" spans="48:51" ht="15.75" customHeight="1" x14ac:dyDescent="0.2">
      <c r="AV456" s="6"/>
      <c r="AW456" s="6"/>
      <c r="AX456" s="6"/>
      <c r="AY456" s="6"/>
    </row>
    <row r="457" spans="48:51" ht="15.75" customHeight="1" x14ac:dyDescent="0.2">
      <c r="AV457" s="6"/>
      <c r="AW457" s="6"/>
      <c r="AX457" s="6"/>
      <c r="AY457" s="6"/>
    </row>
    <row r="458" spans="48:51" ht="15.75" customHeight="1" x14ac:dyDescent="0.2">
      <c r="AV458" s="6"/>
      <c r="AW458" s="6"/>
      <c r="AX458" s="6"/>
      <c r="AY458" s="6"/>
    </row>
    <row r="459" spans="48:51" ht="15.75" customHeight="1" x14ac:dyDescent="0.2">
      <c r="AV459" s="6"/>
      <c r="AW459" s="6"/>
      <c r="AX459" s="6"/>
      <c r="AY459" s="6"/>
    </row>
    <row r="460" spans="48:51" ht="15.75" customHeight="1" x14ac:dyDescent="0.2">
      <c r="AV460" s="6"/>
      <c r="AW460" s="6"/>
      <c r="AX460" s="6"/>
      <c r="AY460" s="6"/>
    </row>
    <row r="461" spans="48:51" ht="15.75" customHeight="1" x14ac:dyDescent="0.2">
      <c r="AV461" s="6"/>
      <c r="AW461" s="6"/>
      <c r="AX461" s="6"/>
      <c r="AY461" s="6"/>
    </row>
    <row r="462" spans="48:51" ht="15.75" customHeight="1" x14ac:dyDescent="0.2">
      <c r="AV462" s="6"/>
      <c r="AW462" s="6"/>
      <c r="AX462" s="6"/>
      <c r="AY462" s="6"/>
    </row>
    <row r="463" spans="48:51" ht="15.75" customHeight="1" x14ac:dyDescent="0.2">
      <c r="AV463" s="6"/>
      <c r="AW463" s="6"/>
      <c r="AX463" s="6"/>
      <c r="AY463" s="6"/>
    </row>
    <row r="464" spans="48:51" ht="15.75" customHeight="1" x14ac:dyDescent="0.2">
      <c r="AV464" s="6"/>
      <c r="AW464" s="6"/>
      <c r="AX464" s="6"/>
      <c r="AY464" s="6"/>
    </row>
    <row r="465" spans="48:51" ht="15.75" customHeight="1" x14ac:dyDescent="0.2">
      <c r="AV465" s="6"/>
      <c r="AW465" s="6"/>
      <c r="AX465" s="6"/>
      <c r="AY465" s="6"/>
    </row>
    <row r="466" spans="48:51" ht="15.75" customHeight="1" x14ac:dyDescent="0.2">
      <c r="AV466" s="6"/>
      <c r="AW466" s="6"/>
      <c r="AX466" s="6"/>
      <c r="AY466" s="6"/>
    </row>
    <row r="467" spans="48:51" ht="15.75" customHeight="1" x14ac:dyDescent="0.2">
      <c r="AV467" s="6"/>
      <c r="AW467" s="6"/>
      <c r="AX467" s="6"/>
      <c r="AY467" s="6"/>
    </row>
    <row r="468" spans="48:51" ht="15.75" customHeight="1" x14ac:dyDescent="0.2">
      <c r="AV468" s="6"/>
      <c r="AW468" s="6"/>
      <c r="AX468" s="6"/>
      <c r="AY468" s="6"/>
    </row>
    <row r="469" spans="48:51" ht="15.75" customHeight="1" x14ac:dyDescent="0.2">
      <c r="AV469" s="6"/>
      <c r="AW469" s="6"/>
      <c r="AX469" s="6"/>
      <c r="AY469" s="6"/>
    </row>
    <row r="470" spans="48:51" ht="15.75" customHeight="1" x14ac:dyDescent="0.2">
      <c r="AV470" s="6"/>
      <c r="AW470" s="6"/>
      <c r="AX470" s="6"/>
      <c r="AY470" s="6"/>
    </row>
    <row r="471" spans="48:51" ht="15.75" customHeight="1" x14ac:dyDescent="0.2">
      <c r="AV471" s="6"/>
      <c r="AW471" s="6"/>
      <c r="AX471" s="6"/>
      <c r="AY471" s="6"/>
    </row>
    <row r="472" spans="48:51" ht="15.75" customHeight="1" x14ac:dyDescent="0.2">
      <c r="AV472" s="6"/>
      <c r="AW472" s="6"/>
      <c r="AX472" s="6"/>
      <c r="AY472" s="6"/>
    </row>
    <row r="473" spans="48:51" ht="15.75" customHeight="1" x14ac:dyDescent="0.2">
      <c r="AV473" s="6"/>
      <c r="AW473" s="6"/>
      <c r="AX473" s="6"/>
      <c r="AY473" s="6"/>
    </row>
    <row r="474" spans="48:51" ht="15.75" customHeight="1" x14ac:dyDescent="0.2">
      <c r="AV474" s="6"/>
      <c r="AW474" s="6"/>
      <c r="AX474" s="6"/>
      <c r="AY474" s="6"/>
    </row>
    <row r="475" spans="48:51" ht="15.75" customHeight="1" x14ac:dyDescent="0.2">
      <c r="AV475" s="6"/>
      <c r="AW475" s="6"/>
      <c r="AX475" s="6"/>
      <c r="AY475" s="6"/>
    </row>
    <row r="476" spans="48:51" ht="15.75" customHeight="1" x14ac:dyDescent="0.2">
      <c r="AV476" s="6"/>
      <c r="AW476" s="6"/>
      <c r="AX476" s="6"/>
      <c r="AY476" s="6"/>
    </row>
    <row r="477" spans="48:51" ht="15.75" customHeight="1" x14ac:dyDescent="0.2">
      <c r="AV477" s="6"/>
      <c r="AW477" s="6"/>
      <c r="AX477" s="6"/>
      <c r="AY477" s="6"/>
    </row>
    <row r="478" spans="48:51" ht="15.75" customHeight="1" x14ac:dyDescent="0.2">
      <c r="AV478" s="6"/>
      <c r="AW478" s="6"/>
      <c r="AX478" s="6"/>
      <c r="AY478" s="6"/>
    </row>
    <row r="479" spans="48:51" ht="15.75" customHeight="1" x14ac:dyDescent="0.2">
      <c r="AV479" s="6"/>
      <c r="AW479" s="6"/>
      <c r="AX479" s="6"/>
      <c r="AY479" s="6"/>
    </row>
    <row r="480" spans="48:51" ht="15.75" customHeight="1" x14ac:dyDescent="0.2">
      <c r="AV480" s="6"/>
      <c r="AW480" s="6"/>
      <c r="AX480" s="6"/>
      <c r="AY480" s="6"/>
    </row>
    <row r="481" spans="48:51" ht="15.75" customHeight="1" x14ac:dyDescent="0.2">
      <c r="AV481" s="6"/>
      <c r="AW481" s="6"/>
      <c r="AX481" s="6"/>
      <c r="AY481" s="6"/>
    </row>
    <row r="482" spans="48:51" ht="15.75" customHeight="1" x14ac:dyDescent="0.2">
      <c r="AV482" s="6"/>
      <c r="AW482" s="6"/>
      <c r="AX482" s="6"/>
      <c r="AY482" s="6"/>
    </row>
    <row r="483" spans="48:51" ht="15.75" customHeight="1" x14ac:dyDescent="0.2">
      <c r="AV483" s="6"/>
      <c r="AW483" s="6"/>
      <c r="AX483" s="6"/>
      <c r="AY483" s="6"/>
    </row>
    <row r="484" spans="48:51" ht="15.75" customHeight="1" x14ac:dyDescent="0.2">
      <c r="AV484" s="6"/>
      <c r="AW484" s="6"/>
      <c r="AX484" s="6"/>
      <c r="AY484" s="6"/>
    </row>
    <row r="485" spans="48:51" ht="15.75" customHeight="1" x14ac:dyDescent="0.2">
      <c r="AV485" s="6"/>
      <c r="AW485" s="6"/>
      <c r="AX485" s="6"/>
      <c r="AY485" s="6"/>
    </row>
    <row r="486" spans="48:51" ht="15.75" customHeight="1" x14ac:dyDescent="0.2">
      <c r="AV486" s="6"/>
      <c r="AW486" s="6"/>
      <c r="AX486" s="6"/>
      <c r="AY486" s="6"/>
    </row>
    <row r="487" spans="48:51" ht="15.75" customHeight="1" x14ac:dyDescent="0.2">
      <c r="AV487" s="6"/>
      <c r="AW487" s="6"/>
      <c r="AX487" s="6"/>
      <c r="AY487" s="6"/>
    </row>
    <row r="488" spans="48:51" ht="15.75" customHeight="1" x14ac:dyDescent="0.2">
      <c r="AV488" s="6"/>
      <c r="AW488" s="6"/>
      <c r="AX488" s="6"/>
      <c r="AY488" s="6"/>
    </row>
    <row r="489" spans="48:51" ht="15.75" customHeight="1" x14ac:dyDescent="0.2">
      <c r="AV489" s="6"/>
      <c r="AW489" s="6"/>
      <c r="AX489" s="6"/>
      <c r="AY489" s="6"/>
    </row>
    <row r="490" spans="48:51" ht="15.75" customHeight="1" x14ac:dyDescent="0.2">
      <c r="AV490" s="6"/>
      <c r="AW490" s="6"/>
      <c r="AX490" s="6"/>
      <c r="AY490" s="6"/>
    </row>
    <row r="491" spans="48:51" ht="15.75" customHeight="1" x14ac:dyDescent="0.2">
      <c r="AV491" s="6"/>
      <c r="AW491" s="6"/>
      <c r="AX491" s="6"/>
      <c r="AY491" s="6"/>
    </row>
    <row r="492" spans="48:51" ht="15.75" customHeight="1" x14ac:dyDescent="0.2">
      <c r="AV492" s="6"/>
      <c r="AW492" s="6"/>
      <c r="AX492" s="6"/>
      <c r="AY492" s="6"/>
    </row>
    <row r="493" spans="48:51" ht="15.75" customHeight="1" x14ac:dyDescent="0.2">
      <c r="AV493" s="6"/>
      <c r="AW493" s="6"/>
      <c r="AX493" s="6"/>
      <c r="AY493" s="6"/>
    </row>
    <row r="494" spans="48:51" ht="15.75" customHeight="1" x14ac:dyDescent="0.2">
      <c r="AV494" s="6"/>
      <c r="AW494" s="6"/>
      <c r="AX494" s="6"/>
      <c r="AY494" s="6"/>
    </row>
    <row r="495" spans="48:51" ht="15.75" customHeight="1" x14ac:dyDescent="0.2">
      <c r="AV495" s="6"/>
      <c r="AW495" s="6"/>
      <c r="AX495" s="6"/>
      <c r="AY495" s="6"/>
    </row>
    <row r="496" spans="48:51" ht="15.75" customHeight="1" x14ac:dyDescent="0.2">
      <c r="AV496" s="6"/>
      <c r="AW496" s="6"/>
      <c r="AX496" s="6"/>
      <c r="AY496" s="6"/>
    </row>
    <row r="497" spans="48:51" ht="15.75" customHeight="1" x14ac:dyDescent="0.2">
      <c r="AV497" s="6"/>
      <c r="AW497" s="6"/>
      <c r="AX497" s="6"/>
      <c r="AY497" s="6"/>
    </row>
    <row r="498" spans="48:51" ht="15.75" customHeight="1" x14ac:dyDescent="0.2">
      <c r="AV498" s="6"/>
      <c r="AW498" s="6"/>
      <c r="AX498" s="6"/>
      <c r="AY498" s="6"/>
    </row>
    <row r="499" spans="48:51" ht="15.75" customHeight="1" x14ac:dyDescent="0.2">
      <c r="AV499" s="6"/>
      <c r="AW499" s="6"/>
      <c r="AX499" s="6"/>
      <c r="AY499" s="6"/>
    </row>
    <row r="500" spans="48:51" ht="15.75" customHeight="1" x14ac:dyDescent="0.2">
      <c r="AV500" s="6"/>
      <c r="AW500" s="6"/>
      <c r="AX500" s="6"/>
      <c r="AY500" s="6"/>
    </row>
    <row r="501" spans="48:51" ht="15.75" customHeight="1" x14ac:dyDescent="0.2">
      <c r="AV501" s="6"/>
      <c r="AW501" s="6"/>
      <c r="AX501" s="6"/>
      <c r="AY501" s="6"/>
    </row>
    <row r="502" spans="48:51" ht="15.75" customHeight="1" x14ac:dyDescent="0.2">
      <c r="AV502" s="6"/>
      <c r="AW502" s="6"/>
      <c r="AX502" s="6"/>
      <c r="AY502" s="6"/>
    </row>
    <row r="503" spans="48:51" ht="15.75" customHeight="1" x14ac:dyDescent="0.2">
      <c r="AV503" s="6"/>
      <c r="AW503" s="6"/>
      <c r="AX503" s="6"/>
      <c r="AY503" s="6"/>
    </row>
    <row r="504" spans="48:51" ht="15.75" customHeight="1" x14ac:dyDescent="0.2">
      <c r="AV504" s="6"/>
      <c r="AW504" s="6"/>
      <c r="AX504" s="6"/>
      <c r="AY504" s="6"/>
    </row>
    <row r="505" spans="48:51" ht="15.75" customHeight="1" x14ac:dyDescent="0.2">
      <c r="AV505" s="6"/>
      <c r="AW505" s="6"/>
      <c r="AX505" s="6"/>
      <c r="AY505" s="6"/>
    </row>
    <row r="506" spans="48:51" ht="15.75" customHeight="1" x14ac:dyDescent="0.2">
      <c r="AV506" s="6"/>
      <c r="AW506" s="6"/>
      <c r="AX506" s="6"/>
      <c r="AY506" s="6"/>
    </row>
    <row r="507" spans="48:51" ht="15.75" customHeight="1" x14ac:dyDescent="0.2">
      <c r="AV507" s="6"/>
      <c r="AW507" s="6"/>
      <c r="AX507" s="6"/>
      <c r="AY507" s="6"/>
    </row>
    <row r="508" spans="48:51" ht="15.75" customHeight="1" x14ac:dyDescent="0.2">
      <c r="AV508" s="6"/>
      <c r="AW508" s="6"/>
      <c r="AX508" s="6"/>
      <c r="AY508" s="6"/>
    </row>
    <row r="509" spans="48:51" ht="15.75" customHeight="1" x14ac:dyDescent="0.2">
      <c r="AV509" s="6"/>
      <c r="AW509" s="6"/>
      <c r="AX509" s="6"/>
      <c r="AY509" s="6"/>
    </row>
    <row r="510" spans="48:51" ht="15.75" customHeight="1" x14ac:dyDescent="0.2">
      <c r="AV510" s="6"/>
      <c r="AW510" s="6"/>
      <c r="AX510" s="6"/>
      <c r="AY510" s="6"/>
    </row>
    <row r="511" spans="48:51" ht="15.75" customHeight="1" x14ac:dyDescent="0.2">
      <c r="AV511" s="6"/>
      <c r="AW511" s="6"/>
      <c r="AX511" s="6"/>
      <c r="AY511" s="6"/>
    </row>
    <row r="512" spans="48:51" ht="15.75" customHeight="1" x14ac:dyDescent="0.2">
      <c r="AV512" s="6"/>
      <c r="AW512" s="6"/>
      <c r="AX512" s="6"/>
      <c r="AY512" s="6"/>
    </row>
    <row r="513" spans="48:51" ht="15.75" customHeight="1" x14ac:dyDescent="0.2">
      <c r="AV513" s="6"/>
      <c r="AW513" s="6"/>
      <c r="AX513" s="6"/>
      <c r="AY513" s="6"/>
    </row>
    <row r="514" spans="48:51" ht="15.75" customHeight="1" x14ac:dyDescent="0.2">
      <c r="AV514" s="6"/>
      <c r="AW514" s="6"/>
      <c r="AX514" s="6"/>
      <c r="AY514" s="6"/>
    </row>
    <row r="515" spans="48:51" ht="15.75" customHeight="1" x14ac:dyDescent="0.2">
      <c r="AV515" s="6"/>
      <c r="AW515" s="6"/>
      <c r="AX515" s="6"/>
      <c r="AY515" s="6"/>
    </row>
    <row r="516" spans="48:51" ht="15.75" customHeight="1" x14ac:dyDescent="0.2">
      <c r="AV516" s="6"/>
      <c r="AW516" s="6"/>
      <c r="AX516" s="6"/>
      <c r="AY516" s="6"/>
    </row>
    <row r="517" spans="48:51" ht="15.75" customHeight="1" x14ac:dyDescent="0.2">
      <c r="AV517" s="6"/>
      <c r="AW517" s="6"/>
      <c r="AX517" s="6"/>
      <c r="AY517" s="6"/>
    </row>
    <row r="518" spans="48:51" ht="15.75" customHeight="1" x14ac:dyDescent="0.2">
      <c r="AV518" s="6"/>
      <c r="AW518" s="6"/>
      <c r="AX518" s="6"/>
      <c r="AY518" s="6"/>
    </row>
    <row r="519" spans="48:51" ht="15.75" customHeight="1" x14ac:dyDescent="0.2">
      <c r="AV519" s="6"/>
      <c r="AW519" s="6"/>
      <c r="AX519" s="6"/>
      <c r="AY519" s="6"/>
    </row>
    <row r="520" spans="48:51" ht="15.75" customHeight="1" x14ac:dyDescent="0.2">
      <c r="AV520" s="6"/>
      <c r="AW520" s="6"/>
      <c r="AX520" s="6"/>
      <c r="AY520" s="6"/>
    </row>
    <row r="521" spans="48:51" ht="15.75" customHeight="1" x14ac:dyDescent="0.2">
      <c r="AV521" s="6"/>
      <c r="AW521" s="6"/>
      <c r="AX521" s="6"/>
      <c r="AY521" s="6"/>
    </row>
    <row r="522" spans="48:51" ht="15.75" customHeight="1" x14ac:dyDescent="0.2">
      <c r="AV522" s="6"/>
      <c r="AW522" s="6"/>
      <c r="AX522" s="6"/>
      <c r="AY522" s="6"/>
    </row>
    <row r="523" spans="48:51" ht="15.75" customHeight="1" x14ac:dyDescent="0.2">
      <c r="AV523" s="6"/>
      <c r="AW523" s="6"/>
      <c r="AX523" s="6"/>
      <c r="AY523" s="6"/>
    </row>
    <row r="524" spans="48:51" ht="15.75" customHeight="1" x14ac:dyDescent="0.2">
      <c r="AV524" s="6"/>
      <c r="AW524" s="6"/>
      <c r="AX524" s="6"/>
      <c r="AY524" s="6"/>
    </row>
    <row r="525" spans="48:51" ht="15.75" customHeight="1" x14ac:dyDescent="0.2">
      <c r="AV525" s="6"/>
      <c r="AW525" s="6"/>
      <c r="AX525" s="6"/>
      <c r="AY525" s="6"/>
    </row>
    <row r="526" spans="48:51" ht="15.75" customHeight="1" x14ac:dyDescent="0.2">
      <c r="AV526" s="6"/>
      <c r="AW526" s="6"/>
      <c r="AX526" s="6"/>
      <c r="AY526" s="6"/>
    </row>
    <row r="527" spans="48:51" ht="15.75" customHeight="1" x14ac:dyDescent="0.2">
      <c r="AV527" s="6"/>
      <c r="AW527" s="6"/>
      <c r="AX527" s="6"/>
      <c r="AY527" s="6"/>
    </row>
    <row r="528" spans="48:51" ht="15.75" customHeight="1" x14ac:dyDescent="0.2">
      <c r="AV528" s="6"/>
      <c r="AW528" s="6"/>
      <c r="AX528" s="6"/>
      <c r="AY528" s="6"/>
    </row>
    <row r="529" spans="48:51" ht="15.75" customHeight="1" x14ac:dyDescent="0.2">
      <c r="AV529" s="6"/>
      <c r="AW529" s="6"/>
      <c r="AX529" s="6"/>
      <c r="AY529" s="6"/>
    </row>
    <row r="530" spans="48:51" ht="15.75" customHeight="1" x14ac:dyDescent="0.2">
      <c r="AV530" s="6"/>
      <c r="AW530" s="6"/>
      <c r="AX530" s="6"/>
      <c r="AY530" s="6"/>
    </row>
    <row r="531" spans="48:51" ht="15.75" customHeight="1" x14ac:dyDescent="0.2">
      <c r="AV531" s="6"/>
      <c r="AW531" s="6"/>
      <c r="AX531" s="6"/>
      <c r="AY531" s="6"/>
    </row>
    <row r="532" spans="48:51" ht="15.75" customHeight="1" x14ac:dyDescent="0.2">
      <c r="AV532" s="6"/>
      <c r="AW532" s="6"/>
      <c r="AX532" s="6"/>
      <c r="AY532" s="6"/>
    </row>
    <row r="533" spans="48:51" ht="15.75" customHeight="1" x14ac:dyDescent="0.2">
      <c r="AV533" s="6"/>
      <c r="AW533" s="6"/>
      <c r="AX533" s="6"/>
      <c r="AY533" s="6"/>
    </row>
    <row r="534" spans="48:51" ht="15.75" customHeight="1" x14ac:dyDescent="0.2">
      <c r="AV534" s="6"/>
      <c r="AW534" s="6"/>
      <c r="AX534" s="6"/>
      <c r="AY534" s="6"/>
    </row>
    <row r="535" spans="48:51" ht="15.75" customHeight="1" x14ac:dyDescent="0.2">
      <c r="AV535" s="6"/>
      <c r="AW535" s="6"/>
      <c r="AX535" s="6"/>
      <c r="AY535" s="6"/>
    </row>
    <row r="536" spans="48:51" ht="15.75" customHeight="1" x14ac:dyDescent="0.2">
      <c r="AV536" s="6"/>
      <c r="AW536" s="6"/>
      <c r="AX536" s="6"/>
      <c r="AY536" s="6"/>
    </row>
    <row r="537" spans="48:51" ht="15.75" customHeight="1" x14ac:dyDescent="0.2">
      <c r="AV537" s="6"/>
      <c r="AW537" s="6"/>
      <c r="AX537" s="6"/>
      <c r="AY537" s="6"/>
    </row>
    <row r="538" spans="48:51" ht="15.75" customHeight="1" x14ac:dyDescent="0.2">
      <c r="AV538" s="6"/>
      <c r="AW538" s="6"/>
      <c r="AX538" s="6"/>
      <c r="AY538" s="6"/>
    </row>
    <row r="539" spans="48:51" ht="15.75" customHeight="1" x14ac:dyDescent="0.2">
      <c r="AV539" s="6"/>
      <c r="AW539" s="6"/>
      <c r="AX539" s="6"/>
      <c r="AY539" s="6"/>
    </row>
    <row r="540" spans="48:51" ht="15.75" customHeight="1" x14ac:dyDescent="0.2">
      <c r="AV540" s="6"/>
      <c r="AW540" s="6"/>
      <c r="AX540" s="6"/>
      <c r="AY540" s="6"/>
    </row>
    <row r="541" spans="48:51" ht="15.75" customHeight="1" x14ac:dyDescent="0.2">
      <c r="AV541" s="6"/>
      <c r="AW541" s="6"/>
      <c r="AX541" s="6"/>
      <c r="AY541" s="6"/>
    </row>
    <row r="542" spans="48:51" ht="15.75" customHeight="1" x14ac:dyDescent="0.2">
      <c r="AV542" s="6"/>
      <c r="AW542" s="6"/>
      <c r="AX542" s="6"/>
      <c r="AY542" s="6"/>
    </row>
    <row r="543" spans="48:51" ht="15.75" customHeight="1" x14ac:dyDescent="0.2">
      <c r="AV543" s="6"/>
      <c r="AW543" s="6"/>
      <c r="AX543" s="6"/>
      <c r="AY543" s="6"/>
    </row>
    <row r="544" spans="48:51" ht="15.75" customHeight="1" x14ac:dyDescent="0.2">
      <c r="AV544" s="6"/>
      <c r="AW544" s="6"/>
      <c r="AX544" s="6"/>
      <c r="AY544" s="6"/>
    </row>
    <row r="545" spans="48:51" ht="15.75" customHeight="1" x14ac:dyDescent="0.2">
      <c r="AV545" s="6"/>
      <c r="AW545" s="6"/>
      <c r="AX545" s="6"/>
      <c r="AY545" s="6"/>
    </row>
    <row r="546" spans="48:51" ht="15.75" customHeight="1" x14ac:dyDescent="0.2">
      <c r="AV546" s="6"/>
      <c r="AW546" s="6"/>
      <c r="AX546" s="6"/>
      <c r="AY546" s="6"/>
    </row>
    <row r="547" spans="48:51" ht="15.75" customHeight="1" x14ac:dyDescent="0.2">
      <c r="AV547" s="6"/>
      <c r="AW547" s="6"/>
      <c r="AX547" s="6"/>
      <c r="AY547" s="6"/>
    </row>
    <row r="548" spans="48:51" ht="15.75" customHeight="1" x14ac:dyDescent="0.2">
      <c r="AV548" s="6"/>
      <c r="AW548" s="6"/>
      <c r="AX548" s="6"/>
      <c r="AY548" s="6"/>
    </row>
    <row r="549" spans="48:51" ht="15.75" customHeight="1" x14ac:dyDescent="0.2">
      <c r="AV549" s="6"/>
      <c r="AW549" s="6"/>
      <c r="AX549" s="6"/>
      <c r="AY549" s="6"/>
    </row>
    <row r="550" spans="48:51" ht="15.75" customHeight="1" x14ac:dyDescent="0.2">
      <c r="AV550" s="6"/>
      <c r="AW550" s="6"/>
      <c r="AX550" s="6"/>
      <c r="AY550" s="6"/>
    </row>
    <row r="551" spans="48:51" ht="15.75" customHeight="1" x14ac:dyDescent="0.2">
      <c r="AV551" s="6"/>
      <c r="AW551" s="6"/>
      <c r="AX551" s="6"/>
      <c r="AY551" s="6"/>
    </row>
    <row r="552" spans="48:51" ht="15.75" customHeight="1" x14ac:dyDescent="0.2">
      <c r="AV552" s="6"/>
      <c r="AW552" s="6"/>
      <c r="AX552" s="6"/>
      <c r="AY552" s="6"/>
    </row>
    <row r="553" spans="48:51" ht="15.75" customHeight="1" x14ac:dyDescent="0.2">
      <c r="AV553" s="6"/>
      <c r="AW553" s="6"/>
      <c r="AX553" s="6"/>
      <c r="AY553" s="6"/>
    </row>
    <row r="554" spans="48:51" ht="15.75" customHeight="1" x14ac:dyDescent="0.2">
      <c r="AV554" s="6"/>
      <c r="AW554" s="6"/>
      <c r="AX554" s="6"/>
      <c r="AY554" s="6"/>
    </row>
    <row r="555" spans="48:51" ht="15.75" customHeight="1" x14ac:dyDescent="0.2">
      <c r="AV555" s="6"/>
      <c r="AW555" s="6"/>
      <c r="AX555" s="6"/>
      <c r="AY555" s="6"/>
    </row>
    <row r="556" spans="48:51" ht="15.75" customHeight="1" x14ac:dyDescent="0.2">
      <c r="AV556" s="6"/>
      <c r="AW556" s="6"/>
      <c r="AX556" s="6"/>
      <c r="AY556" s="6"/>
    </row>
    <row r="557" spans="48:51" ht="15.75" customHeight="1" x14ac:dyDescent="0.2">
      <c r="AV557" s="6"/>
      <c r="AW557" s="6"/>
      <c r="AX557" s="6"/>
      <c r="AY557" s="6"/>
    </row>
    <row r="558" spans="48:51" ht="15.75" customHeight="1" x14ac:dyDescent="0.2">
      <c r="AV558" s="6"/>
      <c r="AW558" s="6"/>
      <c r="AX558" s="6"/>
      <c r="AY558" s="6"/>
    </row>
    <row r="559" spans="48:51" ht="15.75" customHeight="1" x14ac:dyDescent="0.2">
      <c r="AV559" s="6"/>
      <c r="AW559" s="6"/>
      <c r="AX559" s="6"/>
      <c r="AY559" s="6"/>
    </row>
    <row r="560" spans="48:51" ht="15.75" customHeight="1" x14ac:dyDescent="0.2">
      <c r="AV560" s="6"/>
      <c r="AW560" s="6"/>
      <c r="AX560" s="6"/>
      <c r="AY560" s="6"/>
    </row>
    <row r="561" spans="48:51" ht="15.75" customHeight="1" x14ac:dyDescent="0.2">
      <c r="AV561" s="6"/>
      <c r="AW561" s="6"/>
      <c r="AX561" s="6"/>
      <c r="AY561" s="6"/>
    </row>
    <row r="562" spans="48:51" ht="15.75" customHeight="1" x14ac:dyDescent="0.2">
      <c r="AV562" s="6"/>
      <c r="AW562" s="6"/>
      <c r="AX562" s="6"/>
      <c r="AY562" s="6"/>
    </row>
    <row r="563" spans="48:51" ht="15.75" customHeight="1" x14ac:dyDescent="0.2">
      <c r="AV563" s="6"/>
      <c r="AW563" s="6"/>
      <c r="AX563" s="6"/>
      <c r="AY563" s="6"/>
    </row>
    <row r="564" spans="48:51" ht="15.75" customHeight="1" x14ac:dyDescent="0.2">
      <c r="AV564" s="6"/>
      <c r="AW564" s="6"/>
      <c r="AX564" s="6"/>
      <c r="AY564" s="6"/>
    </row>
    <row r="565" spans="48:51" ht="15.75" customHeight="1" x14ac:dyDescent="0.2">
      <c r="AV565" s="6"/>
      <c r="AW565" s="6"/>
      <c r="AX565" s="6"/>
      <c r="AY565" s="6"/>
    </row>
    <row r="566" spans="48:51" ht="15.75" customHeight="1" x14ac:dyDescent="0.2">
      <c r="AV566" s="6"/>
      <c r="AW566" s="6"/>
      <c r="AX566" s="6"/>
      <c r="AY566" s="6"/>
    </row>
    <row r="567" spans="48:51" ht="15.75" customHeight="1" x14ac:dyDescent="0.2">
      <c r="AV567" s="6"/>
      <c r="AW567" s="6"/>
      <c r="AX567" s="6"/>
      <c r="AY567" s="6"/>
    </row>
    <row r="568" spans="48:51" ht="15.75" customHeight="1" x14ac:dyDescent="0.2">
      <c r="AV568" s="6"/>
      <c r="AW568" s="6"/>
      <c r="AX568" s="6"/>
      <c r="AY568" s="6"/>
    </row>
    <row r="569" spans="48:51" ht="15.75" customHeight="1" x14ac:dyDescent="0.2">
      <c r="AV569" s="6"/>
      <c r="AW569" s="6"/>
      <c r="AX569" s="6"/>
      <c r="AY569" s="6"/>
    </row>
    <row r="570" spans="48:51" ht="15.75" customHeight="1" x14ac:dyDescent="0.2">
      <c r="AV570" s="6"/>
      <c r="AW570" s="6"/>
      <c r="AX570" s="6"/>
      <c r="AY570" s="6"/>
    </row>
    <row r="571" spans="48:51" ht="15.75" customHeight="1" x14ac:dyDescent="0.2">
      <c r="AV571" s="6"/>
      <c r="AW571" s="6"/>
      <c r="AX571" s="6"/>
      <c r="AY571" s="6"/>
    </row>
    <row r="572" spans="48:51" ht="15.75" customHeight="1" x14ac:dyDescent="0.2">
      <c r="AV572" s="6"/>
      <c r="AW572" s="6"/>
      <c r="AX572" s="6"/>
      <c r="AY572" s="6"/>
    </row>
    <row r="573" spans="48:51" ht="15.75" customHeight="1" x14ac:dyDescent="0.2">
      <c r="AV573" s="6"/>
      <c r="AW573" s="6"/>
      <c r="AX573" s="6"/>
      <c r="AY573" s="6"/>
    </row>
    <row r="574" spans="48:51" ht="15.75" customHeight="1" x14ac:dyDescent="0.2">
      <c r="AV574" s="6"/>
      <c r="AW574" s="6"/>
      <c r="AX574" s="6"/>
      <c r="AY574" s="6"/>
    </row>
    <row r="575" spans="48:51" ht="15.75" customHeight="1" x14ac:dyDescent="0.2">
      <c r="AV575" s="6"/>
      <c r="AW575" s="6"/>
      <c r="AX575" s="6"/>
      <c r="AY575" s="6"/>
    </row>
    <row r="576" spans="48:51" ht="15.75" customHeight="1" x14ac:dyDescent="0.2">
      <c r="AV576" s="6"/>
      <c r="AW576" s="6"/>
      <c r="AX576" s="6"/>
      <c r="AY576" s="6"/>
    </row>
    <row r="577" spans="48:51" ht="15.75" customHeight="1" x14ac:dyDescent="0.2">
      <c r="AV577" s="6"/>
      <c r="AW577" s="6"/>
      <c r="AX577" s="6"/>
      <c r="AY577" s="6"/>
    </row>
    <row r="578" spans="48:51" ht="15.75" customHeight="1" x14ac:dyDescent="0.2">
      <c r="AV578" s="6"/>
      <c r="AW578" s="6"/>
      <c r="AX578" s="6"/>
      <c r="AY578" s="6"/>
    </row>
    <row r="579" spans="48:51" ht="15.75" customHeight="1" x14ac:dyDescent="0.2">
      <c r="AV579" s="6"/>
      <c r="AW579" s="6"/>
      <c r="AX579" s="6"/>
      <c r="AY579" s="6"/>
    </row>
    <row r="580" spans="48:51" ht="15.75" customHeight="1" x14ac:dyDescent="0.2">
      <c r="AV580" s="6"/>
      <c r="AW580" s="6"/>
      <c r="AX580" s="6"/>
      <c r="AY580" s="6"/>
    </row>
    <row r="581" spans="48:51" ht="15.75" customHeight="1" x14ac:dyDescent="0.2">
      <c r="AV581" s="6"/>
      <c r="AW581" s="6"/>
      <c r="AX581" s="6"/>
      <c r="AY581" s="6"/>
    </row>
    <row r="582" spans="48:51" ht="15.75" customHeight="1" x14ac:dyDescent="0.2">
      <c r="AV582" s="6"/>
      <c r="AW582" s="6"/>
      <c r="AX582" s="6"/>
      <c r="AY582" s="6"/>
    </row>
    <row r="583" spans="48:51" ht="15.75" customHeight="1" x14ac:dyDescent="0.2">
      <c r="AV583" s="6"/>
      <c r="AW583" s="6"/>
      <c r="AX583" s="6"/>
      <c r="AY583" s="6"/>
    </row>
    <row r="584" spans="48:51" ht="15.75" customHeight="1" x14ac:dyDescent="0.2">
      <c r="AV584" s="6"/>
      <c r="AW584" s="6"/>
      <c r="AX584" s="6"/>
      <c r="AY584" s="6"/>
    </row>
    <row r="585" spans="48:51" ht="15.75" customHeight="1" x14ac:dyDescent="0.2">
      <c r="AV585" s="6"/>
      <c r="AW585" s="6"/>
      <c r="AX585" s="6"/>
      <c r="AY585" s="6"/>
    </row>
    <row r="586" spans="48:51" ht="15.75" customHeight="1" x14ac:dyDescent="0.2">
      <c r="AV586" s="6"/>
      <c r="AW586" s="6"/>
      <c r="AX586" s="6"/>
      <c r="AY586" s="6"/>
    </row>
    <row r="587" spans="48:51" ht="15.75" customHeight="1" x14ac:dyDescent="0.2">
      <c r="AV587" s="6"/>
      <c r="AW587" s="6"/>
      <c r="AX587" s="6"/>
      <c r="AY587" s="6"/>
    </row>
    <row r="588" spans="48:51" ht="15.75" customHeight="1" x14ac:dyDescent="0.2">
      <c r="AV588" s="6"/>
      <c r="AW588" s="6"/>
      <c r="AX588" s="6"/>
      <c r="AY588" s="6"/>
    </row>
    <row r="589" spans="48:51" ht="15.75" customHeight="1" x14ac:dyDescent="0.2">
      <c r="AV589" s="6"/>
      <c r="AW589" s="6"/>
      <c r="AX589" s="6"/>
      <c r="AY589" s="6"/>
    </row>
    <row r="590" spans="48:51" ht="15.75" customHeight="1" x14ac:dyDescent="0.2">
      <c r="AV590" s="6"/>
      <c r="AW590" s="6"/>
      <c r="AX590" s="6"/>
      <c r="AY590" s="6"/>
    </row>
    <row r="591" spans="48:51" ht="15.75" customHeight="1" x14ac:dyDescent="0.2">
      <c r="AV591" s="6"/>
      <c r="AW591" s="6"/>
      <c r="AX591" s="6"/>
      <c r="AY591" s="6"/>
    </row>
    <row r="592" spans="48:51" ht="15.75" customHeight="1" x14ac:dyDescent="0.2">
      <c r="AV592" s="6"/>
      <c r="AW592" s="6"/>
      <c r="AX592" s="6"/>
      <c r="AY592" s="6"/>
    </row>
    <row r="593" spans="48:51" ht="15.75" customHeight="1" x14ac:dyDescent="0.2">
      <c r="AV593" s="6"/>
      <c r="AW593" s="6"/>
      <c r="AX593" s="6"/>
      <c r="AY593" s="6"/>
    </row>
    <row r="594" spans="48:51" ht="15.75" customHeight="1" x14ac:dyDescent="0.2">
      <c r="AV594" s="6"/>
      <c r="AW594" s="6"/>
      <c r="AX594" s="6"/>
      <c r="AY594" s="6"/>
    </row>
    <row r="595" spans="48:51" ht="15.75" customHeight="1" x14ac:dyDescent="0.2">
      <c r="AV595" s="6"/>
      <c r="AW595" s="6"/>
      <c r="AX595" s="6"/>
      <c r="AY595" s="6"/>
    </row>
    <row r="596" spans="48:51" ht="15.75" customHeight="1" x14ac:dyDescent="0.2">
      <c r="AV596" s="6"/>
      <c r="AW596" s="6"/>
      <c r="AX596" s="6"/>
      <c r="AY596" s="6"/>
    </row>
    <row r="597" spans="48:51" ht="15.75" customHeight="1" x14ac:dyDescent="0.2">
      <c r="AV597" s="6"/>
      <c r="AW597" s="6"/>
      <c r="AX597" s="6"/>
      <c r="AY597" s="6"/>
    </row>
    <row r="598" spans="48:51" ht="15.75" customHeight="1" x14ac:dyDescent="0.2">
      <c r="AV598" s="6"/>
      <c r="AW598" s="6"/>
      <c r="AX598" s="6"/>
      <c r="AY598" s="6"/>
    </row>
    <row r="599" spans="48:51" ht="15.75" customHeight="1" x14ac:dyDescent="0.2">
      <c r="AV599" s="6"/>
      <c r="AW599" s="6"/>
      <c r="AX599" s="6"/>
      <c r="AY599" s="6"/>
    </row>
    <row r="600" spans="48:51" ht="15.75" customHeight="1" x14ac:dyDescent="0.2">
      <c r="AV600" s="6"/>
      <c r="AW600" s="6"/>
      <c r="AX600" s="6"/>
      <c r="AY600" s="6"/>
    </row>
    <row r="601" spans="48:51" ht="15.75" customHeight="1" x14ac:dyDescent="0.2">
      <c r="AV601" s="6"/>
      <c r="AW601" s="6"/>
      <c r="AX601" s="6"/>
      <c r="AY601" s="6"/>
    </row>
    <row r="602" spans="48:51" ht="15.75" customHeight="1" x14ac:dyDescent="0.2">
      <c r="AV602" s="6"/>
      <c r="AW602" s="6"/>
      <c r="AX602" s="6"/>
      <c r="AY602" s="6"/>
    </row>
    <row r="603" spans="48:51" ht="15.75" customHeight="1" x14ac:dyDescent="0.2">
      <c r="AV603" s="6"/>
      <c r="AW603" s="6"/>
      <c r="AX603" s="6"/>
      <c r="AY603" s="6"/>
    </row>
    <row r="604" spans="48:51" ht="15.75" customHeight="1" x14ac:dyDescent="0.2">
      <c r="AV604" s="6"/>
      <c r="AW604" s="6"/>
      <c r="AX604" s="6"/>
      <c r="AY604" s="6"/>
    </row>
    <row r="605" spans="48:51" ht="15.75" customHeight="1" x14ac:dyDescent="0.2">
      <c r="AV605" s="6"/>
      <c r="AW605" s="6"/>
      <c r="AX605" s="6"/>
      <c r="AY605" s="6"/>
    </row>
    <row r="606" spans="48:51" ht="15.75" customHeight="1" x14ac:dyDescent="0.2">
      <c r="AV606" s="6"/>
      <c r="AW606" s="6"/>
      <c r="AX606" s="6"/>
      <c r="AY606" s="6"/>
    </row>
    <row r="607" spans="48:51" ht="15.75" customHeight="1" x14ac:dyDescent="0.2">
      <c r="AV607" s="6"/>
      <c r="AW607" s="6"/>
      <c r="AX607" s="6"/>
      <c r="AY607" s="6"/>
    </row>
    <row r="608" spans="48:51" ht="15.75" customHeight="1" x14ac:dyDescent="0.2">
      <c r="AV608" s="6"/>
      <c r="AW608" s="6"/>
      <c r="AX608" s="6"/>
      <c r="AY608" s="6"/>
    </row>
    <row r="609" spans="48:51" ht="15.75" customHeight="1" x14ac:dyDescent="0.2">
      <c r="AV609" s="6"/>
      <c r="AW609" s="6"/>
      <c r="AX609" s="6"/>
      <c r="AY609" s="6"/>
    </row>
    <row r="610" spans="48:51" ht="15.75" customHeight="1" x14ac:dyDescent="0.2">
      <c r="AV610" s="6"/>
      <c r="AW610" s="6"/>
      <c r="AX610" s="6"/>
      <c r="AY610" s="6"/>
    </row>
    <row r="611" spans="48:51" ht="15.75" customHeight="1" x14ac:dyDescent="0.2">
      <c r="AV611" s="6"/>
      <c r="AW611" s="6"/>
      <c r="AX611" s="6"/>
      <c r="AY611" s="6"/>
    </row>
    <row r="612" spans="48:51" ht="15.75" customHeight="1" x14ac:dyDescent="0.2">
      <c r="AV612" s="6"/>
      <c r="AW612" s="6"/>
      <c r="AX612" s="6"/>
      <c r="AY612" s="6"/>
    </row>
    <row r="613" spans="48:51" ht="15.75" customHeight="1" x14ac:dyDescent="0.2">
      <c r="AV613" s="6"/>
      <c r="AW613" s="6"/>
      <c r="AX613" s="6"/>
      <c r="AY613" s="6"/>
    </row>
    <row r="614" spans="48:51" ht="15.75" customHeight="1" x14ac:dyDescent="0.2">
      <c r="AV614" s="6"/>
      <c r="AW614" s="6"/>
      <c r="AX614" s="6"/>
      <c r="AY614" s="6"/>
    </row>
    <row r="615" spans="48:51" ht="15.75" customHeight="1" x14ac:dyDescent="0.2">
      <c r="AV615" s="6"/>
      <c r="AW615" s="6"/>
      <c r="AX615" s="6"/>
      <c r="AY615" s="6"/>
    </row>
    <row r="616" spans="48:51" ht="15.75" customHeight="1" x14ac:dyDescent="0.2">
      <c r="AV616" s="6"/>
      <c r="AW616" s="6"/>
      <c r="AX616" s="6"/>
      <c r="AY616" s="6"/>
    </row>
    <row r="617" spans="48:51" ht="15.75" customHeight="1" x14ac:dyDescent="0.2">
      <c r="AV617" s="6"/>
      <c r="AW617" s="6"/>
      <c r="AX617" s="6"/>
      <c r="AY617" s="6"/>
    </row>
    <row r="618" spans="48:51" ht="15.75" customHeight="1" x14ac:dyDescent="0.2">
      <c r="AV618" s="6"/>
      <c r="AW618" s="6"/>
      <c r="AX618" s="6"/>
      <c r="AY618" s="6"/>
    </row>
    <row r="619" spans="48:51" ht="15.75" customHeight="1" x14ac:dyDescent="0.2">
      <c r="AV619" s="6"/>
      <c r="AW619" s="6"/>
      <c r="AX619" s="6"/>
      <c r="AY619" s="6"/>
    </row>
    <row r="620" spans="48:51" ht="15.75" customHeight="1" x14ac:dyDescent="0.2">
      <c r="AV620" s="6"/>
      <c r="AW620" s="6"/>
      <c r="AX620" s="6"/>
      <c r="AY620" s="6"/>
    </row>
    <row r="621" spans="48:51" ht="15.75" customHeight="1" x14ac:dyDescent="0.2">
      <c r="AV621" s="6"/>
      <c r="AW621" s="6"/>
      <c r="AX621" s="6"/>
      <c r="AY621" s="6"/>
    </row>
    <row r="622" spans="48:51" ht="15.75" customHeight="1" x14ac:dyDescent="0.2">
      <c r="AV622" s="6"/>
      <c r="AW622" s="6"/>
      <c r="AX622" s="6"/>
      <c r="AY622" s="6"/>
    </row>
    <row r="623" spans="48:51" ht="15.75" customHeight="1" x14ac:dyDescent="0.2">
      <c r="AV623" s="6"/>
      <c r="AW623" s="6"/>
      <c r="AX623" s="6"/>
      <c r="AY623" s="6"/>
    </row>
    <row r="624" spans="48:51" ht="15.75" customHeight="1" x14ac:dyDescent="0.2">
      <c r="AV624" s="6"/>
      <c r="AW624" s="6"/>
      <c r="AX624" s="6"/>
      <c r="AY624" s="6"/>
    </row>
    <row r="625" spans="48:51" ht="15.75" customHeight="1" x14ac:dyDescent="0.2">
      <c r="AV625" s="6"/>
      <c r="AW625" s="6"/>
      <c r="AX625" s="6"/>
      <c r="AY625" s="6"/>
    </row>
    <row r="626" spans="48:51" ht="15.75" customHeight="1" x14ac:dyDescent="0.2">
      <c r="AV626" s="6"/>
      <c r="AW626" s="6"/>
      <c r="AX626" s="6"/>
      <c r="AY626" s="6"/>
    </row>
    <row r="627" spans="48:51" ht="15.75" customHeight="1" x14ac:dyDescent="0.2">
      <c r="AV627" s="6"/>
      <c r="AW627" s="6"/>
      <c r="AX627" s="6"/>
      <c r="AY627" s="6"/>
    </row>
    <row r="628" spans="48:51" ht="15.75" customHeight="1" x14ac:dyDescent="0.2">
      <c r="AV628" s="6"/>
      <c r="AW628" s="6"/>
      <c r="AX628" s="6"/>
      <c r="AY628" s="6"/>
    </row>
    <row r="629" spans="48:51" ht="15.75" customHeight="1" x14ac:dyDescent="0.2">
      <c r="AV629" s="6"/>
      <c r="AW629" s="6"/>
      <c r="AX629" s="6"/>
      <c r="AY629" s="6"/>
    </row>
    <row r="630" spans="48:51" ht="15.75" customHeight="1" x14ac:dyDescent="0.2">
      <c r="AV630" s="6"/>
      <c r="AW630" s="6"/>
      <c r="AX630" s="6"/>
      <c r="AY630" s="6"/>
    </row>
    <row r="631" spans="48:51" ht="15.75" customHeight="1" x14ac:dyDescent="0.2">
      <c r="AV631" s="6"/>
      <c r="AW631" s="6"/>
      <c r="AX631" s="6"/>
      <c r="AY631" s="6"/>
    </row>
    <row r="632" spans="48:51" ht="15.75" customHeight="1" x14ac:dyDescent="0.2">
      <c r="AV632" s="6"/>
      <c r="AW632" s="6"/>
      <c r="AX632" s="6"/>
      <c r="AY632" s="6"/>
    </row>
    <row r="633" spans="48:51" ht="15.75" customHeight="1" x14ac:dyDescent="0.2">
      <c r="AV633" s="6"/>
      <c r="AW633" s="6"/>
      <c r="AX633" s="6"/>
      <c r="AY633" s="6"/>
    </row>
    <row r="634" spans="48:51" ht="15.75" customHeight="1" x14ac:dyDescent="0.2">
      <c r="AV634" s="6"/>
      <c r="AW634" s="6"/>
      <c r="AX634" s="6"/>
      <c r="AY634" s="6"/>
    </row>
    <row r="635" spans="48:51" ht="15.75" customHeight="1" x14ac:dyDescent="0.2">
      <c r="AV635" s="6"/>
      <c r="AW635" s="6"/>
      <c r="AX635" s="6"/>
      <c r="AY635" s="6"/>
    </row>
    <row r="636" spans="48:51" ht="15.75" customHeight="1" x14ac:dyDescent="0.2">
      <c r="AV636" s="6"/>
      <c r="AW636" s="6"/>
      <c r="AX636" s="6"/>
      <c r="AY636" s="6"/>
    </row>
    <row r="637" spans="48:51" ht="15.75" customHeight="1" x14ac:dyDescent="0.2">
      <c r="AV637" s="6"/>
      <c r="AW637" s="6"/>
      <c r="AX637" s="6"/>
      <c r="AY637" s="6"/>
    </row>
    <row r="638" spans="48:51" ht="15.75" customHeight="1" x14ac:dyDescent="0.2">
      <c r="AV638" s="6"/>
      <c r="AW638" s="6"/>
      <c r="AX638" s="6"/>
      <c r="AY638" s="6"/>
    </row>
    <row r="639" spans="48:51" ht="15.75" customHeight="1" x14ac:dyDescent="0.2">
      <c r="AV639" s="6"/>
      <c r="AW639" s="6"/>
      <c r="AX639" s="6"/>
      <c r="AY639" s="6"/>
    </row>
    <row r="640" spans="48:51" ht="15.75" customHeight="1" x14ac:dyDescent="0.2">
      <c r="AV640" s="6"/>
      <c r="AW640" s="6"/>
      <c r="AX640" s="6"/>
      <c r="AY640" s="6"/>
    </row>
    <row r="641" spans="48:51" ht="15.75" customHeight="1" x14ac:dyDescent="0.2">
      <c r="AV641" s="6"/>
      <c r="AW641" s="6"/>
      <c r="AX641" s="6"/>
      <c r="AY641" s="6"/>
    </row>
    <row r="642" spans="48:51" ht="15.75" customHeight="1" x14ac:dyDescent="0.2">
      <c r="AV642" s="6"/>
      <c r="AW642" s="6"/>
      <c r="AX642" s="6"/>
      <c r="AY642" s="6"/>
    </row>
    <row r="643" spans="48:51" ht="15.75" customHeight="1" x14ac:dyDescent="0.2">
      <c r="AV643" s="6"/>
      <c r="AW643" s="6"/>
      <c r="AX643" s="6"/>
      <c r="AY643" s="6"/>
    </row>
    <row r="644" spans="48:51" ht="15.75" customHeight="1" x14ac:dyDescent="0.2">
      <c r="AV644" s="6"/>
      <c r="AW644" s="6"/>
      <c r="AX644" s="6"/>
      <c r="AY644" s="6"/>
    </row>
    <row r="645" spans="48:51" ht="15.75" customHeight="1" x14ac:dyDescent="0.2">
      <c r="AV645" s="6"/>
      <c r="AW645" s="6"/>
      <c r="AX645" s="6"/>
      <c r="AY645" s="6"/>
    </row>
    <row r="646" spans="48:51" ht="15.75" customHeight="1" x14ac:dyDescent="0.2">
      <c r="AV646" s="6"/>
      <c r="AW646" s="6"/>
      <c r="AX646" s="6"/>
      <c r="AY646" s="6"/>
    </row>
    <row r="647" spans="48:51" ht="15.75" customHeight="1" x14ac:dyDescent="0.2">
      <c r="AV647" s="6"/>
      <c r="AW647" s="6"/>
      <c r="AX647" s="6"/>
      <c r="AY647" s="6"/>
    </row>
    <row r="648" spans="48:51" ht="15.75" customHeight="1" x14ac:dyDescent="0.2">
      <c r="AV648" s="6"/>
      <c r="AW648" s="6"/>
      <c r="AX648" s="6"/>
      <c r="AY648" s="6"/>
    </row>
    <row r="649" spans="48:51" ht="15.75" customHeight="1" x14ac:dyDescent="0.2">
      <c r="AV649" s="6"/>
      <c r="AW649" s="6"/>
      <c r="AX649" s="6"/>
      <c r="AY649" s="6"/>
    </row>
    <row r="650" spans="48:51" ht="15.75" customHeight="1" x14ac:dyDescent="0.2">
      <c r="AV650" s="6"/>
      <c r="AW650" s="6"/>
      <c r="AX650" s="6"/>
      <c r="AY650" s="6"/>
    </row>
    <row r="651" spans="48:51" ht="15.75" customHeight="1" x14ac:dyDescent="0.2">
      <c r="AV651" s="6"/>
      <c r="AW651" s="6"/>
      <c r="AX651" s="6"/>
      <c r="AY651" s="6"/>
    </row>
    <row r="652" spans="48:51" ht="15.75" customHeight="1" x14ac:dyDescent="0.2">
      <c r="AV652" s="6"/>
      <c r="AW652" s="6"/>
      <c r="AX652" s="6"/>
      <c r="AY652" s="6"/>
    </row>
    <row r="653" spans="48:51" ht="15.75" customHeight="1" x14ac:dyDescent="0.2">
      <c r="AV653" s="6"/>
      <c r="AW653" s="6"/>
      <c r="AX653" s="6"/>
      <c r="AY653" s="6"/>
    </row>
    <row r="654" spans="48:51" ht="15.75" customHeight="1" x14ac:dyDescent="0.2">
      <c r="AV654" s="6"/>
      <c r="AW654" s="6"/>
      <c r="AX654" s="6"/>
      <c r="AY654" s="6"/>
    </row>
    <row r="655" spans="48:51" ht="15.75" customHeight="1" x14ac:dyDescent="0.2">
      <c r="AV655" s="6"/>
      <c r="AW655" s="6"/>
      <c r="AX655" s="6"/>
      <c r="AY655" s="6"/>
    </row>
    <row r="656" spans="48:51" ht="15.75" customHeight="1" x14ac:dyDescent="0.2">
      <c r="AV656" s="6"/>
      <c r="AW656" s="6"/>
      <c r="AX656" s="6"/>
      <c r="AY656" s="6"/>
    </row>
    <row r="657" spans="48:51" ht="15.75" customHeight="1" x14ac:dyDescent="0.2">
      <c r="AV657" s="6"/>
      <c r="AW657" s="6"/>
      <c r="AX657" s="6"/>
      <c r="AY657" s="6"/>
    </row>
    <row r="658" spans="48:51" ht="15.75" customHeight="1" x14ac:dyDescent="0.2">
      <c r="AV658" s="6"/>
      <c r="AW658" s="6"/>
      <c r="AX658" s="6"/>
      <c r="AY658" s="6"/>
    </row>
    <row r="659" spans="48:51" ht="15.75" customHeight="1" x14ac:dyDescent="0.2">
      <c r="AV659" s="6"/>
      <c r="AW659" s="6"/>
      <c r="AX659" s="6"/>
      <c r="AY659" s="6"/>
    </row>
    <row r="660" spans="48:51" ht="15.75" customHeight="1" x14ac:dyDescent="0.2">
      <c r="AV660" s="6"/>
      <c r="AW660" s="6"/>
      <c r="AX660" s="6"/>
      <c r="AY660" s="6"/>
    </row>
    <row r="661" spans="48:51" ht="15.75" customHeight="1" x14ac:dyDescent="0.2">
      <c r="AV661" s="6"/>
      <c r="AW661" s="6"/>
      <c r="AX661" s="6"/>
      <c r="AY661" s="6"/>
    </row>
    <row r="662" spans="48:51" ht="15.75" customHeight="1" x14ac:dyDescent="0.2">
      <c r="AV662" s="6"/>
      <c r="AW662" s="6"/>
      <c r="AX662" s="6"/>
      <c r="AY662" s="6"/>
    </row>
    <row r="663" spans="48:51" ht="15.75" customHeight="1" x14ac:dyDescent="0.2">
      <c r="AV663" s="6"/>
      <c r="AW663" s="6"/>
      <c r="AX663" s="6"/>
      <c r="AY663" s="6"/>
    </row>
    <row r="664" spans="48:51" ht="15.75" customHeight="1" x14ac:dyDescent="0.2">
      <c r="AV664" s="6"/>
      <c r="AW664" s="6"/>
      <c r="AX664" s="6"/>
      <c r="AY664" s="6"/>
    </row>
    <row r="665" spans="48:51" ht="15.75" customHeight="1" x14ac:dyDescent="0.2">
      <c r="AV665" s="6"/>
      <c r="AW665" s="6"/>
      <c r="AX665" s="6"/>
      <c r="AY665" s="6"/>
    </row>
    <row r="666" spans="48:51" ht="15.75" customHeight="1" x14ac:dyDescent="0.2">
      <c r="AV666" s="6"/>
      <c r="AW666" s="6"/>
      <c r="AX666" s="6"/>
      <c r="AY666" s="6"/>
    </row>
    <row r="667" spans="48:51" ht="15.75" customHeight="1" x14ac:dyDescent="0.2">
      <c r="AV667" s="6"/>
      <c r="AW667" s="6"/>
      <c r="AX667" s="6"/>
      <c r="AY667" s="6"/>
    </row>
    <row r="668" spans="48:51" ht="15.75" customHeight="1" x14ac:dyDescent="0.2">
      <c r="AV668" s="6"/>
      <c r="AW668" s="6"/>
      <c r="AX668" s="6"/>
      <c r="AY668" s="6"/>
    </row>
    <row r="669" spans="48:51" ht="15.75" customHeight="1" x14ac:dyDescent="0.2">
      <c r="AV669" s="6"/>
      <c r="AW669" s="6"/>
      <c r="AX669" s="6"/>
      <c r="AY669" s="6"/>
    </row>
    <row r="670" spans="48:51" ht="15.75" customHeight="1" x14ac:dyDescent="0.2">
      <c r="AV670" s="6"/>
      <c r="AW670" s="6"/>
      <c r="AX670" s="6"/>
      <c r="AY670" s="6"/>
    </row>
    <row r="671" spans="48:51" ht="15.75" customHeight="1" x14ac:dyDescent="0.2">
      <c r="AV671" s="6"/>
      <c r="AW671" s="6"/>
      <c r="AX671" s="6"/>
      <c r="AY671" s="6"/>
    </row>
    <row r="672" spans="48:51" ht="15.75" customHeight="1" x14ac:dyDescent="0.2">
      <c r="AV672" s="6"/>
      <c r="AW672" s="6"/>
      <c r="AX672" s="6"/>
      <c r="AY672" s="6"/>
    </row>
    <row r="673" spans="48:51" ht="15.75" customHeight="1" x14ac:dyDescent="0.2">
      <c r="AV673" s="6"/>
      <c r="AW673" s="6"/>
      <c r="AX673" s="6"/>
      <c r="AY673" s="6"/>
    </row>
    <row r="674" spans="48:51" ht="15.75" customHeight="1" x14ac:dyDescent="0.2">
      <c r="AV674" s="6"/>
      <c r="AW674" s="6"/>
      <c r="AX674" s="6"/>
      <c r="AY674" s="6"/>
    </row>
    <row r="675" spans="48:51" ht="15.75" customHeight="1" x14ac:dyDescent="0.2">
      <c r="AV675" s="6"/>
      <c r="AW675" s="6"/>
      <c r="AX675" s="6"/>
      <c r="AY675" s="6"/>
    </row>
    <row r="676" spans="48:51" ht="15.75" customHeight="1" x14ac:dyDescent="0.2">
      <c r="AV676" s="6"/>
      <c r="AW676" s="6"/>
      <c r="AX676" s="6"/>
      <c r="AY676" s="6"/>
    </row>
    <row r="677" spans="48:51" ht="15.75" customHeight="1" x14ac:dyDescent="0.2">
      <c r="AV677" s="6"/>
      <c r="AW677" s="6"/>
      <c r="AX677" s="6"/>
      <c r="AY677" s="6"/>
    </row>
    <row r="678" spans="48:51" ht="15.75" customHeight="1" x14ac:dyDescent="0.2">
      <c r="AV678" s="6"/>
      <c r="AW678" s="6"/>
      <c r="AX678" s="6"/>
      <c r="AY678" s="6"/>
    </row>
    <row r="679" spans="48:51" ht="15.75" customHeight="1" x14ac:dyDescent="0.2">
      <c r="AV679" s="6"/>
      <c r="AW679" s="6"/>
      <c r="AX679" s="6"/>
      <c r="AY679" s="6"/>
    </row>
    <row r="680" spans="48:51" ht="15.75" customHeight="1" x14ac:dyDescent="0.2">
      <c r="AV680" s="6"/>
      <c r="AW680" s="6"/>
      <c r="AX680" s="6"/>
      <c r="AY680" s="6"/>
    </row>
    <row r="681" spans="48:51" ht="15.75" customHeight="1" x14ac:dyDescent="0.2">
      <c r="AV681" s="6"/>
      <c r="AW681" s="6"/>
      <c r="AX681" s="6"/>
      <c r="AY681" s="6"/>
    </row>
    <row r="682" spans="48:51" ht="15.75" customHeight="1" x14ac:dyDescent="0.2">
      <c r="AV682" s="6"/>
      <c r="AW682" s="6"/>
      <c r="AX682" s="6"/>
      <c r="AY682" s="6"/>
    </row>
    <row r="683" spans="48:51" ht="15.75" customHeight="1" x14ac:dyDescent="0.2">
      <c r="AV683" s="6"/>
      <c r="AW683" s="6"/>
      <c r="AX683" s="6"/>
      <c r="AY683" s="6"/>
    </row>
    <row r="684" spans="48:51" ht="15.75" customHeight="1" x14ac:dyDescent="0.2">
      <c r="AV684" s="6"/>
      <c r="AW684" s="6"/>
      <c r="AX684" s="6"/>
      <c r="AY684" s="6"/>
    </row>
    <row r="685" spans="48:51" ht="15.75" customHeight="1" x14ac:dyDescent="0.2">
      <c r="AV685" s="6"/>
      <c r="AW685" s="6"/>
      <c r="AX685" s="6"/>
      <c r="AY685" s="6"/>
    </row>
    <row r="686" spans="48:51" ht="15.75" customHeight="1" x14ac:dyDescent="0.2">
      <c r="AV686" s="6"/>
      <c r="AW686" s="6"/>
      <c r="AX686" s="6"/>
      <c r="AY686" s="6"/>
    </row>
    <row r="687" spans="48:51" ht="15.75" customHeight="1" x14ac:dyDescent="0.2">
      <c r="AV687" s="6"/>
      <c r="AW687" s="6"/>
      <c r="AX687" s="6"/>
      <c r="AY687" s="6"/>
    </row>
    <row r="688" spans="48:51" ht="15.75" customHeight="1" x14ac:dyDescent="0.2">
      <c r="AV688" s="6"/>
      <c r="AW688" s="6"/>
      <c r="AX688" s="6"/>
      <c r="AY688" s="6"/>
    </row>
    <row r="689" spans="48:51" ht="15.75" customHeight="1" x14ac:dyDescent="0.2">
      <c r="AV689" s="6"/>
      <c r="AW689" s="6"/>
      <c r="AX689" s="6"/>
      <c r="AY689" s="6"/>
    </row>
    <row r="690" spans="48:51" ht="15.75" customHeight="1" x14ac:dyDescent="0.2">
      <c r="AV690" s="6"/>
      <c r="AW690" s="6"/>
      <c r="AX690" s="6"/>
      <c r="AY690" s="6"/>
    </row>
    <row r="691" spans="48:51" ht="15.75" customHeight="1" x14ac:dyDescent="0.2">
      <c r="AV691" s="6"/>
      <c r="AW691" s="6"/>
      <c r="AX691" s="6"/>
      <c r="AY691" s="6"/>
    </row>
    <row r="692" spans="48:51" ht="15.75" customHeight="1" x14ac:dyDescent="0.2">
      <c r="AV692" s="6"/>
      <c r="AW692" s="6"/>
      <c r="AX692" s="6"/>
      <c r="AY692" s="6"/>
    </row>
    <row r="693" spans="48:51" ht="15.75" customHeight="1" x14ac:dyDescent="0.2">
      <c r="AV693" s="6"/>
      <c r="AW693" s="6"/>
      <c r="AX693" s="6"/>
      <c r="AY693" s="6"/>
    </row>
    <row r="694" spans="48:51" ht="15.75" customHeight="1" x14ac:dyDescent="0.2">
      <c r="AV694" s="6"/>
      <c r="AW694" s="6"/>
      <c r="AX694" s="6"/>
      <c r="AY694" s="6"/>
    </row>
    <row r="695" spans="48:51" ht="15.75" customHeight="1" x14ac:dyDescent="0.2">
      <c r="AV695" s="6"/>
      <c r="AW695" s="6"/>
      <c r="AX695" s="6"/>
      <c r="AY695" s="6"/>
    </row>
    <row r="696" spans="48:51" ht="15.75" customHeight="1" x14ac:dyDescent="0.2">
      <c r="AV696" s="6"/>
      <c r="AW696" s="6"/>
      <c r="AX696" s="6"/>
      <c r="AY696" s="6"/>
    </row>
    <row r="697" spans="48:51" ht="15.75" customHeight="1" x14ac:dyDescent="0.2">
      <c r="AV697" s="6"/>
      <c r="AW697" s="6"/>
      <c r="AX697" s="6"/>
      <c r="AY697" s="6"/>
    </row>
    <row r="698" spans="48:51" ht="15.75" customHeight="1" x14ac:dyDescent="0.2">
      <c r="AV698" s="6"/>
      <c r="AW698" s="6"/>
      <c r="AX698" s="6"/>
      <c r="AY698" s="6"/>
    </row>
    <row r="699" spans="48:51" ht="15.75" customHeight="1" x14ac:dyDescent="0.2">
      <c r="AV699" s="6"/>
      <c r="AW699" s="6"/>
      <c r="AX699" s="6"/>
      <c r="AY699" s="6"/>
    </row>
    <row r="700" spans="48:51" ht="15.75" customHeight="1" x14ac:dyDescent="0.2">
      <c r="AV700" s="6"/>
      <c r="AW700" s="6"/>
      <c r="AX700" s="6"/>
      <c r="AY700" s="6"/>
    </row>
    <row r="701" spans="48:51" ht="15.75" customHeight="1" x14ac:dyDescent="0.2">
      <c r="AV701" s="6"/>
      <c r="AW701" s="6"/>
      <c r="AX701" s="6"/>
      <c r="AY701" s="6"/>
    </row>
    <row r="702" spans="48:51" ht="15.75" customHeight="1" x14ac:dyDescent="0.2">
      <c r="AV702" s="6"/>
      <c r="AW702" s="6"/>
      <c r="AX702" s="6"/>
      <c r="AY702" s="6"/>
    </row>
    <row r="703" spans="48:51" ht="15.75" customHeight="1" x14ac:dyDescent="0.2">
      <c r="AV703" s="6"/>
      <c r="AW703" s="6"/>
      <c r="AX703" s="6"/>
      <c r="AY703" s="6"/>
    </row>
    <row r="704" spans="48:51" ht="15.75" customHeight="1" x14ac:dyDescent="0.2">
      <c r="AV704" s="6"/>
      <c r="AW704" s="6"/>
      <c r="AX704" s="6"/>
      <c r="AY704" s="6"/>
    </row>
    <row r="705" spans="48:51" ht="15.75" customHeight="1" x14ac:dyDescent="0.2">
      <c r="AV705" s="6"/>
      <c r="AW705" s="6"/>
      <c r="AX705" s="6"/>
      <c r="AY705" s="6"/>
    </row>
    <row r="706" spans="48:51" ht="15.75" customHeight="1" x14ac:dyDescent="0.2">
      <c r="AV706" s="6"/>
      <c r="AW706" s="6"/>
      <c r="AX706" s="6"/>
      <c r="AY706" s="6"/>
    </row>
    <row r="707" spans="48:51" ht="15.75" customHeight="1" x14ac:dyDescent="0.2">
      <c r="AV707" s="6"/>
      <c r="AW707" s="6"/>
      <c r="AX707" s="6"/>
      <c r="AY707" s="6"/>
    </row>
    <row r="708" spans="48:51" ht="15.75" customHeight="1" x14ac:dyDescent="0.2">
      <c r="AV708" s="6"/>
      <c r="AW708" s="6"/>
      <c r="AX708" s="6"/>
      <c r="AY708" s="6"/>
    </row>
    <row r="709" spans="48:51" ht="15.75" customHeight="1" x14ac:dyDescent="0.2">
      <c r="AV709" s="6"/>
      <c r="AW709" s="6"/>
      <c r="AX709" s="6"/>
      <c r="AY709" s="6"/>
    </row>
    <row r="710" spans="48:51" ht="15.75" customHeight="1" x14ac:dyDescent="0.2">
      <c r="AV710" s="6"/>
      <c r="AW710" s="6"/>
      <c r="AX710" s="6"/>
      <c r="AY710" s="6"/>
    </row>
    <row r="711" spans="48:51" ht="15.75" customHeight="1" x14ac:dyDescent="0.2">
      <c r="AV711" s="6"/>
      <c r="AW711" s="6"/>
      <c r="AX711" s="6"/>
      <c r="AY711" s="6"/>
    </row>
    <row r="712" spans="48:51" ht="15.75" customHeight="1" x14ac:dyDescent="0.2">
      <c r="AV712" s="6"/>
      <c r="AW712" s="6"/>
      <c r="AX712" s="6"/>
      <c r="AY712" s="6"/>
    </row>
    <row r="713" spans="48:51" ht="15.75" customHeight="1" x14ac:dyDescent="0.2">
      <c r="AV713" s="6"/>
      <c r="AW713" s="6"/>
      <c r="AX713" s="6"/>
      <c r="AY713" s="6"/>
    </row>
    <row r="714" spans="48:51" ht="15.75" customHeight="1" x14ac:dyDescent="0.2">
      <c r="AV714" s="6"/>
      <c r="AW714" s="6"/>
      <c r="AX714" s="6"/>
      <c r="AY714" s="6"/>
    </row>
    <row r="715" spans="48:51" ht="15.75" customHeight="1" x14ac:dyDescent="0.2">
      <c r="AV715" s="6"/>
      <c r="AW715" s="6"/>
      <c r="AX715" s="6"/>
      <c r="AY715" s="6"/>
    </row>
    <row r="716" spans="48:51" ht="15.75" customHeight="1" x14ac:dyDescent="0.2">
      <c r="AV716" s="6"/>
      <c r="AW716" s="6"/>
      <c r="AX716" s="6"/>
      <c r="AY716" s="6"/>
    </row>
    <row r="717" spans="48:51" ht="15.75" customHeight="1" x14ac:dyDescent="0.2">
      <c r="AV717" s="6"/>
      <c r="AW717" s="6"/>
      <c r="AX717" s="6"/>
      <c r="AY717" s="6"/>
    </row>
    <row r="718" spans="48:51" ht="15.75" customHeight="1" x14ac:dyDescent="0.2">
      <c r="AV718" s="6"/>
      <c r="AW718" s="6"/>
      <c r="AX718" s="6"/>
      <c r="AY718" s="6"/>
    </row>
    <row r="719" spans="48:51" ht="15.75" customHeight="1" x14ac:dyDescent="0.2">
      <c r="AV719" s="6"/>
      <c r="AW719" s="6"/>
      <c r="AX719" s="6"/>
      <c r="AY719" s="6"/>
    </row>
    <row r="720" spans="48:51" ht="15.75" customHeight="1" x14ac:dyDescent="0.2">
      <c r="AV720" s="6"/>
      <c r="AW720" s="6"/>
      <c r="AX720" s="6"/>
      <c r="AY720" s="6"/>
    </row>
    <row r="721" spans="48:51" ht="15.75" customHeight="1" x14ac:dyDescent="0.2">
      <c r="AV721" s="6"/>
      <c r="AW721" s="6"/>
      <c r="AX721" s="6"/>
      <c r="AY721" s="6"/>
    </row>
    <row r="722" spans="48:51" ht="15.75" customHeight="1" x14ac:dyDescent="0.2">
      <c r="AV722" s="6"/>
      <c r="AW722" s="6"/>
      <c r="AX722" s="6"/>
      <c r="AY722" s="6"/>
    </row>
    <row r="723" spans="48:51" ht="15.75" customHeight="1" x14ac:dyDescent="0.2">
      <c r="AV723" s="6"/>
      <c r="AW723" s="6"/>
      <c r="AX723" s="6"/>
      <c r="AY723" s="6"/>
    </row>
    <row r="724" spans="48:51" ht="15.75" customHeight="1" x14ac:dyDescent="0.2">
      <c r="AV724" s="6"/>
      <c r="AW724" s="6"/>
      <c r="AX724" s="6"/>
      <c r="AY724" s="6"/>
    </row>
    <row r="725" spans="48:51" ht="15.75" customHeight="1" x14ac:dyDescent="0.2">
      <c r="AV725" s="6"/>
      <c r="AW725" s="6"/>
      <c r="AX725" s="6"/>
      <c r="AY725" s="6"/>
    </row>
    <row r="726" spans="48:51" ht="15.75" customHeight="1" x14ac:dyDescent="0.2">
      <c r="AV726" s="6"/>
      <c r="AW726" s="6"/>
      <c r="AX726" s="6"/>
      <c r="AY726" s="6"/>
    </row>
    <row r="727" spans="48:51" ht="15.75" customHeight="1" x14ac:dyDescent="0.2">
      <c r="AV727" s="6"/>
      <c r="AW727" s="6"/>
      <c r="AX727" s="6"/>
      <c r="AY727" s="6"/>
    </row>
    <row r="728" spans="48:51" ht="15.75" customHeight="1" x14ac:dyDescent="0.2">
      <c r="AV728" s="6"/>
      <c r="AW728" s="6"/>
      <c r="AX728" s="6"/>
      <c r="AY728" s="6"/>
    </row>
    <row r="729" spans="48:51" ht="15.75" customHeight="1" x14ac:dyDescent="0.2">
      <c r="AV729" s="6"/>
      <c r="AW729" s="6"/>
      <c r="AX729" s="6"/>
      <c r="AY729" s="6"/>
    </row>
    <row r="730" spans="48:51" ht="15.75" customHeight="1" x14ac:dyDescent="0.2">
      <c r="AV730" s="6"/>
      <c r="AW730" s="6"/>
      <c r="AX730" s="6"/>
      <c r="AY730" s="6"/>
    </row>
    <row r="731" spans="48:51" ht="15.75" customHeight="1" x14ac:dyDescent="0.2">
      <c r="AV731" s="6"/>
      <c r="AW731" s="6"/>
      <c r="AX731" s="6"/>
      <c r="AY731" s="6"/>
    </row>
    <row r="732" spans="48:51" ht="15.75" customHeight="1" x14ac:dyDescent="0.2">
      <c r="AV732" s="6"/>
      <c r="AW732" s="6"/>
      <c r="AX732" s="6"/>
      <c r="AY732" s="6"/>
    </row>
    <row r="733" spans="48:51" ht="15.75" customHeight="1" x14ac:dyDescent="0.2">
      <c r="AV733" s="6"/>
      <c r="AW733" s="6"/>
      <c r="AX733" s="6"/>
      <c r="AY733" s="6"/>
    </row>
    <row r="734" spans="48:51" ht="15.75" customHeight="1" x14ac:dyDescent="0.2">
      <c r="AV734" s="6"/>
      <c r="AW734" s="6"/>
      <c r="AX734" s="6"/>
      <c r="AY734" s="6"/>
    </row>
    <row r="735" spans="48:51" ht="15.75" customHeight="1" x14ac:dyDescent="0.2">
      <c r="AV735" s="6"/>
      <c r="AW735" s="6"/>
      <c r="AX735" s="6"/>
      <c r="AY735" s="6"/>
    </row>
    <row r="736" spans="48:51" ht="15.75" customHeight="1" x14ac:dyDescent="0.2">
      <c r="AV736" s="6"/>
      <c r="AW736" s="6"/>
      <c r="AX736" s="6"/>
      <c r="AY736" s="6"/>
    </row>
    <row r="737" spans="48:51" ht="15.75" customHeight="1" x14ac:dyDescent="0.2">
      <c r="AV737" s="6"/>
      <c r="AW737" s="6"/>
      <c r="AX737" s="6"/>
      <c r="AY737" s="6"/>
    </row>
    <row r="738" spans="48:51" ht="15.75" customHeight="1" x14ac:dyDescent="0.2">
      <c r="AV738" s="6"/>
      <c r="AW738" s="6"/>
      <c r="AX738" s="6"/>
      <c r="AY738" s="6"/>
    </row>
    <row r="739" spans="48:51" ht="15.75" customHeight="1" x14ac:dyDescent="0.2">
      <c r="AV739" s="6"/>
      <c r="AW739" s="6"/>
      <c r="AX739" s="6"/>
      <c r="AY739" s="6"/>
    </row>
    <row r="740" spans="48:51" ht="15.75" customHeight="1" x14ac:dyDescent="0.2">
      <c r="AV740" s="6"/>
      <c r="AW740" s="6"/>
      <c r="AX740" s="6"/>
      <c r="AY740" s="6"/>
    </row>
    <row r="741" spans="48:51" ht="15.75" customHeight="1" x14ac:dyDescent="0.2">
      <c r="AV741" s="6"/>
      <c r="AW741" s="6"/>
      <c r="AX741" s="6"/>
      <c r="AY741" s="6"/>
    </row>
    <row r="742" spans="48:51" ht="15.75" customHeight="1" x14ac:dyDescent="0.2">
      <c r="AV742" s="6"/>
      <c r="AW742" s="6"/>
      <c r="AX742" s="6"/>
      <c r="AY742" s="6"/>
    </row>
    <row r="743" spans="48:51" ht="15.75" customHeight="1" x14ac:dyDescent="0.2">
      <c r="AV743" s="6"/>
      <c r="AW743" s="6"/>
      <c r="AX743" s="6"/>
      <c r="AY743" s="6"/>
    </row>
    <row r="744" spans="48:51" ht="15.75" customHeight="1" x14ac:dyDescent="0.2">
      <c r="AV744" s="6"/>
      <c r="AW744" s="6"/>
      <c r="AX744" s="6"/>
      <c r="AY744" s="6"/>
    </row>
    <row r="745" spans="48:51" ht="15.75" customHeight="1" x14ac:dyDescent="0.2">
      <c r="AV745" s="6"/>
      <c r="AW745" s="6"/>
      <c r="AX745" s="6"/>
      <c r="AY745" s="6"/>
    </row>
    <row r="746" spans="48:51" ht="15.75" customHeight="1" x14ac:dyDescent="0.2">
      <c r="AV746" s="6"/>
      <c r="AW746" s="6"/>
      <c r="AX746" s="6"/>
      <c r="AY746" s="6"/>
    </row>
    <row r="747" spans="48:51" ht="15.75" customHeight="1" x14ac:dyDescent="0.2">
      <c r="AV747" s="6"/>
      <c r="AW747" s="6"/>
      <c r="AX747" s="6"/>
      <c r="AY747" s="6"/>
    </row>
    <row r="748" spans="48:51" ht="15.75" customHeight="1" x14ac:dyDescent="0.2">
      <c r="AV748" s="6"/>
      <c r="AW748" s="6"/>
      <c r="AX748" s="6"/>
      <c r="AY748" s="6"/>
    </row>
    <row r="749" spans="48:51" ht="15.75" customHeight="1" x14ac:dyDescent="0.2">
      <c r="AV749" s="6"/>
      <c r="AW749" s="6"/>
      <c r="AX749" s="6"/>
      <c r="AY749" s="6"/>
    </row>
    <row r="750" spans="48:51" ht="15.75" customHeight="1" x14ac:dyDescent="0.2">
      <c r="AV750" s="6"/>
      <c r="AW750" s="6"/>
      <c r="AX750" s="6"/>
      <c r="AY750" s="6"/>
    </row>
    <row r="751" spans="48:51" ht="15.75" customHeight="1" x14ac:dyDescent="0.2">
      <c r="AV751" s="6"/>
      <c r="AW751" s="6"/>
      <c r="AX751" s="6"/>
      <c r="AY751" s="6"/>
    </row>
    <row r="752" spans="48:51" ht="15.75" customHeight="1" x14ac:dyDescent="0.2">
      <c r="AV752" s="6"/>
      <c r="AW752" s="6"/>
      <c r="AX752" s="6"/>
      <c r="AY752" s="6"/>
    </row>
    <row r="753" spans="48:51" ht="15.75" customHeight="1" x14ac:dyDescent="0.2">
      <c r="AV753" s="6"/>
      <c r="AW753" s="6"/>
      <c r="AX753" s="6"/>
      <c r="AY753" s="6"/>
    </row>
    <row r="754" spans="48:51" ht="15.75" customHeight="1" x14ac:dyDescent="0.2">
      <c r="AV754" s="6"/>
      <c r="AW754" s="6"/>
      <c r="AX754" s="6"/>
      <c r="AY754" s="6"/>
    </row>
    <row r="755" spans="48:51" ht="15.75" customHeight="1" x14ac:dyDescent="0.2">
      <c r="AV755" s="6"/>
      <c r="AW755" s="6"/>
      <c r="AX755" s="6"/>
      <c r="AY755" s="6"/>
    </row>
    <row r="756" spans="48:51" ht="15.75" customHeight="1" x14ac:dyDescent="0.2">
      <c r="AV756" s="6"/>
      <c r="AW756" s="6"/>
      <c r="AX756" s="6"/>
      <c r="AY756" s="6"/>
    </row>
    <row r="757" spans="48:51" ht="15.75" customHeight="1" x14ac:dyDescent="0.2">
      <c r="AV757" s="6"/>
      <c r="AW757" s="6"/>
      <c r="AX757" s="6"/>
      <c r="AY757" s="6"/>
    </row>
    <row r="758" spans="48:51" ht="15.75" customHeight="1" x14ac:dyDescent="0.2">
      <c r="AV758" s="6"/>
      <c r="AW758" s="6"/>
      <c r="AX758" s="6"/>
      <c r="AY758" s="6"/>
    </row>
    <row r="759" spans="48:51" ht="15.75" customHeight="1" x14ac:dyDescent="0.2">
      <c r="AV759" s="6"/>
      <c r="AW759" s="6"/>
      <c r="AX759" s="6"/>
      <c r="AY759" s="6"/>
    </row>
    <row r="760" spans="48:51" ht="15.75" customHeight="1" x14ac:dyDescent="0.2">
      <c r="AV760" s="6"/>
      <c r="AW760" s="6"/>
      <c r="AX760" s="6"/>
      <c r="AY760" s="6"/>
    </row>
    <row r="761" spans="48:51" ht="15.75" customHeight="1" x14ac:dyDescent="0.2">
      <c r="AV761" s="6"/>
      <c r="AW761" s="6"/>
      <c r="AX761" s="6"/>
      <c r="AY761" s="6"/>
    </row>
    <row r="762" spans="48:51" ht="15.75" customHeight="1" x14ac:dyDescent="0.2">
      <c r="AV762" s="6"/>
      <c r="AW762" s="6"/>
      <c r="AX762" s="6"/>
      <c r="AY762" s="6"/>
    </row>
    <row r="763" spans="48:51" ht="15.75" customHeight="1" x14ac:dyDescent="0.2">
      <c r="AV763" s="6"/>
      <c r="AW763" s="6"/>
      <c r="AX763" s="6"/>
      <c r="AY763" s="6"/>
    </row>
    <row r="764" spans="48:51" ht="15.75" customHeight="1" x14ac:dyDescent="0.2">
      <c r="AV764" s="6"/>
      <c r="AW764" s="6"/>
      <c r="AX764" s="6"/>
      <c r="AY764" s="6"/>
    </row>
    <row r="765" spans="48:51" ht="15.75" customHeight="1" x14ac:dyDescent="0.2">
      <c r="AV765" s="6"/>
      <c r="AW765" s="6"/>
      <c r="AX765" s="6"/>
      <c r="AY765" s="6"/>
    </row>
    <row r="766" spans="48:51" ht="15.75" customHeight="1" x14ac:dyDescent="0.2">
      <c r="AV766" s="6"/>
      <c r="AW766" s="6"/>
      <c r="AX766" s="6"/>
      <c r="AY766" s="6"/>
    </row>
    <row r="767" spans="48:51" ht="15.75" customHeight="1" x14ac:dyDescent="0.2">
      <c r="AV767" s="6"/>
      <c r="AW767" s="6"/>
      <c r="AX767" s="6"/>
      <c r="AY767" s="6"/>
    </row>
    <row r="768" spans="48:51" ht="15.75" customHeight="1" x14ac:dyDescent="0.2">
      <c r="AV768" s="6"/>
      <c r="AW768" s="6"/>
      <c r="AX768" s="6"/>
      <c r="AY768" s="6"/>
    </row>
    <row r="769" spans="48:51" ht="15.75" customHeight="1" x14ac:dyDescent="0.2">
      <c r="AV769" s="6"/>
      <c r="AW769" s="6"/>
      <c r="AX769" s="6"/>
      <c r="AY769" s="6"/>
    </row>
    <row r="770" spans="48:51" ht="15.75" customHeight="1" x14ac:dyDescent="0.2">
      <c r="AV770" s="6"/>
      <c r="AW770" s="6"/>
      <c r="AX770" s="6"/>
      <c r="AY770" s="6"/>
    </row>
    <row r="771" spans="48:51" ht="15.75" customHeight="1" x14ac:dyDescent="0.2">
      <c r="AV771" s="6"/>
      <c r="AW771" s="6"/>
      <c r="AX771" s="6"/>
      <c r="AY771" s="6"/>
    </row>
    <row r="772" spans="48:51" ht="15.75" customHeight="1" x14ac:dyDescent="0.2">
      <c r="AV772" s="6"/>
      <c r="AW772" s="6"/>
      <c r="AX772" s="6"/>
      <c r="AY772" s="6"/>
    </row>
    <row r="773" spans="48:51" ht="15.75" customHeight="1" x14ac:dyDescent="0.2">
      <c r="AV773" s="6"/>
      <c r="AW773" s="6"/>
      <c r="AX773" s="6"/>
      <c r="AY773" s="6"/>
    </row>
    <row r="774" spans="48:51" ht="15.75" customHeight="1" x14ac:dyDescent="0.2">
      <c r="AV774" s="6"/>
      <c r="AW774" s="6"/>
      <c r="AX774" s="6"/>
      <c r="AY774" s="6"/>
    </row>
    <row r="775" spans="48:51" ht="15.75" customHeight="1" x14ac:dyDescent="0.2">
      <c r="AV775" s="6"/>
      <c r="AW775" s="6"/>
      <c r="AX775" s="6"/>
      <c r="AY775" s="6"/>
    </row>
    <row r="776" spans="48:51" ht="15.75" customHeight="1" x14ac:dyDescent="0.2">
      <c r="AV776" s="6"/>
      <c r="AW776" s="6"/>
      <c r="AX776" s="6"/>
      <c r="AY776" s="6"/>
    </row>
    <row r="777" spans="48:51" ht="15.75" customHeight="1" x14ac:dyDescent="0.2">
      <c r="AV777" s="6"/>
      <c r="AW777" s="6"/>
      <c r="AX777" s="6"/>
      <c r="AY777" s="6"/>
    </row>
    <row r="778" spans="48:51" ht="15.75" customHeight="1" x14ac:dyDescent="0.2">
      <c r="AV778" s="6"/>
      <c r="AW778" s="6"/>
      <c r="AX778" s="6"/>
      <c r="AY778" s="6"/>
    </row>
    <row r="779" spans="48:51" ht="15.75" customHeight="1" x14ac:dyDescent="0.2">
      <c r="AV779" s="6"/>
      <c r="AW779" s="6"/>
      <c r="AX779" s="6"/>
      <c r="AY779" s="6"/>
    </row>
    <row r="780" spans="48:51" ht="15.75" customHeight="1" x14ac:dyDescent="0.2">
      <c r="AV780" s="6"/>
      <c r="AW780" s="6"/>
      <c r="AX780" s="6"/>
      <c r="AY780" s="6"/>
    </row>
    <row r="781" spans="48:51" ht="15.75" customHeight="1" x14ac:dyDescent="0.2">
      <c r="AV781" s="6"/>
      <c r="AW781" s="6"/>
      <c r="AX781" s="6"/>
      <c r="AY781" s="6"/>
    </row>
    <row r="782" spans="48:51" ht="15.75" customHeight="1" x14ac:dyDescent="0.2">
      <c r="AV782" s="6"/>
      <c r="AW782" s="6"/>
      <c r="AX782" s="6"/>
      <c r="AY782" s="6"/>
    </row>
    <row r="783" spans="48:51" ht="15.75" customHeight="1" x14ac:dyDescent="0.2">
      <c r="AV783" s="6"/>
      <c r="AW783" s="6"/>
      <c r="AX783" s="6"/>
      <c r="AY783" s="6"/>
    </row>
    <row r="784" spans="48:51" ht="15.75" customHeight="1" x14ac:dyDescent="0.2">
      <c r="AV784" s="6"/>
      <c r="AW784" s="6"/>
      <c r="AX784" s="6"/>
      <c r="AY784" s="6"/>
    </row>
    <row r="785" spans="48:51" ht="15.75" customHeight="1" x14ac:dyDescent="0.2">
      <c r="AV785" s="6"/>
      <c r="AW785" s="6"/>
      <c r="AX785" s="6"/>
      <c r="AY785" s="6"/>
    </row>
    <row r="786" spans="48:51" ht="15.75" customHeight="1" x14ac:dyDescent="0.2">
      <c r="AV786" s="6"/>
      <c r="AW786" s="6"/>
      <c r="AX786" s="6"/>
      <c r="AY786" s="6"/>
    </row>
    <row r="787" spans="48:51" ht="15.75" customHeight="1" x14ac:dyDescent="0.2">
      <c r="AV787" s="6"/>
      <c r="AW787" s="6"/>
      <c r="AX787" s="6"/>
      <c r="AY787" s="6"/>
    </row>
    <row r="788" spans="48:51" ht="15.75" customHeight="1" x14ac:dyDescent="0.2">
      <c r="AV788" s="6"/>
      <c r="AW788" s="6"/>
      <c r="AX788" s="6"/>
      <c r="AY788" s="6"/>
    </row>
    <row r="789" spans="48:51" ht="15.75" customHeight="1" x14ac:dyDescent="0.2">
      <c r="AV789" s="6"/>
      <c r="AW789" s="6"/>
      <c r="AX789" s="6"/>
      <c r="AY789" s="6"/>
    </row>
    <row r="790" spans="48:51" ht="15.75" customHeight="1" x14ac:dyDescent="0.2">
      <c r="AV790" s="6"/>
      <c r="AW790" s="6"/>
      <c r="AX790" s="6"/>
      <c r="AY790" s="6"/>
    </row>
    <row r="791" spans="48:51" ht="15.75" customHeight="1" x14ac:dyDescent="0.2">
      <c r="AV791" s="6"/>
      <c r="AW791" s="6"/>
      <c r="AX791" s="6"/>
      <c r="AY791" s="6"/>
    </row>
    <row r="792" spans="48:51" ht="15.75" customHeight="1" x14ac:dyDescent="0.2">
      <c r="AV792" s="6"/>
      <c r="AW792" s="6"/>
      <c r="AX792" s="6"/>
      <c r="AY792" s="6"/>
    </row>
    <row r="793" spans="48:51" ht="15.75" customHeight="1" x14ac:dyDescent="0.2">
      <c r="AV793" s="6"/>
      <c r="AW793" s="6"/>
      <c r="AX793" s="6"/>
      <c r="AY793" s="6"/>
    </row>
    <row r="794" spans="48:51" ht="15.75" customHeight="1" x14ac:dyDescent="0.2">
      <c r="AV794" s="6"/>
      <c r="AW794" s="6"/>
      <c r="AX794" s="6"/>
      <c r="AY794" s="6"/>
    </row>
    <row r="795" spans="48:51" ht="15.75" customHeight="1" x14ac:dyDescent="0.2">
      <c r="AV795" s="6"/>
      <c r="AW795" s="6"/>
      <c r="AX795" s="6"/>
      <c r="AY795" s="6"/>
    </row>
    <row r="796" spans="48:51" ht="15.75" customHeight="1" x14ac:dyDescent="0.2">
      <c r="AV796" s="6"/>
      <c r="AW796" s="6"/>
      <c r="AX796" s="6"/>
      <c r="AY796" s="6"/>
    </row>
    <row r="797" spans="48:51" ht="15.75" customHeight="1" x14ac:dyDescent="0.2">
      <c r="AV797" s="6"/>
      <c r="AW797" s="6"/>
      <c r="AX797" s="6"/>
      <c r="AY797" s="6"/>
    </row>
    <row r="798" spans="48:51" ht="15.75" customHeight="1" x14ac:dyDescent="0.2">
      <c r="AV798" s="6"/>
      <c r="AW798" s="6"/>
      <c r="AX798" s="6"/>
      <c r="AY798" s="6"/>
    </row>
    <row r="799" spans="48:51" ht="15.75" customHeight="1" x14ac:dyDescent="0.2">
      <c r="AV799" s="6"/>
      <c r="AW799" s="6"/>
      <c r="AX799" s="6"/>
      <c r="AY799" s="6"/>
    </row>
    <row r="800" spans="48:51" ht="15.75" customHeight="1" x14ac:dyDescent="0.2">
      <c r="AV800" s="6"/>
      <c r="AW800" s="6"/>
      <c r="AX800" s="6"/>
      <c r="AY800" s="6"/>
    </row>
    <row r="801" spans="48:51" ht="15.75" customHeight="1" x14ac:dyDescent="0.2">
      <c r="AV801" s="6"/>
      <c r="AW801" s="6"/>
      <c r="AX801" s="6"/>
      <c r="AY801" s="6"/>
    </row>
    <row r="802" spans="48:51" ht="15.75" customHeight="1" x14ac:dyDescent="0.2">
      <c r="AV802" s="6"/>
      <c r="AW802" s="6"/>
      <c r="AX802" s="6"/>
      <c r="AY802" s="6"/>
    </row>
    <row r="803" spans="48:51" ht="15.75" customHeight="1" x14ac:dyDescent="0.2">
      <c r="AV803" s="6"/>
      <c r="AW803" s="6"/>
      <c r="AX803" s="6"/>
      <c r="AY803" s="6"/>
    </row>
    <row r="804" spans="48:51" ht="15.75" customHeight="1" x14ac:dyDescent="0.2">
      <c r="AV804" s="6"/>
      <c r="AW804" s="6"/>
      <c r="AX804" s="6"/>
      <c r="AY804" s="6"/>
    </row>
    <row r="805" spans="48:51" ht="15.75" customHeight="1" x14ac:dyDescent="0.2">
      <c r="AV805" s="6"/>
      <c r="AW805" s="6"/>
      <c r="AX805" s="6"/>
      <c r="AY805" s="6"/>
    </row>
    <row r="806" spans="48:51" ht="15.75" customHeight="1" x14ac:dyDescent="0.2">
      <c r="AV806" s="6"/>
      <c r="AW806" s="6"/>
      <c r="AX806" s="6"/>
      <c r="AY806" s="6"/>
    </row>
    <row r="807" spans="48:51" ht="15.75" customHeight="1" x14ac:dyDescent="0.2">
      <c r="AV807" s="6"/>
      <c r="AW807" s="6"/>
      <c r="AX807" s="6"/>
      <c r="AY807" s="6"/>
    </row>
    <row r="808" spans="48:51" ht="15.75" customHeight="1" x14ac:dyDescent="0.2">
      <c r="AV808" s="6"/>
      <c r="AW808" s="6"/>
      <c r="AX808" s="6"/>
      <c r="AY808" s="6"/>
    </row>
    <row r="809" spans="48:51" ht="15.75" customHeight="1" x14ac:dyDescent="0.2">
      <c r="AV809" s="6"/>
      <c r="AW809" s="6"/>
      <c r="AX809" s="6"/>
      <c r="AY809" s="6"/>
    </row>
    <row r="810" spans="48:51" ht="15.75" customHeight="1" x14ac:dyDescent="0.2">
      <c r="AV810" s="6"/>
      <c r="AW810" s="6"/>
      <c r="AX810" s="6"/>
      <c r="AY810" s="6"/>
    </row>
    <row r="811" spans="48:51" ht="15.75" customHeight="1" x14ac:dyDescent="0.2">
      <c r="AV811" s="6"/>
      <c r="AW811" s="6"/>
      <c r="AX811" s="6"/>
      <c r="AY811" s="6"/>
    </row>
    <row r="812" spans="48:51" ht="15.75" customHeight="1" x14ac:dyDescent="0.2">
      <c r="AV812" s="6"/>
      <c r="AW812" s="6"/>
      <c r="AX812" s="6"/>
      <c r="AY812" s="6"/>
    </row>
    <row r="813" spans="48:51" ht="15.75" customHeight="1" x14ac:dyDescent="0.2">
      <c r="AV813" s="6"/>
      <c r="AW813" s="6"/>
      <c r="AX813" s="6"/>
      <c r="AY813" s="6"/>
    </row>
    <row r="814" spans="48:51" ht="15.75" customHeight="1" x14ac:dyDescent="0.2">
      <c r="AV814" s="6"/>
      <c r="AW814" s="6"/>
      <c r="AX814" s="6"/>
      <c r="AY814" s="6"/>
    </row>
    <row r="815" spans="48:51" ht="15.75" customHeight="1" x14ac:dyDescent="0.2">
      <c r="AV815" s="6"/>
      <c r="AW815" s="6"/>
      <c r="AX815" s="6"/>
      <c r="AY815" s="6"/>
    </row>
    <row r="816" spans="48:51" ht="15.75" customHeight="1" x14ac:dyDescent="0.2">
      <c r="AV816" s="6"/>
      <c r="AW816" s="6"/>
      <c r="AX816" s="6"/>
      <c r="AY816" s="6"/>
    </row>
    <row r="817" spans="48:51" ht="15.75" customHeight="1" x14ac:dyDescent="0.2">
      <c r="AV817" s="6"/>
      <c r="AW817" s="6"/>
      <c r="AX817" s="6"/>
      <c r="AY817" s="6"/>
    </row>
    <row r="818" spans="48:51" ht="15.75" customHeight="1" x14ac:dyDescent="0.2">
      <c r="AV818" s="6"/>
      <c r="AW818" s="6"/>
      <c r="AX818" s="6"/>
      <c r="AY818" s="6"/>
    </row>
    <row r="819" spans="48:51" ht="15.75" customHeight="1" x14ac:dyDescent="0.2">
      <c r="AV819" s="6"/>
      <c r="AW819" s="6"/>
      <c r="AX819" s="6"/>
      <c r="AY819" s="6"/>
    </row>
    <row r="820" spans="48:51" ht="15.75" customHeight="1" x14ac:dyDescent="0.2">
      <c r="AV820" s="6"/>
      <c r="AW820" s="6"/>
      <c r="AX820" s="6"/>
      <c r="AY820" s="6"/>
    </row>
    <row r="821" spans="48:51" ht="15.75" customHeight="1" x14ac:dyDescent="0.2">
      <c r="AV821" s="6"/>
      <c r="AW821" s="6"/>
      <c r="AX821" s="6"/>
      <c r="AY821" s="6"/>
    </row>
    <row r="822" spans="48:51" ht="15.75" customHeight="1" x14ac:dyDescent="0.2">
      <c r="AV822" s="6"/>
      <c r="AW822" s="6"/>
      <c r="AX822" s="6"/>
      <c r="AY822" s="6"/>
    </row>
    <row r="823" spans="48:51" ht="15.75" customHeight="1" x14ac:dyDescent="0.2">
      <c r="AV823" s="6"/>
      <c r="AW823" s="6"/>
      <c r="AX823" s="6"/>
      <c r="AY823" s="6"/>
    </row>
    <row r="824" spans="48:51" ht="15.75" customHeight="1" x14ac:dyDescent="0.2">
      <c r="AV824" s="6"/>
      <c r="AW824" s="6"/>
      <c r="AX824" s="6"/>
      <c r="AY824" s="6"/>
    </row>
    <row r="825" spans="48:51" ht="15.75" customHeight="1" x14ac:dyDescent="0.2">
      <c r="AV825" s="6"/>
      <c r="AW825" s="6"/>
      <c r="AX825" s="6"/>
      <c r="AY825" s="6"/>
    </row>
    <row r="826" spans="48:51" ht="15.75" customHeight="1" x14ac:dyDescent="0.2">
      <c r="AV826" s="6"/>
      <c r="AW826" s="6"/>
      <c r="AX826" s="6"/>
      <c r="AY826" s="6"/>
    </row>
    <row r="827" spans="48:51" ht="15.75" customHeight="1" x14ac:dyDescent="0.2">
      <c r="AV827" s="6"/>
      <c r="AW827" s="6"/>
      <c r="AX827" s="6"/>
      <c r="AY827" s="6"/>
    </row>
    <row r="828" spans="48:51" ht="15.75" customHeight="1" x14ac:dyDescent="0.2">
      <c r="AV828" s="6"/>
      <c r="AW828" s="6"/>
      <c r="AX828" s="6"/>
      <c r="AY828" s="6"/>
    </row>
    <row r="829" spans="48:51" ht="15.75" customHeight="1" x14ac:dyDescent="0.2">
      <c r="AV829" s="6"/>
      <c r="AW829" s="6"/>
      <c r="AX829" s="6"/>
      <c r="AY829" s="6"/>
    </row>
    <row r="830" spans="48:51" ht="15.75" customHeight="1" x14ac:dyDescent="0.2">
      <c r="AV830" s="6"/>
      <c r="AW830" s="6"/>
      <c r="AX830" s="6"/>
      <c r="AY830" s="6"/>
    </row>
    <row r="831" spans="48:51" ht="15.75" customHeight="1" x14ac:dyDescent="0.2">
      <c r="AV831" s="6"/>
      <c r="AW831" s="6"/>
      <c r="AX831" s="6"/>
      <c r="AY831" s="6"/>
    </row>
    <row r="832" spans="48:51" ht="15.75" customHeight="1" x14ac:dyDescent="0.2">
      <c r="AV832" s="6"/>
      <c r="AW832" s="6"/>
      <c r="AX832" s="6"/>
      <c r="AY832" s="6"/>
    </row>
    <row r="833" spans="48:51" ht="15.75" customHeight="1" x14ac:dyDescent="0.2">
      <c r="AV833" s="6"/>
      <c r="AW833" s="6"/>
      <c r="AX833" s="6"/>
      <c r="AY833" s="6"/>
    </row>
    <row r="834" spans="48:51" ht="15.75" customHeight="1" x14ac:dyDescent="0.2">
      <c r="AV834" s="6"/>
      <c r="AW834" s="6"/>
      <c r="AX834" s="6"/>
      <c r="AY834" s="6"/>
    </row>
    <row r="835" spans="48:51" ht="15.75" customHeight="1" x14ac:dyDescent="0.2">
      <c r="AV835" s="6"/>
      <c r="AW835" s="6"/>
      <c r="AX835" s="6"/>
      <c r="AY835" s="6"/>
    </row>
    <row r="836" spans="48:51" ht="15.75" customHeight="1" x14ac:dyDescent="0.2">
      <c r="AV836" s="6"/>
      <c r="AW836" s="6"/>
      <c r="AX836" s="6"/>
      <c r="AY836" s="6"/>
    </row>
    <row r="837" spans="48:51" ht="15.75" customHeight="1" x14ac:dyDescent="0.2">
      <c r="AV837" s="6"/>
      <c r="AW837" s="6"/>
      <c r="AX837" s="6"/>
      <c r="AY837" s="6"/>
    </row>
    <row r="838" spans="48:51" ht="15.75" customHeight="1" x14ac:dyDescent="0.2">
      <c r="AV838" s="6"/>
      <c r="AW838" s="6"/>
      <c r="AX838" s="6"/>
      <c r="AY838" s="6"/>
    </row>
    <row r="839" spans="48:51" ht="15.75" customHeight="1" x14ac:dyDescent="0.2">
      <c r="AV839" s="6"/>
      <c r="AW839" s="6"/>
      <c r="AX839" s="6"/>
      <c r="AY839" s="6"/>
    </row>
    <row r="840" spans="48:51" ht="15.75" customHeight="1" x14ac:dyDescent="0.2">
      <c r="AV840" s="6"/>
      <c r="AW840" s="6"/>
      <c r="AX840" s="6"/>
      <c r="AY840" s="6"/>
    </row>
    <row r="841" spans="48:51" ht="15.75" customHeight="1" x14ac:dyDescent="0.2">
      <c r="AV841" s="6"/>
      <c r="AW841" s="6"/>
      <c r="AX841" s="6"/>
      <c r="AY841" s="6"/>
    </row>
    <row r="842" spans="48:51" ht="15.75" customHeight="1" x14ac:dyDescent="0.2">
      <c r="AV842" s="6"/>
      <c r="AW842" s="6"/>
      <c r="AX842" s="6"/>
      <c r="AY842" s="6"/>
    </row>
    <row r="843" spans="48:51" ht="15.75" customHeight="1" x14ac:dyDescent="0.2">
      <c r="AV843" s="6"/>
      <c r="AW843" s="6"/>
      <c r="AX843" s="6"/>
      <c r="AY843" s="6"/>
    </row>
    <row r="844" spans="48:51" ht="15.75" customHeight="1" x14ac:dyDescent="0.2">
      <c r="AV844" s="6"/>
      <c r="AW844" s="6"/>
      <c r="AX844" s="6"/>
      <c r="AY844" s="6"/>
    </row>
    <row r="845" spans="48:51" ht="15.75" customHeight="1" x14ac:dyDescent="0.2">
      <c r="AV845" s="6"/>
      <c r="AW845" s="6"/>
      <c r="AX845" s="6"/>
      <c r="AY845" s="6"/>
    </row>
    <row r="846" spans="48:51" ht="15.75" customHeight="1" x14ac:dyDescent="0.2">
      <c r="AV846" s="6"/>
      <c r="AW846" s="6"/>
      <c r="AX846" s="6"/>
      <c r="AY846" s="6"/>
    </row>
    <row r="847" spans="48:51" ht="15.75" customHeight="1" x14ac:dyDescent="0.2">
      <c r="AV847" s="6"/>
      <c r="AW847" s="6"/>
      <c r="AX847" s="6"/>
      <c r="AY847" s="6"/>
    </row>
    <row r="848" spans="48:51" ht="15.75" customHeight="1" x14ac:dyDescent="0.2">
      <c r="AV848" s="6"/>
      <c r="AW848" s="6"/>
      <c r="AX848" s="6"/>
      <c r="AY848" s="6"/>
    </row>
    <row r="849" spans="48:51" ht="15.75" customHeight="1" x14ac:dyDescent="0.2">
      <c r="AV849" s="6"/>
      <c r="AW849" s="6"/>
      <c r="AX849" s="6"/>
      <c r="AY849" s="6"/>
    </row>
    <row r="850" spans="48:51" ht="15.75" customHeight="1" x14ac:dyDescent="0.2">
      <c r="AV850" s="6"/>
      <c r="AW850" s="6"/>
      <c r="AX850" s="6"/>
      <c r="AY850" s="6"/>
    </row>
    <row r="851" spans="48:51" ht="15.75" customHeight="1" x14ac:dyDescent="0.2">
      <c r="AV851" s="6"/>
      <c r="AW851" s="6"/>
      <c r="AX851" s="6"/>
      <c r="AY851" s="6"/>
    </row>
    <row r="852" spans="48:51" ht="15.75" customHeight="1" x14ac:dyDescent="0.2">
      <c r="AV852" s="6"/>
      <c r="AW852" s="6"/>
      <c r="AX852" s="6"/>
      <c r="AY852" s="6"/>
    </row>
    <row r="853" spans="48:51" ht="15.75" customHeight="1" x14ac:dyDescent="0.2">
      <c r="AV853" s="6"/>
      <c r="AW853" s="6"/>
      <c r="AX853" s="6"/>
      <c r="AY853" s="6"/>
    </row>
    <row r="854" spans="48:51" ht="15.75" customHeight="1" x14ac:dyDescent="0.2">
      <c r="AV854" s="6"/>
      <c r="AW854" s="6"/>
      <c r="AX854" s="6"/>
      <c r="AY854" s="6"/>
    </row>
    <row r="855" spans="48:51" ht="15.75" customHeight="1" x14ac:dyDescent="0.2">
      <c r="AV855" s="6"/>
      <c r="AW855" s="6"/>
      <c r="AX855" s="6"/>
      <c r="AY855" s="6"/>
    </row>
    <row r="856" spans="48:51" ht="15.75" customHeight="1" x14ac:dyDescent="0.2">
      <c r="AV856" s="6"/>
      <c r="AW856" s="6"/>
      <c r="AX856" s="6"/>
      <c r="AY856" s="6"/>
    </row>
    <row r="857" spans="48:51" ht="15.75" customHeight="1" x14ac:dyDescent="0.2">
      <c r="AV857" s="6"/>
      <c r="AW857" s="6"/>
      <c r="AX857" s="6"/>
      <c r="AY857" s="6"/>
    </row>
    <row r="858" spans="48:51" ht="15.75" customHeight="1" x14ac:dyDescent="0.2">
      <c r="AV858" s="6"/>
      <c r="AW858" s="6"/>
      <c r="AX858" s="6"/>
      <c r="AY858" s="6"/>
    </row>
    <row r="859" spans="48:51" ht="15.75" customHeight="1" x14ac:dyDescent="0.2">
      <c r="AV859" s="6"/>
      <c r="AW859" s="6"/>
      <c r="AX859" s="6"/>
      <c r="AY859" s="6"/>
    </row>
    <row r="860" spans="48:51" ht="15.75" customHeight="1" x14ac:dyDescent="0.2">
      <c r="AV860" s="6"/>
      <c r="AW860" s="6"/>
      <c r="AX860" s="6"/>
      <c r="AY860" s="6"/>
    </row>
    <row r="861" spans="48:51" ht="15.75" customHeight="1" x14ac:dyDescent="0.2">
      <c r="AV861" s="6"/>
      <c r="AW861" s="6"/>
      <c r="AX861" s="6"/>
      <c r="AY861" s="6"/>
    </row>
    <row r="862" spans="48:51" ht="15.75" customHeight="1" x14ac:dyDescent="0.2">
      <c r="AV862" s="6"/>
      <c r="AW862" s="6"/>
      <c r="AX862" s="6"/>
      <c r="AY862" s="6"/>
    </row>
    <row r="863" spans="48:51" ht="15.75" customHeight="1" x14ac:dyDescent="0.2">
      <c r="AV863" s="6"/>
      <c r="AW863" s="6"/>
      <c r="AX863" s="6"/>
      <c r="AY863" s="6"/>
    </row>
    <row r="864" spans="48:51" ht="15.75" customHeight="1" x14ac:dyDescent="0.2">
      <c r="AV864" s="6"/>
      <c r="AW864" s="6"/>
      <c r="AX864" s="6"/>
      <c r="AY864" s="6"/>
    </row>
    <row r="865" spans="48:51" ht="15.75" customHeight="1" x14ac:dyDescent="0.2">
      <c r="AV865" s="6"/>
      <c r="AW865" s="6"/>
      <c r="AX865" s="6"/>
      <c r="AY865" s="6"/>
    </row>
    <row r="866" spans="48:51" ht="15.75" customHeight="1" x14ac:dyDescent="0.2">
      <c r="AV866" s="6"/>
      <c r="AW866" s="6"/>
      <c r="AX866" s="6"/>
      <c r="AY866" s="6"/>
    </row>
    <row r="867" spans="48:51" ht="15.75" customHeight="1" x14ac:dyDescent="0.2">
      <c r="AV867" s="6"/>
      <c r="AW867" s="6"/>
      <c r="AX867" s="6"/>
      <c r="AY867" s="6"/>
    </row>
    <row r="868" spans="48:51" ht="15.75" customHeight="1" x14ac:dyDescent="0.2">
      <c r="AV868" s="6"/>
      <c r="AW868" s="6"/>
      <c r="AX868" s="6"/>
      <c r="AY868" s="6"/>
    </row>
    <row r="869" spans="48:51" ht="15.75" customHeight="1" x14ac:dyDescent="0.2">
      <c r="AV869" s="6"/>
      <c r="AW869" s="6"/>
      <c r="AX869" s="6"/>
      <c r="AY869" s="6"/>
    </row>
    <row r="870" spans="48:51" ht="15.75" customHeight="1" x14ac:dyDescent="0.2">
      <c r="AV870" s="6"/>
      <c r="AW870" s="6"/>
      <c r="AX870" s="6"/>
      <c r="AY870" s="6"/>
    </row>
    <row r="871" spans="48:51" ht="15.75" customHeight="1" x14ac:dyDescent="0.2">
      <c r="AV871" s="6"/>
      <c r="AW871" s="6"/>
      <c r="AX871" s="6"/>
      <c r="AY871" s="6"/>
    </row>
    <row r="872" spans="48:51" ht="15.75" customHeight="1" x14ac:dyDescent="0.2">
      <c r="AV872" s="6"/>
      <c r="AW872" s="6"/>
      <c r="AX872" s="6"/>
      <c r="AY872" s="6"/>
    </row>
    <row r="873" spans="48:51" ht="15.75" customHeight="1" x14ac:dyDescent="0.2">
      <c r="AV873" s="6"/>
      <c r="AW873" s="6"/>
      <c r="AX873" s="6"/>
      <c r="AY873" s="6"/>
    </row>
    <row r="874" spans="48:51" ht="15.75" customHeight="1" x14ac:dyDescent="0.2">
      <c r="AV874" s="6"/>
      <c r="AW874" s="6"/>
      <c r="AX874" s="6"/>
      <c r="AY874" s="6"/>
    </row>
    <row r="875" spans="48:51" ht="15.75" customHeight="1" x14ac:dyDescent="0.2">
      <c r="AV875" s="6"/>
      <c r="AW875" s="6"/>
      <c r="AX875" s="6"/>
      <c r="AY875" s="6"/>
    </row>
    <row r="876" spans="48:51" ht="15.75" customHeight="1" x14ac:dyDescent="0.2">
      <c r="AV876" s="6"/>
      <c r="AW876" s="6"/>
      <c r="AX876" s="6"/>
      <c r="AY876" s="6"/>
    </row>
    <row r="877" spans="48:51" ht="15.75" customHeight="1" x14ac:dyDescent="0.2">
      <c r="AV877" s="6"/>
      <c r="AW877" s="6"/>
      <c r="AX877" s="6"/>
      <c r="AY877" s="6"/>
    </row>
    <row r="878" spans="48:51" ht="15.75" customHeight="1" x14ac:dyDescent="0.2">
      <c r="AV878" s="6"/>
      <c r="AW878" s="6"/>
      <c r="AX878" s="6"/>
      <c r="AY878" s="6"/>
    </row>
    <row r="879" spans="48:51" ht="15.75" customHeight="1" x14ac:dyDescent="0.2">
      <c r="AV879" s="6"/>
      <c r="AW879" s="6"/>
      <c r="AX879" s="6"/>
      <c r="AY879" s="6"/>
    </row>
    <row r="880" spans="48:51" ht="15.75" customHeight="1" x14ac:dyDescent="0.2">
      <c r="AV880" s="6"/>
      <c r="AW880" s="6"/>
      <c r="AX880" s="6"/>
      <c r="AY880" s="6"/>
    </row>
    <row r="881" spans="48:51" ht="15.75" customHeight="1" x14ac:dyDescent="0.2">
      <c r="AV881" s="6"/>
      <c r="AW881" s="6"/>
      <c r="AX881" s="6"/>
      <c r="AY881" s="6"/>
    </row>
    <row r="882" spans="48:51" ht="15.75" customHeight="1" x14ac:dyDescent="0.2">
      <c r="AV882" s="6"/>
      <c r="AW882" s="6"/>
      <c r="AX882" s="6"/>
      <c r="AY882" s="6"/>
    </row>
    <row r="883" spans="48:51" ht="15.75" customHeight="1" x14ac:dyDescent="0.2">
      <c r="AV883" s="6"/>
      <c r="AW883" s="6"/>
      <c r="AX883" s="6"/>
      <c r="AY883" s="6"/>
    </row>
    <row r="884" spans="48:51" ht="15.75" customHeight="1" x14ac:dyDescent="0.2">
      <c r="AV884" s="6"/>
      <c r="AW884" s="6"/>
      <c r="AX884" s="6"/>
      <c r="AY884" s="6"/>
    </row>
    <row r="885" spans="48:51" ht="15.75" customHeight="1" x14ac:dyDescent="0.2">
      <c r="AV885" s="6"/>
      <c r="AW885" s="6"/>
      <c r="AX885" s="6"/>
      <c r="AY885" s="6"/>
    </row>
    <row r="886" spans="48:51" ht="15.75" customHeight="1" x14ac:dyDescent="0.2">
      <c r="AV886" s="6"/>
      <c r="AW886" s="6"/>
      <c r="AX886" s="6"/>
      <c r="AY886" s="6"/>
    </row>
    <row r="887" spans="48:51" ht="15.75" customHeight="1" x14ac:dyDescent="0.2">
      <c r="AV887" s="6"/>
      <c r="AW887" s="6"/>
      <c r="AX887" s="6"/>
      <c r="AY887" s="6"/>
    </row>
    <row r="888" spans="48:51" ht="15.75" customHeight="1" x14ac:dyDescent="0.2">
      <c r="AV888" s="6"/>
      <c r="AW888" s="6"/>
      <c r="AX888" s="6"/>
      <c r="AY888" s="6"/>
    </row>
    <row r="889" spans="48:51" ht="15.75" customHeight="1" x14ac:dyDescent="0.2">
      <c r="AV889" s="6"/>
      <c r="AW889" s="6"/>
      <c r="AX889" s="6"/>
      <c r="AY889" s="6"/>
    </row>
    <row r="890" spans="48:51" ht="15.75" customHeight="1" x14ac:dyDescent="0.2">
      <c r="AV890" s="6"/>
      <c r="AW890" s="6"/>
      <c r="AX890" s="6"/>
      <c r="AY890" s="6"/>
    </row>
    <row r="891" spans="48:51" ht="15.75" customHeight="1" x14ac:dyDescent="0.2">
      <c r="AV891" s="6"/>
      <c r="AW891" s="6"/>
      <c r="AX891" s="6"/>
      <c r="AY891" s="6"/>
    </row>
    <row r="892" spans="48:51" ht="15.75" customHeight="1" x14ac:dyDescent="0.2">
      <c r="AV892" s="6"/>
      <c r="AW892" s="6"/>
      <c r="AX892" s="6"/>
      <c r="AY892" s="6"/>
    </row>
    <row r="893" spans="48:51" ht="15.75" customHeight="1" x14ac:dyDescent="0.2">
      <c r="AV893" s="6"/>
      <c r="AW893" s="6"/>
      <c r="AX893" s="6"/>
      <c r="AY893" s="6"/>
    </row>
    <row r="894" spans="48:51" ht="15.75" customHeight="1" x14ac:dyDescent="0.2">
      <c r="AV894" s="6"/>
      <c r="AW894" s="6"/>
      <c r="AX894" s="6"/>
      <c r="AY894" s="6"/>
    </row>
    <row r="895" spans="48:51" ht="15.75" customHeight="1" x14ac:dyDescent="0.2">
      <c r="AV895" s="6"/>
      <c r="AW895" s="6"/>
      <c r="AX895" s="6"/>
      <c r="AY895" s="6"/>
    </row>
    <row r="896" spans="48:51" ht="15.75" customHeight="1" x14ac:dyDescent="0.2">
      <c r="AV896" s="6"/>
      <c r="AW896" s="6"/>
      <c r="AX896" s="6"/>
      <c r="AY896" s="6"/>
    </row>
    <row r="897" spans="48:51" ht="15.75" customHeight="1" x14ac:dyDescent="0.2">
      <c r="AV897" s="6"/>
      <c r="AW897" s="6"/>
      <c r="AX897" s="6"/>
      <c r="AY897" s="6"/>
    </row>
    <row r="898" spans="48:51" ht="15.75" customHeight="1" x14ac:dyDescent="0.2">
      <c r="AV898" s="6"/>
      <c r="AW898" s="6"/>
      <c r="AX898" s="6"/>
      <c r="AY898" s="6"/>
    </row>
    <row r="899" spans="48:51" ht="15.75" customHeight="1" x14ac:dyDescent="0.2">
      <c r="AV899" s="6"/>
      <c r="AW899" s="6"/>
      <c r="AX899" s="6"/>
      <c r="AY899" s="6"/>
    </row>
    <row r="900" spans="48:51" ht="15.75" customHeight="1" x14ac:dyDescent="0.2">
      <c r="AV900" s="6"/>
      <c r="AW900" s="6"/>
      <c r="AX900" s="6"/>
      <c r="AY900" s="6"/>
    </row>
    <row r="901" spans="48:51" ht="15.75" customHeight="1" x14ac:dyDescent="0.2">
      <c r="AV901" s="6"/>
      <c r="AW901" s="6"/>
      <c r="AX901" s="6"/>
      <c r="AY901" s="6"/>
    </row>
    <row r="902" spans="48:51" ht="15.75" customHeight="1" x14ac:dyDescent="0.2">
      <c r="AV902" s="6"/>
      <c r="AW902" s="6"/>
      <c r="AX902" s="6"/>
      <c r="AY902" s="6"/>
    </row>
    <row r="903" spans="48:51" ht="15.75" customHeight="1" x14ac:dyDescent="0.2">
      <c r="AV903" s="6"/>
      <c r="AW903" s="6"/>
      <c r="AX903" s="6"/>
      <c r="AY903" s="6"/>
    </row>
    <row r="904" spans="48:51" ht="15.75" customHeight="1" x14ac:dyDescent="0.2">
      <c r="AV904" s="6"/>
      <c r="AW904" s="6"/>
      <c r="AX904" s="6"/>
      <c r="AY904" s="6"/>
    </row>
    <row r="905" spans="48:51" ht="15.75" customHeight="1" x14ac:dyDescent="0.2">
      <c r="AV905" s="6"/>
      <c r="AW905" s="6"/>
      <c r="AX905" s="6"/>
      <c r="AY905" s="6"/>
    </row>
    <row r="906" spans="48:51" ht="15.75" customHeight="1" x14ac:dyDescent="0.2">
      <c r="AV906" s="6"/>
      <c r="AW906" s="6"/>
      <c r="AX906" s="6"/>
      <c r="AY906" s="6"/>
    </row>
    <row r="907" spans="48:51" ht="15.75" customHeight="1" x14ac:dyDescent="0.2">
      <c r="AV907" s="6"/>
      <c r="AW907" s="6"/>
      <c r="AX907" s="6"/>
      <c r="AY907" s="6"/>
    </row>
    <row r="908" spans="48:51" ht="15.75" customHeight="1" x14ac:dyDescent="0.2">
      <c r="AV908" s="6"/>
      <c r="AW908" s="6"/>
      <c r="AX908" s="6"/>
      <c r="AY908" s="6"/>
    </row>
    <row r="909" spans="48:51" ht="15.75" customHeight="1" x14ac:dyDescent="0.2">
      <c r="AV909" s="6"/>
      <c r="AW909" s="6"/>
      <c r="AX909" s="6"/>
      <c r="AY909" s="6"/>
    </row>
    <row r="910" spans="48:51" ht="15.75" customHeight="1" x14ac:dyDescent="0.2">
      <c r="AV910" s="6"/>
      <c r="AW910" s="6"/>
      <c r="AX910" s="6"/>
      <c r="AY910" s="6"/>
    </row>
    <row r="911" spans="48:51" ht="15.75" customHeight="1" x14ac:dyDescent="0.2">
      <c r="AV911" s="6"/>
      <c r="AW911" s="6"/>
      <c r="AX911" s="6"/>
      <c r="AY911" s="6"/>
    </row>
    <row r="912" spans="48:51" ht="15.75" customHeight="1" x14ac:dyDescent="0.2">
      <c r="AV912" s="6"/>
      <c r="AW912" s="6"/>
      <c r="AX912" s="6"/>
      <c r="AY912" s="6"/>
    </row>
    <row r="913" spans="48:51" ht="15.75" customHeight="1" x14ac:dyDescent="0.2">
      <c r="AV913" s="6"/>
      <c r="AW913" s="6"/>
      <c r="AX913" s="6"/>
      <c r="AY913" s="6"/>
    </row>
    <row r="914" spans="48:51" ht="15.75" customHeight="1" x14ac:dyDescent="0.2">
      <c r="AV914" s="6"/>
      <c r="AW914" s="6"/>
      <c r="AX914" s="6"/>
      <c r="AY914" s="6"/>
    </row>
    <row r="915" spans="48:51" ht="15.75" customHeight="1" x14ac:dyDescent="0.2">
      <c r="AV915" s="6"/>
      <c r="AW915" s="6"/>
      <c r="AX915" s="6"/>
      <c r="AY915" s="6"/>
    </row>
    <row r="916" spans="48:51" ht="15.75" customHeight="1" x14ac:dyDescent="0.2">
      <c r="AV916" s="6"/>
      <c r="AW916" s="6"/>
      <c r="AX916" s="6"/>
      <c r="AY916" s="6"/>
    </row>
    <row r="917" spans="48:51" ht="15.75" customHeight="1" x14ac:dyDescent="0.2">
      <c r="AV917" s="6"/>
      <c r="AW917" s="6"/>
      <c r="AX917" s="6"/>
      <c r="AY917" s="6"/>
    </row>
    <row r="918" spans="48:51" ht="15.75" customHeight="1" x14ac:dyDescent="0.2">
      <c r="AV918" s="6"/>
      <c r="AW918" s="6"/>
      <c r="AX918" s="6"/>
      <c r="AY918" s="6"/>
    </row>
    <row r="919" spans="48:51" ht="15.75" customHeight="1" x14ac:dyDescent="0.2">
      <c r="AV919" s="6"/>
      <c r="AW919" s="6"/>
      <c r="AX919" s="6"/>
      <c r="AY919" s="6"/>
    </row>
    <row r="920" spans="48:51" ht="15.75" customHeight="1" x14ac:dyDescent="0.2">
      <c r="AV920" s="6"/>
      <c r="AW920" s="6"/>
      <c r="AX920" s="6"/>
      <c r="AY920" s="6"/>
    </row>
    <row r="921" spans="48:51" ht="15.75" customHeight="1" x14ac:dyDescent="0.2">
      <c r="AV921" s="6"/>
      <c r="AW921" s="6"/>
      <c r="AX921" s="6"/>
      <c r="AY921" s="6"/>
    </row>
    <row r="922" spans="48:51" ht="15.75" customHeight="1" x14ac:dyDescent="0.2">
      <c r="AV922" s="6"/>
      <c r="AW922" s="6"/>
      <c r="AX922" s="6"/>
      <c r="AY922" s="6"/>
    </row>
    <row r="923" spans="48:51" ht="15.75" customHeight="1" x14ac:dyDescent="0.2">
      <c r="AV923" s="6"/>
      <c r="AW923" s="6"/>
      <c r="AX923" s="6"/>
      <c r="AY923" s="6"/>
    </row>
    <row r="924" spans="48:51" ht="15.75" customHeight="1" x14ac:dyDescent="0.2">
      <c r="AV924" s="6"/>
      <c r="AW924" s="6"/>
      <c r="AX924" s="6"/>
      <c r="AY924" s="6"/>
    </row>
    <row r="925" spans="48:51" ht="15.75" customHeight="1" x14ac:dyDescent="0.2">
      <c r="AV925" s="6"/>
      <c r="AW925" s="6"/>
      <c r="AX925" s="6"/>
      <c r="AY925" s="6"/>
    </row>
    <row r="926" spans="48:51" ht="15.75" customHeight="1" x14ac:dyDescent="0.2">
      <c r="AV926" s="6"/>
      <c r="AW926" s="6"/>
      <c r="AX926" s="6"/>
      <c r="AY926" s="6"/>
    </row>
    <row r="927" spans="48:51" ht="15.75" customHeight="1" x14ac:dyDescent="0.2">
      <c r="AV927" s="6"/>
      <c r="AW927" s="6"/>
      <c r="AX927" s="6"/>
      <c r="AY927" s="6"/>
    </row>
    <row r="928" spans="48:51" ht="15.75" customHeight="1" x14ac:dyDescent="0.2">
      <c r="AV928" s="6"/>
      <c r="AW928" s="6"/>
      <c r="AX928" s="6"/>
      <c r="AY928" s="6"/>
    </row>
    <row r="929" spans="48:51" ht="15.75" customHeight="1" x14ac:dyDescent="0.2">
      <c r="AV929" s="6"/>
      <c r="AW929" s="6"/>
      <c r="AX929" s="6"/>
      <c r="AY929" s="6"/>
    </row>
    <row r="930" spans="48:51" ht="15.75" customHeight="1" x14ac:dyDescent="0.2">
      <c r="AV930" s="6"/>
      <c r="AW930" s="6"/>
      <c r="AX930" s="6"/>
      <c r="AY930" s="6"/>
    </row>
    <row r="931" spans="48:51" ht="15.75" customHeight="1" x14ac:dyDescent="0.2">
      <c r="AV931" s="6"/>
      <c r="AW931" s="6"/>
      <c r="AX931" s="6"/>
      <c r="AY931" s="6"/>
    </row>
    <row r="932" spans="48:51" ht="15.75" customHeight="1" x14ac:dyDescent="0.2">
      <c r="AV932" s="6"/>
      <c r="AW932" s="6"/>
      <c r="AX932" s="6"/>
      <c r="AY932" s="6"/>
    </row>
    <row r="933" spans="48:51" ht="15.75" customHeight="1" x14ac:dyDescent="0.2">
      <c r="AV933" s="6"/>
      <c r="AW933" s="6"/>
      <c r="AX933" s="6"/>
      <c r="AY933" s="6"/>
    </row>
    <row r="934" spans="48:51" ht="15.75" customHeight="1" x14ac:dyDescent="0.2">
      <c r="AV934" s="6"/>
      <c r="AW934" s="6"/>
      <c r="AX934" s="6"/>
      <c r="AY934" s="6"/>
    </row>
    <row r="935" spans="48:51" ht="15.75" customHeight="1" x14ac:dyDescent="0.2">
      <c r="AV935" s="6"/>
      <c r="AW935" s="6"/>
      <c r="AX935" s="6"/>
      <c r="AY935" s="6"/>
    </row>
  </sheetData>
  <conditionalFormatting sqref="D151:AY151 D154:AU156 AV154:AY158 D158:AU158 D164:AY164 D166:AY167 D177:AW183 AX183:AY183 D193:AY193 D203:AW210 D220:AY220 D230:AW231">
    <cfRule type="containsText" dxfId="24" priority="1" operator="containsText" text="Maxed Out">
      <formula>NOT(ISERROR(SEARCH(("Maxed Out"),(D151))))</formula>
    </cfRule>
  </conditionalFormatting>
  <conditionalFormatting sqref="D159:AY161 D187:AY187 D214:AY214">
    <cfRule type="containsText" dxfId="23" priority="2" operator="containsText" text="Maxed Out">
      <formula>NOT(ISERROR(SEARCH(("Maxed Out"),(D159))))</formula>
    </cfRule>
  </conditionalFormatting>
  <conditionalFormatting sqref="D162:AY162">
    <cfRule type="containsText" dxfId="22" priority="3" operator="containsText" text="Maxed Out">
      <formula>NOT(ISERROR(SEARCH(("Maxed Out"),(D162))))</formula>
    </cfRule>
  </conditionalFormatting>
  <conditionalFormatting sqref="D176:AW176">
    <cfRule type="containsText" dxfId="21" priority="4" operator="containsText" text="Maxed Out">
      <formula>NOT(ISERROR(SEARCH(("Maxed Out"),(D176))))</formula>
    </cfRule>
  </conditionalFormatting>
  <conditionalFormatting sqref="D157:AY157">
    <cfRule type="containsText" dxfId="20" priority="5" operator="containsText" text="Maxed Out">
      <formula>NOT(ISERROR(SEARCH(("Maxed Out"),(D157))))</formula>
    </cfRule>
  </conditionalFormatting>
  <conditionalFormatting sqref="D184:AY184">
    <cfRule type="containsText" dxfId="19" priority="6" operator="containsText" text="Maxed Out">
      <formula>NOT(ISERROR(SEARCH(("Maxed Out"),(D184))))</formula>
    </cfRule>
  </conditionalFormatting>
  <conditionalFormatting sqref="D185:AY185 AV191:AY191">
    <cfRule type="containsText" dxfId="18" priority="7" operator="containsText" text="Maxed Out">
      <formula>NOT(ISERROR(SEARCH(("Maxed Out"),(D185))))</formula>
    </cfRule>
  </conditionalFormatting>
  <conditionalFormatting sqref="D186:AY187 D214:AY214">
    <cfRule type="containsText" dxfId="17" priority="8" operator="containsText" text="Maxed Out">
      <formula>NOT(ISERROR(SEARCH(("Maxed Out"),(D186))))</formula>
    </cfRule>
  </conditionalFormatting>
  <conditionalFormatting sqref="D188:AY189">
    <cfRule type="containsText" dxfId="16" priority="9" operator="containsText" text="Maxed Out">
      <formula>NOT(ISERROR(SEARCH(("Maxed Out"),(D188))))</formula>
    </cfRule>
  </conditionalFormatting>
  <conditionalFormatting sqref="D211:AY211">
    <cfRule type="containsText" dxfId="15" priority="10" operator="containsText" text="Maxed Out">
      <formula>NOT(ISERROR(SEARCH(("Maxed Out"),(D211))))</formula>
    </cfRule>
  </conditionalFormatting>
  <conditionalFormatting sqref="D212:AY212 AV218:AY218">
    <cfRule type="containsText" dxfId="14" priority="11" operator="containsText" text="Maxed Out">
      <formula>NOT(ISERROR(SEARCH(("Maxed Out"),(D212))))</formula>
    </cfRule>
  </conditionalFormatting>
  <conditionalFormatting sqref="D213:AY215">
    <cfRule type="containsText" dxfId="13" priority="12" operator="containsText" text="Maxed Out">
      <formula>NOT(ISERROR(SEARCH(("Maxed Out"),(D213))))</formula>
    </cfRule>
  </conditionalFormatting>
  <conditionalFormatting sqref="D194:AY194">
    <cfRule type="containsText" dxfId="12" priority="13" operator="containsText" text="Maxed Out">
      <formula>NOT(ISERROR(SEARCH(("Maxed Out"),(D194))))</formula>
    </cfRule>
  </conditionalFormatting>
  <conditionalFormatting sqref="D165:AY165 D192:AY192 D219:AY219">
    <cfRule type="containsText" dxfId="11" priority="14" operator="containsText" text="Maxed Out">
      <formula>NOT(ISERROR(SEARCH(("Maxed Out"),(D165))))</formula>
    </cfRule>
  </conditionalFormatting>
  <conditionalFormatting sqref="D165:V165 AA165:AU165 D192:V192 AA192:AY192 D219:V219 AA219:AY219">
    <cfRule type="containsText" dxfId="10" priority="15" operator="containsText" text="Maxed Out">
      <formula>NOT(ISERROR(SEARCH(("Maxed Out"),(D165))))</formula>
    </cfRule>
  </conditionalFormatting>
  <conditionalFormatting sqref="D221:AY221">
    <cfRule type="containsText" dxfId="9" priority="16" operator="containsText" text="Maxed Out">
      <formula>NOT(ISERROR(SEARCH(("Maxed Out"),(D221))))</formula>
    </cfRule>
  </conditionalFormatting>
  <conditionalFormatting sqref="D191:AU191">
    <cfRule type="containsText" dxfId="8" priority="17" operator="containsText" text="Maxed Out">
      <formula>NOT(ISERROR(SEARCH(("Maxed Out"),(D191))))</formula>
    </cfRule>
  </conditionalFormatting>
  <conditionalFormatting sqref="D218:AU218">
    <cfRule type="containsText" dxfId="7" priority="18" operator="containsText" text="Maxed Out">
      <formula>NOT(ISERROR(SEARCH(("Maxed Out"),(D218))))</formula>
    </cfRule>
  </conditionalFormatting>
  <conditionalFormatting sqref="D163:AY163">
    <cfRule type="containsText" dxfId="6" priority="19" operator="containsText" text="Maxed Out">
      <formula>NOT(ISERROR(SEARCH(("Maxed Out"),(D163))))</formula>
    </cfRule>
  </conditionalFormatting>
  <conditionalFormatting sqref="D190:AY190">
    <cfRule type="containsText" dxfId="5" priority="20" operator="containsText" text="Maxed Out">
      <formula>NOT(ISERROR(SEARCH(("Maxed Out"),(D190))))</formula>
    </cfRule>
  </conditionalFormatting>
  <conditionalFormatting sqref="W165:Z165 W192:Z192 W219:Z219">
    <cfRule type="containsText" dxfId="4" priority="21" operator="containsText" text="Maxed Out">
      <formula>NOT(ISERROR(SEARCH(("Maxed Out"),(W165))))</formula>
    </cfRule>
  </conditionalFormatting>
  <conditionalFormatting sqref="D217:AY217">
    <cfRule type="containsText" dxfId="3" priority="22" operator="containsText" text="Maxed Out">
      <formula>NOT(ISERROR(SEARCH(("Maxed Out"),(D217))))</formula>
    </cfRule>
  </conditionalFormatting>
  <conditionalFormatting sqref="D216:AY216">
    <cfRule type="containsText" dxfId="2" priority="23" operator="containsText" text="Maxed Out">
      <formula>NOT(ISERROR(SEARCH(("Maxed Out"),(D216))))</formula>
    </cfRule>
  </conditionalFormatting>
  <conditionalFormatting sqref="D165:V165 AA165:AU165 D192:V192 AA192:AY192 D219:V219 AA219:AY219">
    <cfRule type="containsText" dxfId="1" priority="24" operator="containsText" text="Maxed Out">
      <formula>NOT(ISERROR(SEARCH(("Maxed Out"),(D165))))</formula>
    </cfRule>
  </conditionalFormatting>
  <conditionalFormatting sqref="W165:Z165 W192:Z192 W219:Z219">
    <cfRule type="containsText" dxfId="0" priority="25" operator="containsText" text="Maxed Out">
      <formula>NOT(ISERROR(SEARCH(("Maxed Out"),(W165))))</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 and Assumptions</vt:lpstr>
      <vt:lpstr>Portfolio</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 McDonald</cp:lastModifiedBy>
  <dcterms:created xsi:type="dcterms:W3CDTF">2020-05-07T15:40:35Z</dcterms:created>
  <dcterms:modified xsi:type="dcterms:W3CDTF">2020-05-07T18:11:53Z</dcterms:modified>
</cp:coreProperties>
</file>